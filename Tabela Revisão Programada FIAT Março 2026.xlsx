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ber\OneDrive\Área de Trabalho\tabelao\"/>
    </mc:Choice>
  </mc:AlternateContent>
  <xr:revisionPtr revIDLastSave="0" documentId="11_6CABEC52B10A541C5216FF8A4CA7AFF9CBC402A7" xr6:coauthVersionLast="47" xr6:coauthVersionMax="47" xr10:uidLastSave="{00000000-0000-0000-0000-000000000000}"/>
  <bookViews>
    <workbookView xWindow="-103" yWindow="-103" windowWidth="24892" windowHeight="14914" tabRatio="500" activeTab="31" xr2:uid="{00000000-000D-0000-FFFF-FFFF00000000}"/>
  </bookViews>
  <sheets>
    <sheet name="PREÇO NACIONAL" sheetId="1" r:id="rId1"/>
    <sheet name="CRONOS 1.0" sheetId="2" r:id="rId2"/>
    <sheet name="CRONOS 1.3" sheetId="3" r:id="rId3"/>
    <sheet name="CRONOS 1.8" sheetId="4" r:id="rId4"/>
    <sheet name="NOVO UNO 1.0 FIRE" sheetId="5" r:id="rId5"/>
    <sheet name="NOVO UNO 1.0 FIREFLY" sheetId="6" r:id="rId6"/>
    <sheet name="NOVO UNO 1.3 FIREFLY" sheetId="7" r:id="rId7"/>
    <sheet name="PALIO WEEKEND 1.4" sheetId="8" r:id="rId8"/>
    <sheet name="PALIO WEEKEND 1.8" sheetId="9" r:id="rId9"/>
    <sheet name="GRAND SIENA 1.0" sheetId="10" r:id="rId10"/>
    <sheet name="GRAND SIENA 1.4" sheetId="11" r:id="rId11"/>
    <sheet name="NOVA STRADA 1.0T" sheetId="12" r:id="rId12"/>
    <sheet name="NOVA STRADA 1.3" sheetId="13" r:id="rId13"/>
    <sheet name="NOVA STRADA 1.4" sheetId="14" r:id="rId14"/>
    <sheet name="ARGO 1.0" sheetId="15" r:id="rId15"/>
    <sheet name="ARGO 1.3" sheetId="16" r:id="rId16"/>
    <sheet name="ARGO 1.8" sheetId="17" r:id="rId17"/>
    <sheet name="FIORINO" sheetId="18" r:id="rId18"/>
    <sheet name="PULSE 1.0T" sheetId="19" r:id="rId19"/>
    <sheet name="PULSE 1.3" sheetId="20" r:id="rId20"/>
    <sheet name="PULSE ABARTH" sheetId="21" r:id="rId21"/>
    <sheet name="FASTBACK 1.0T" sheetId="22" r:id="rId22"/>
    <sheet name="FASTBACK 1.3T" sheetId="23" r:id="rId23"/>
    <sheet name="MOBI FIRE" sheetId="24" r:id="rId24"/>
    <sheet name="MOBI FIREFLY" sheetId="25" r:id="rId25"/>
    <sheet name="DOBLO" sheetId="26" r:id="rId26"/>
    <sheet name="TORO 1.8" sheetId="27" r:id="rId27"/>
    <sheet name="TORO 2.4" sheetId="28" r:id="rId28"/>
    <sheet name="TORO 1.3T" sheetId="29" r:id="rId29"/>
    <sheet name="TORO DIESEL" sheetId="30" r:id="rId30"/>
    <sheet name="DUCATO" sheetId="31" r:id="rId31"/>
    <sheet name="SCUDO" sheetId="32" r:id="rId32"/>
    <sheet name="500e" sheetId="33" r:id="rId33"/>
    <sheet name="TITANO" sheetId="34" r:id="rId34"/>
  </sheets>
  <externalReferences>
    <externalReference r:id="rId35"/>
  </externalReferences>
  <definedNames>
    <definedName name="_" localSheetId="1">#REF!</definedName>
    <definedName name="_" localSheetId="2">#REF!</definedName>
    <definedName name="_" localSheetId="12">#REF!</definedName>
    <definedName name="_" localSheetId="28">#REF!</definedName>
    <definedName name="_">#REF!</definedName>
    <definedName name="_______l" localSheetId="28">#REF!</definedName>
    <definedName name="_______l">#REF!</definedName>
    <definedName name="____l" localSheetId="28">#REF!</definedName>
    <definedName name="____l">#REF!</definedName>
    <definedName name="___KEY2" localSheetId="1">#REF!</definedName>
    <definedName name="___KEY2" localSheetId="2">#REF!</definedName>
    <definedName name="___KEY2" localSheetId="12">#REF!</definedName>
    <definedName name="___KEY2" localSheetId="28">#REF!</definedName>
    <definedName name="___KEY2">#REF!</definedName>
    <definedName name="___l" localSheetId="28">#REF!</definedName>
    <definedName name="___l">#REF!</definedName>
    <definedName name="__123Graph_A" localSheetId="1">#REF!</definedName>
    <definedName name="__123Graph_A" localSheetId="2">#REF!</definedName>
    <definedName name="__123Graph_A" localSheetId="12">#REF!</definedName>
    <definedName name="__123Graph_A" localSheetId="28">#REF!</definedName>
    <definedName name="__123Graph_A">#REF!</definedName>
    <definedName name="__123Graph_ABUDGET" localSheetId="1">#REF!</definedName>
    <definedName name="__123Graph_ABUDGET" localSheetId="2">#REF!</definedName>
    <definedName name="__123Graph_ABUDGET" localSheetId="12">#REF!</definedName>
    <definedName name="__123Graph_ABUDGET" localSheetId="28">#REF!</definedName>
    <definedName name="__123Graph_ABUDGET">#REF!</definedName>
    <definedName name="__123Graph_ACorrente" localSheetId="1">#REF!</definedName>
    <definedName name="__123Graph_ACorrente" localSheetId="2">#REF!</definedName>
    <definedName name="__123Graph_ACorrente" localSheetId="12">#REF!</definedName>
    <definedName name="__123Graph_ACorrente" localSheetId="28">#REF!</definedName>
    <definedName name="__123Graph_ACorrente">#REF!</definedName>
    <definedName name="__123Graph_ACURRENT" localSheetId="1">#REF!</definedName>
    <definedName name="__123Graph_ACURRENT" localSheetId="2">#REF!</definedName>
    <definedName name="__123Graph_ACURRENT" localSheetId="12">#REF!</definedName>
    <definedName name="__123Graph_ACURRENT" localSheetId="28">#REF!</definedName>
    <definedName name="__123Graph_ACURRENT">#REF!</definedName>
    <definedName name="__123Graph_APRIOR" localSheetId="1">#REF!</definedName>
    <definedName name="__123Graph_APRIOR" localSheetId="2">#REF!</definedName>
    <definedName name="__123Graph_APRIOR" localSheetId="12">#REF!</definedName>
    <definedName name="__123Graph_APRIOR" localSheetId="28">#REF!</definedName>
    <definedName name="__123Graph_APRIOR">#REF!</definedName>
    <definedName name="__123Graph_B" localSheetId="1">#REF!</definedName>
    <definedName name="__123Graph_B" localSheetId="2">#REF!</definedName>
    <definedName name="__123Graph_B" localSheetId="12">#REF!</definedName>
    <definedName name="__123Graph_B" localSheetId="28">#REF!</definedName>
    <definedName name="__123Graph_B">#REF!</definedName>
    <definedName name="__123Graph_BBUDGET" localSheetId="1">#REF!</definedName>
    <definedName name="__123Graph_BBUDGET" localSheetId="2">#REF!</definedName>
    <definedName name="__123Graph_BBUDGET" localSheetId="12">#REF!</definedName>
    <definedName name="__123Graph_BBUDGET" localSheetId="28">#REF!</definedName>
    <definedName name="__123Graph_BBUDGET">#REF!</definedName>
    <definedName name="__123Graph_BCorrente" localSheetId="1">#REF!</definedName>
    <definedName name="__123Graph_BCorrente" localSheetId="2">#REF!</definedName>
    <definedName name="__123Graph_BCorrente" localSheetId="12">#REF!</definedName>
    <definedName name="__123Graph_BCorrente" localSheetId="28">#REF!</definedName>
    <definedName name="__123Graph_BCorrente">#REF!</definedName>
    <definedName name="__123Graph_BCURRENT" localSheetId="1">#REF!</definedName>
    <definedName name="__123Graph_BCURRENT" localSheetId="2">#REF!</definedName>
    <definedName name="__123Graph_BCURRENT" localSheetId="12">#REF!</definedName>
    <definedName name="__123Graph_BCURRENT" localSheetId="28">#REF!</definedName>
    <definedName name="__123Graph_BCURRENT">#REF!</definedName>
    <definedName name="__123Graph_BPRIOR" localSheetId="1">#REF!</definedName>
    <definedName name="__123Graph_BPRIOR" localSheetId="2">#REF!</definedName>
    <definedName name="__123Graph_BPRIOR" localSheetId="12">#REF!</definedName>
    <definedName name="__123Graph_BPRIOR" localSheetId="28">#REF!</definedName>
    <definedName name="__123Graph_BPRIOR">#REF!</definedName>
    <definedName name="__123Graph_C" localSheetId="1">#REF!</definedName>
    <definedName name="__123Graph_C" localSheetId="2">#REF!</definedName>
    <definedName name="__123Graph_C" localSheetId="12">#REF!</definedName>
    <definedName name="__123Graph_C" localSheetId="28">#REF!</definedName>
    <definedName name="__123Graph_C">#REF!</definedName>
    <definedName name="__123Graph_CBUDGET" localSheetId="1">#REF!</definedName>
    <definedName name="__123Graph_CBUDGET" localSheetId="2">#REF!</definedName>
    <definedName name="__123Graph_CBUDGET" localSheetId="12">#REF!</definedName>
    <definedName name="__123Graph_CBUDGET" localSheetId="28">#REF!</definedName>
    <definedName name="__123Graph_CBUDGET">#REF!</definedName>
    <definedName name="__123Graph_CCorrente" localSheetId="1">#REF!</definedName>
    <definedName name="__123Graph_CCorrente" localSheetId="2">#REF!</definedName>
    <definedName name="__123Graph_CCorrente" localSheetId="12">#REF!</definedName>
    <definedName name="__123Graph_CCorrente" localSheetId="28">#REF!</definedName>
    <definedName name="__123Graph_CCorrente">#REF!</definedName>
    <definedName name="__123Graph_CCURRENT" localSheetId="1">#REF!</definedName>
    <definedName name="__123Graph_CCURRENT" localSheetId="2">#REF!</definedName>
    <definedName name="__123Graph_CCURRENT" localSheetId="12">#REF!</definedName>
    <definedName name="__123Graph_CCURRENT" localSheetId="28">#REF!</definedName>
    <definedName name="__123Graph_CCURRENT">#REF!</definedName>
    <definedName name="__123Graph_CPRIOR" localSheetId="1">#REF!</definedName>
    <definedName name="__123Graph_CPRIOR" localSheetId="2">#REF!</definedName>
    <definedName name="__123Graph_CPRIOR" localSheetId="12">#REF!</definedName>
    <definedName name="__123Graph_CPRIOR" localSheetId="28">#REF!</definedName>
    <definedName name="__123Graph_CPRIOR">#REF!</definedName>
    <definedName name="__123Graph_D" localSheetId="1">#REF!</definedName>
    <definedName name="__123Graph_D" localSheetId="2">#REF!</definedName>
    <definedName name="__123Graph_D" localSheetId="12">#REF!</definedName>
    <definedName name="__123Graph_D" localSheetId="28">#REF!</definedName>
    <definedName name="__123Graph_D">#REF!</definedName>
    <definedName name="__123Graph_DBUDGET" localSheetId="1">#REF!</definedName>
    <definedName name="__123Graph_DBUDGET" localSheetId="2">#REF!</definedName>
    <definedName name="__123Graph_DBUDGET" localSheetId="12">#REF!</definedName>
    <definedName name="__123Graph_DBUDGET" localSheetId="28">#REF!</definedName>
    <definedName name="__123Graph_DBUDGET">#REF!</definedName>
    <definedName name="__123Graph_DCorrente" localSheetId="1">#REF!</definedName>
    <definedName name="__123Graph_DCorrente" localSheetId="2">#REF!</definedName>
    <definedName name="__123Graph_DCorrente" localSheetId="12">#REF!</definedName>
    <definedName name="__123Graph_DCorrente" localSheetId="28">#REF!</definedName>
    <definedName name="__123Graph_DCorrente">#REF!</definedName>
    <definedName name="__123Graph_DCURRENT" localSheetId="1">#REF!</definedName>
    <definedName name="__123Graph_DCURRENT" localSheetId="2">#REF!</definedName>
    <definedName name="__123Graph_DCURRENT" localSheetId="12">#REF!</definedName>
    <definedName name="__123Graph_DCURRENT" localSheetId="28">#REF!</definedName>
    <definedName name="__123Graph_DCURRENT">#REF!</definedName>
    <definedName name="__123Graph_DPRIOR" localSheetId="1">#REF!</definedName>
    <definedName name="__123Graph_DPRIOR" localSheetId="2">#REF!</definedName>
    <definedName name="__123Graph_DPRIOR" localSheetId="12">#REF!</definedName>
    <definedName name="__123Graph_DPRIOR" localSheetId="28">#REF!</definedName>
    <definedName name="__123Graph_DPRIOR">#REF!</definedName>
    <definedName name="__123Graph_E" localSheetId="1">#REF!</definedName>
    <definedName name="__123Graph_E" localSheetId="2">#REF!</definedName>
    <definedName name="__123Graph_E" localSheetId="12">#REF!</definedName>
    <definedName name="__123Graph_E" localSheetId="28">#REF!</definedName>
    <definedName name="__123Graph_E">#REF!</definedName>
    <definedName name="__123Graph_ECorrente" localSheetId="1">#REF!</definedName>
    <definedName name="__123Graph_ECorrente" localSheetId="2">#REF!</definedName>
    <definedName name="__123Graph_ECorrente" localSheetId="12">#REF!</definedName>
    <definedName name="__123Graph_ECorrente" localSheetId="28">#REF!</definedName>
    <definedName name="__123Graph_ECorrente">#REF!</definedName>
    <definedName name="__123Graph_F" localSheetId="1">#REF!</definedName>
    <definedName name="__123Graph_F" localSheetId="2">#REF!</definedName>
    <definedName name="__123Graph_F" localSheetId="12">#REF!</definedName>
    <definedName name="__123Graph_F" localSheetId="28">#REF!</definedName>
    <definedName name="__123Graph_F">#REF!</definedName>
    <definedName name="__123Graph_FCorrente" localSheetId="1">#REF!</definedName>
    <definedName name="__123Graph_FCorrente" localSheetId="2">#REF!</definedName>
    <definedName name="__123Graph_FCorrente" localSheetId="12">#REF!</definedName>
    <definedName name="__123Graph_FCorrente" localSheetId="28">#REF!</definedName>
    <definedName name="__123Graph_FCorrente">#REF!</definedName>
    <definedName name="__123Graph_X" localSheetId="1">#REF!</definedName>
    <definedName name="__123Graph_X" localSheetId="2">#REF!</definedName>
    <definedName name="__123Graph_X" localSheetId="12">#REF!</definedName>
    <definedName name="__123Graph_X" localSheetId="28">#REF!</definedName>
    <definedName name="__123Graph_X">#REF!</definedName>
    <definedName name="__123Graph_XBUDGET" localSheetId="1">#REF!</definedName>
    <definedName name="__123Graph_XBUDGET" localSheetId="2">#REF!</definedName>
    <definedName name="__123Graph_XBUDGET" localSheetId="12">#REF!</definedName>
    <definedName name="__123Graph_XBUDGET" localSheetId="28">#REF!</definedName>
    <definedName name="__123Graph_XBUDGET">#REF!</definedName>
    <definedName name="__123Graph_XCURRENT" localSheetId="1">#REF!</definedName>
    <definedName name="__123Graph_XCURRENT" localSheetId="2">#REF!</definedName>
    <definedName name="__123Graph_XCURRENT" localSheetId="12">#REF!</definedName>
    <definedName name="__123Graph_XCURRENT" localSheetId="28">#REF!</definedName>
    <definedName name="__123Graph_XCURRENT">#REF!</definedName>
    <definedName name="__123Graph_XPRIOR" localSheetId="1">#REF!</definedName>
    <definedName name="__123Graph_XPRIOR" localSheetId="2">#REF!</definedName>
    <definedName name="__123Graph_XPRIOR" localSheetId="12">#REF!</definedName>
    <definedName name="__123Graph_XPRIOR" localSheetId="28">#REF!</definedName>
    <definedName name="__123Graph_XPRIOR">#REF!</definedName>
    <definedName name="_10_0__123Grap" localSheetId="1">#REF!</definedName>
    <definedName name="_10_0__123Grap" localSheetId="2">#REF!</definedName>
    <definedName name="_10_0__123Grap" localSheetId="12">#REF!</definedName>
    <definedName name="_10_0__123Grap" localSheetId="28">#REF!</definedName>
    <definedName name="_10_0__123Grap">#REF!</definedName>
    <definedName name="_10_0_0_F" localSheetId="1">#REF!</definedName>
    <definedName name="_10_0_0_F" localSheetId="2">#REF!</definedName>
    <definedName name="_10_0_0_F" localSheetId="12">#REF!</definedName>
    <definedName name="_10_0_0_F" localSheetId="28">#REF!</definedName>
    <definedName name="_10_0_0_F">#REF!</definedName>
    <definedName name="_12_0__123Grap" localSheetId="1">#REF!</definedName>
    <definedName name="_12_0__123Grap" localSheetId="2">#REF!</definedName>
    <definedName name="_12_0__123Grap" localSheetId="12">#REF!</definedName>
    <definedName name="_12_0__123Grap" localSheetId="28">#REF!</definedName>
    <definedName name="_12_0__123Grap">#REF!</definedName>
    <definedName name="_12_0_0_F" localSheetId="1">#REF!</definedName>
    <definedName name="_12_0_0_F" localSheetId="2">#REF!</definedName>
    <definedName name="_12_0_0_F" localSheetId="12">#REF!</definedName>
    <definedName name="_12_0_0_F" localSheetId="28">#REF!</definedName>
    <definedName name="_12_0_0_F">#REF!</definedName>
    <definedName name="_14_0_0_F" localSheetId="1">#REF!</definedName>
    <definedName name="_14_0_0_F" localSheetId="2">#REF!</definedName>
    <definedName name="_14_0_0_F" localSheetId="12">#REF!</definedName>
    <definedName name="_14_0_0_F" localSheetId="28">#REF!</definedName>
    <definedName name="_14_0_0_F">#REF!</definedName>
    <definedName name="_1F" localSheetId="1">#REF!</definedName>
    <definedName name="_1F" localSheetId="2">#REF!</definedName>
    <definedName name="_1F" localSheetId="12">#REF!</definedName>
    <definedName name="_1F" localSheetId="28">#REF!</definedName>
    <definedName name="_1F">#REF!</definedName>
    <definedName name="_2_0__123Grap" localSheetId="1">#REF!</definedName>
    <definedName name="_2_0__123Grap" localSheetId="2">#REF!</definedName>
    <definedName name="_2_0__123Grap" localSheetId="12">#REF!</definedName>
    <definedName name="_2_0__123Grap" localSheetId="28">#REF!</definedName>
    <definedName name="_2_0__123Grap">#REF!</definedName>
    <definedName name="_3_0__123Grap" localSheetId="1">#REF!</definedName>
    <definedName name="_3_0__123Grap" localSheetId="2">#REF!</definedName>
    <definedName name="_3_0__123Grap" localSheetId="12">#REF!</definedName>
    <definedName name="_3_0__123Grap" localSheetId="28">#REF!</definedName>
    <definedName name="_3_0__123Grap">#REF!</definedName>
    <definedName name="_4_0__123Grap" localSheetId="1">#REF!</definedName>
    <definedName name="_4_0__123Grap" localSheetId="2">#REF!</definedName>
    <definedName name="_4_0__123Grap" localSheetId="12">#REF!</definedName>
    <definedName name="_4_0__123Grap" localSheetId="28">#REF!</definedName>
    <definedName name="_4_0__123Grap">#REF!</definedName>
    <definedName name="_4_0_0_F" localSheetId="1">#REF!</definedName>
    <definedName name="_4_0_0_F" localSheetId="2">#REF!</definedName>
    <definedName name="_4_0_0_F" localSheetId="12">#REF!</definedName>
    <definedName name="_4_0_0_F" localSheetId="28">#REF!</definedName>
    <definedName name="_4_0_0_F">#REF!</definedName>
    <definedName name="_5_0__123Grap" localSheetId="1">#REF!</definedName>
    <definedName name="_5_0__123Grap" localSheetId="2">#REF!</definedName>
    <definedName name="_5_0__123Grap" localSheetId="12">#REF!</definedName>
    <definedName name="_5_0__123Grap" localSheetId="28">#REF!</definedName>
    <definedName name="_5_0__123Grap">#REF!</definedName>
    <definedName name="_5F" localSheetId="1">#REF!</definedName>
    <definedName name="_5F" localSheetId="2">#REF!</definedName>
    <definedName name="_5F" localSheetId="12">#REF!</definedName>
    <definedName name="_5F" localSheetId="28">#REF!</definedName>
    <definedName name="_5F">#REF!</definedName>
    <definedName name="_6_0__123Grap" localSheetId="1">#REF!</definedName>
    <definedName name="_6_0__123Grap" localSheetId="2">#REF!</definedName>
    <definedName name="_6_0__123Grap" localSheetId="12">#REF!</definedName>
    <definedName name="_6_0__123Grap" localSheetId="28">#REF!</definedName>
    <definedName name="_6_0__123Grap">#REF!</definedName>
    <definedName name="_6F" localSheetId="1">#REF!</definedName>
    <definedName name="_6F" localSheetId="2">#REF!</definedName>
    <definedName name="_6F" localSheetId="12">#REF!</definedName>
    <definedName name="_6F" localSheetId="28">#REF!</definedName>
    <definedName name="_6F">#REF!</definedName>
    <definedName name="_7_0__123Grap" localSheetId="1">#REF!</definedName>
    <definedName name="_7_0__123Grap" localSheetId="2">#REF!</definedName>
    <definedName name="_7_0__123Grap" localSheetId="12">#REF!</definedName>
    <definedName name="_7_0__123Grap" localSheetId="28">#REF!</definedName>
    <definedName name="_7_0__123Grap">#REF!</definedName>
    <definedName name="_8_0__123Grap" localSheetId="1">#REF!</definedName>
    <definedName name="_8_0__123Grap" localSheetId="2">#REF!</definedName>
    <definedName name="_8_0__123Grap" localSheetId="12">#REF!</definedName>
    <definedName name="_8_0__123Grap" localSheetId="28">#REF!</definedName>
    <definedName name="_8_0__123Grap">#REF!</definedName>
    <definedName name="_Dist_Values" localSheetId="1">#REF!</definedName>
    <definedName name="_Dist_Values" localSheetId="2">#REF!</definedName>
    <definedName name="_Dist_Values" localSheetId="12">#REF!</definedName>
    <definedName name="_Dist_Values" localSheetId="28">#REF!</definedName>
    <definedName name="_Dist_Values">#REF!</definedName>
    <definedName name="_Fill" localSheetId="1">#REF!</definedName>
    <definedName name="_Fill" localSheetId="2">#REF!</definedName>
    <definedName name="_Fill" localSheetId="12">#REF!</definedName>
    <definedName name="_Fill" localSheetId="28">#REF!</definedName>
    <definedName name="_Fill">#REF!</definedName>
    <definedName name="_Key1" localSheetId="1">#REF!</definedName>
    <definedName name="_Key1" localSheetId="2">#REF!</definedName>
    <definedName name="_Key1" localSheetId="12">#REF!</definedName>
    <definedName name="_Key1" localSheetId="28">#REF!</definedName>
    <definedName name="_Key1">#REF!</definedName>
    <definedName name="_key11" localSheetId="1">#REF!</definedName>
    <definedName name="_key11" localSheetId="2">#REF!</definedName>
    <definedName name="_key11" localSheetId="12">#REF!</definedName>
    <definedName name="_key11" localSheetId="28">#REF!</definedName>
    <definedName name="_key11">#REF!</definedName>
    <definedName name="_KEY2" localSheetId="1">#REF!</definedName>
    <definedName name="_KEY2" localSheetId="2">#REF!</definedName>
    <definedName name="_KEY2" localSheetId="12">#REF!</definedName>
    <definedName name="_KEY2" localSheetId="28">#REF!</definedName>
    <definedName name="_KEY2">#REF!</definedName>
    <definedName name="_Sort" localSheetId="1">#REF!</definedName>
    <definedName name="_Sort" localSheetId="2">#REF!</definedName>
    <definedName name="_Sort" localSheetId="12">#REF!</definedName>
    <definedName name="_Sort" localSheetId="28">#REF!</definedName>
    <definedName name="_Sort">#REF!</definedName>
    <definedName name="AAAAA" localSheetId="28">#REF!</definedName>
    <definedName name="AAAAA">#REF!</definedName>
    <definedName name="AAAAAAAAA" localSheetId="28">#REF!</definedName>
    <definedName name="AAAAAAAAA">#REF!</definedName>
    <definedName name="adsfa" localSheetId="28">#REF!</definedName>
    <definedName name="adsfa">#REF!</definedName>
    <definedName name="AGNES" localSheetId="28">#REF!</definedName>
    <definedName name="AGNES">#REF!</definedName>
    <definedName name="ASDF" localSheetId="28">#REF!</definedName>
    <definedName name="ASDF">#REF!</definedName>
    <definedName name="asfas" localSheetId="28">#REF!</definedName>
    <definedName name="asfas">#REF!</definedName>
    <definedName name="asfasf" localSheetId="28">#REF!</definedName>
    <definedName name="asfasf">#REF!</definedName>
    <definedName name="bbbb" localSheetId="28">#REF!</definedName>
    <definedName name="bbbb">#REF!</definedName>
    <definedName name="bbbbbb" localSheetId="28">#REF!</definedName>
    <definedName name="bbbbbb">#REF!</definedName>
    <definedName name="cccc" localSheetId="28">#REF!</definedName>
    <definedName name="cccc">#REF!</definedName>
    <definedName name="ccccc" localSheetId="28">#REF!</definedName>
    <definedName name="ccccc">#REF!</definedName>
    <definedName name="CS" localSheetId="1">#REF!</definedName>
    <definedName name="CS" localSheetId="2">#REF!</definedName>
    <definedName name="CS" localSheetId="12">#REF!</definedName>
    <definedName name="CS" localSheetId="28">#REF!</definedName>
    <definedName name="CS">#REF!</definedName>
    <definedName name="cx" localSheetId="28">#REF!</definedName>
    <definedName name="cx">#REF!</definedName>
    <definedName name="DCOS07" localSheetId="28">#REF!</definedName>
    <definedName name="DCOS07">#REF!</definedName>
    <definedName name="dcos071" localSheetId="28">#REF!</definedName>
    <definedName name="dcos071">#REF!</definedName>
    <definedName name="ddddddddddddddd" localSheetId="28">#REF!</definedName>
    <definedName name="ddddddddddddddd">#REF!</definedName>
    <definedName name="dfsgsdfg" localSheetId="28">#REF!</definedName>
    <definedName name="dfsgsdfg">#REF!</definedName>
    <definedName name="ed" localSheetId="28">#REF!</definedName>
    <definedName name="ed">#REF!</definedName>
    <definedName name="ELVIS" localSheetId="28">#REF!</definedName>
    <definedName name="ELVIS">#REF!</definedName>
    <definedName name="ELVIS1" localSheetId="28">#REF!</definedName>
    <definedName name="ELVIS1">#REF!</definedName>
    <definedName name="ew" localSheetId="28">#REF!</definedName>
    <definedName name="ew">#REF!</definedName>
    <definedName name="fd" localSheetId="28">#REF!</definedName>
    <definedName name="fd">#REF!</definedName>
    <definedName name="fsd" localSheetId="28">#REF!</definedName>
    <definedName name="fsd">#REF!</definedName>
    <definedName name="fsdgsdfg" localSheetId="28">#REF!</definedName>
    <definedName name="fsdgsdfg">#REF!</definedName>
    <definedName name="fsggdfg" localSheetId="28">#REF!</definedName>
    <definedName name="fsggdfg">#REF!</definedName>
    <definedName name="GA" localSheetId="28">#REF!</definedName>
    <definedName name="GA">#REF!</definedName>
    <definedName name="gas" localSheetId="28">#REF!</definedName>
    <definedName name="gas">#REF!</definedName>
    <definedName name="gdsfgsd" localSheetId="28">#REF!</definedName>
    <definedName name="gdsfgsd">#REF!</definedName>
    <definedName name="gf" localSheetId="28">#REF!</definedName>
    <definedName name="gf">#REF!</definedName>
    <definedName name="gfsd" localSheetId="28">#REF!</definedName>
    <definedName name="gfsd">#REF!</definedName>
    <definedName name="gfsdgsadf" localSheetId="28">#REF!</definedName>
    <definedName name="gfsdgsadf">#REF!</definedName>
    <definedName name="GGGGG" localSheetId="28">#REF!</definedName>
    <definedName name="GGGGG">#REF!</definedName>
    <definedName name="ghd" localSheetId="28">#REF!</definedName>
    <definedName name="ghd">#REF!</definedName>
    <definedName name="gsdfgsd" localSheetId="28">#REF!</definedName>
    <definedName name="gsdfgsd">#REF!</definedName>
    <definedName name="gsdfgsfd" localSheetId="28">#REF!</definedName>
    <definedName name="gsdfgsfd">#REF!</definedName>
    <definedName name="gsertgae" localSheetId="28">#REF!</definedName>
    <definedName name="gsertgae">#REF!</definedName>
    <definedName name="gt" localSheetId="28">#REF!</definedName>
    <definedName name="gt">#REF!</definedName>
    <definedName name="gzdfgzd" localSheetId="28">#REF!</definedName>
    <definedName name="gzdfgzd">#REF!</definedName>
    <definedName name="hg" localSheetId="28">#REF!</definedName>
    <definedName name="hg">#REF!</definedName>
    <definedName name="hgdf" localSheetId="28">#REF!</definedName>
    <definedName name="hgdf">#REF!</definedName>
    <definedName name="hgf" localSheetId="28">#REF!</definedName>
    <definedName name="hgf">#REF!</definedName>
    <definedName name="hgfs" localSheetId="28">#REF!</definedName>
    <definedName name="hgfs">#REF!</definedName>
    <definedName name="hgsfs" localSheetId="28">#REF!</definedName>
    <definedName name="hgsfs">#REF!</definedName>
    <definedName name="hola1" localSheetId="28">#REF!</definedName>
    <definedName name="hola1">#REF!</definedName>
    <definedName name="hs" localSheetId="28">#REF!</definedName>
    <definedName name="hs">#REF!</definedName>
    <definedName name="hxgfn" localSheetId="28">#REF!</definedName>
    <definedName name="hxgfn">#REF!</definedName>
    <definedName name="hy" localSheetId="28">#REF!</definedName>
    <definedName name="hy">#REF!</definedName>
    <definedName name="INODCS" localSheetId="28">#REF!</definedName>
    <definedName name="INODCS">#REF!</definedName>
    <definedName name="J" localSheetId="1">#REF!</definedName>
    <definedName name="J" localSheetId="2">#REF!</definedName>
    <definedName name="J" localSheetId="12">#REF!</definedName>
    <definedName name="J" localSheetId="28">#REF!</definedName>
    <definedName name="J">#REF!</definedName>
    <definedName name="KK" localSheetId="1">#REF!</definedName>
    <definedName name="KK" localSheetId="2">#REF!</definedName>
    <definedName name="KK" localSheetId="12">#REF!</definedName>
    <definedName name="KK" localSheetId="28">#REF!</definedName>
    <definedName name="KK">#REF!</definedName>
    <definedName name="lbl_message" localSheetId="14">#REF!</definedName>
    <definedName name="lbl_message" localSheetId="1">#REF!</definedName>
    <definedName name="lbl_message" localSheetId="2">#REF!</definedName>
    <definedName name="lbl_message" localSheetId="30">#REF!</definedName>
    <definedName name="lbl_message" localSheetId="12">#REF!</definedName>
    <definedName name="lbl_message" localSheetId="0">#REF!</definedName>
    <definedName name="lbl_message" localSheetId="31">#REF!</definedName>
    <definedName name="lbl_message" localSheetId="33">#REF!</definedName>
    <definedName name="lbl_message" localSheetId="28">#REF!</definedName>
    <definedName name="lbl_message">#REF!</definedName>
    <definedName name="pippo" localSheetId="1">#REF!</definedName>
    <definedName name="pippo" localSheetId="2">#REF!</definedName>
    <definedName name="pippo" localSheetId="12">#REF!</definedName>
    <definedName name="pippo" localSheetId="28">#REF!</definedName>
    <definedName name="pippo">#REF!</definedName>
    <definedName name="pluto" localSheetId="1">#REF!</definedName>
    <definedName name="pluto" localSheetId="2">#REF!</definedName>
    <definedName name="pluto" localSheetId="12">#REF!</definedName>
    <definedName name="pluto" localSheetId="28">#REF!</definedName>
    <definedName name="pluto">#REF!</definedName>
    <definedName name="sales" localSheetId="1">#REF!</definedName>
    <definedName name="sales" localSheetId="2">#REF!</definedName>
    <definedName name="sales" localSheetId="12">#REF!</definedName>
    <definedName name="sales" localSheetId="28">#REF!</definedName>
    <definedName name="sales">#REF!</definedName>
    <definedName name="SORT" localSheetId="1">#REF!</definedName>
    <definedName name="SORT" localSheetId="2">#REF!</definedName>
    <definedName name="SORT" localSheetId="12">#REF!</definedName>
    <definedName name="SORT" localSheetId="28">#REF!</definedName>
    <definedName name="SORT">#REF!</definedName>
    <definedName name="sort3" localSheetId="1">#REF!</definedName>
    <definedName name="sort3" localSheetId="2">#REF!</definedName>
    <definedName name="sort3" localSheetId="12">#REF!</definedName>
    <definedName name="sort3" localSheetId="28">#REF!</definedName>
    <definedName name="sort3">#REF!</definedName>
    <definedName name="sssssssssssss" localSheetId="1">#REF!</definedName>
    <definedName name="sssssssssssss" localSheetId="2">#REF!</definedName>
    <definedName name="sssssssssssss" localSheetId="12">#REF!</definedName>
    <definedName name="sssssssssssss" localSheetId="28">#REF!</definedName>
    <definedName name="sssssssssssss">#REF!</definedName>
    <definedName name="test" localSheetId="1">#REF!</definedName>
    <definedName name="test" localSheetId="2">#REF!</definedName>
    <definedName name="test" localSheetId="12">#REF!</definedName>
    <definedName name="test" localSheetId="28">#REF!</definedName>
    <definedName name="test">#REF!</definedName>
    <definedName name="TXTSH" localSheetId="14">#REF!</definedName>
    <definedName name="TXTSH" localSheetId="1">#REF!</definedName>
    <definedName name="TXTSH" localSheetId="2">#REF!</definedName>
    <definedName name="TXTSH" localSheetId="30">#REF!</definedName>
    <definedName name="TXTSH" localSheetId="12">#REF!</definedName>
    <definedName name="TXTSH" localSheetId="0">#REF!</definedName>
    <definedName name="TXTSH" localSheetId="31">#REF!</definedName>
    <definedName name="TXTSH" localSheetId="33">#REF!</definedName>
    <definedName name="TXTSH" localSheetId="28">#REF!</definedName>
    <definedName name="TXTSH">#REF!</definedName>
    <definedName name="TXTUS" localSheetId="14">#REF!</definedName>
    <definedName name="TXTUS" localSheetId="1">#REF!</definedName>
    <definedName name="TXTUS" localSheetId="2">#REF!</definedName>
    <definedName name="TXTUS" localSheetId="30">#REF!</definedName>
    <definedName name="TXTUS" localSheetId="12">#REF!</definedName>
    <definedName name="TXTUS" localSheetId="0">#REF!</definedName>
    <definedName name="TXTUS" localSheetId="31">#REF!</definedName>
    <definedName name="TXTUS" localSheetId="33">#REF!</definedName>
    <definedName name="TXTUS" localSheetId="28">#REF!</definedName>
    <definedName name="TXTUS">#REF!</definedName>
    <definedName name="variazione" localSheetId="1">#REF!</definedName>
    <definedName name="variazione" localSheetId="2">#REF!</definedName>
    <definedName name="variazione" localSheetId="12">#REF!</definedName>
    <definedName name="variazione" localSheetId="28">#REF!</definedName>
    <definedName name="variazion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34" l="1"/>
  <c r="AH60" i="34" s="1"/>
  <c r="D59" i="34"/>
  <c r="AF59" i="34" s="1"/>
  <c r="AG58" i="34"/>
  <c r="D58" i="34"/>
  <c r="AB58" i="34" s="1"/>
  <c r="AC57" i="34"/>
  <c r="D57" i="34"/>
  <c r="X57" i="34" s="1"/>
  <c r="Y56" i="34"/>
  <c r="D56" i="34"/>
  <c r="T56" i="34" s="1"/>
  <c r="AG55" i="34"/>
  <c r="U55" i="34"/>
  <c r="D55" i="34"/>
  <c r="AH55" i="34" s="1"/>
  <c r="AG54" i="34"/>
  <c r="AC54" i="34"/>
  <c r="D54" i="34"/>
  <c r="AH54" i="34" s="1"/>
  <c r="AG53" i="34"/>
  <c r="AC53" i="34"/>
  <c r="Y53" i="34"/>
  <c r="U53" i="34"/>
  <c r="D53" i="34"/>
  <c r="AD53" i="34" s="1"/>
  <c r="AE52" i="34"/>
  <c r="AC52" i="34"/>
  <c r="U52" i="34"/>
  <c r="D52" i="34"/>
  <c r="Z52" i="34" s="1"/>
  <c r="AG51" i="34"/>
  <c r="AE51" i="34"/>
  <c r="AC51" i="34"/>
  <c r="AA51" i="34"/>
  <c r="Y51" i="34"/>
  <c r="U51" i="34"/>
  <c r="D51" i="34"/>
  <c r="V51" i="34" s="1"/>
  <c r="AG50" i="34"/>
  <c r="AH50" i="34" s="1"/>
  <c r="AE50" i="34"/>
  <c r="AF50" i="34" s="1"/>
  <c r="AD50" i="34"/>
  <c r="AH46" i="34"/>
  <c r="AF46" i="34"/>
  <c r="V46" i="34"/>
  <c r="T46" i="34"/>
  <c r="AJ46" i="34" s="1"/>
  <c r="D46" i="34"/>
  <c r="AG46" i="34" s="1"/>
  <c r="AD45" i="34"/>
  <c r="AB45" i="34"/>
  <c r="D45" i="34"/>
  <c r="AH45" i="34" s="1"/>
  <c r="AH44" i="34"/>
  <c r="AG44" i="34"/>
  <c r="AD44" i="34"/>
  <c r="Z44" i="34"/>
  <c r="X44" i="34"/>
  <c r="D44" i="34"/>
  <c r="AE44" i="34" s="1"/>
  <c r="AG43" i="34"/>
  <c r="AF43" i="34"/>
  <c r="AD43" i="34"/>
  <c r="AC43" i="34"/>
  <c r="V43" i="34"/>
  <c r="T43" i="34"/>
  <c r="D43" i="34"/>
  <c r="AA43" i="34" s="1"/>
  <c r="AC42" i="34"/>
  <c r="AB42" i="34"/>
  <c r="Z42" i="34"/>
  <c r="Y42" i="34"/>
  <c r="D42" i="34"/>
  <c r="W42" i="34" s="1"/>
  <c r="AH41" i="34"/>
  <c r="AG41" i="34"/>
  <c r="Y41" i="34"/>
  <c r="X41" i="34"/>
  <c r="V41" i="34"/>
  <c r="U41" i="34"/>
  <c r="D41" i="34"/>
  <c r="AF41" i="34" s="1"/>
  <c r="AG40" i="34"/>
  <c r="AF40" i="34"/>
  <c r="AD40" i="34"/>
  <c r="AC40" i="34"/>
  <c r="Y40" i="34"/>
  <c r="V40" i="34"/>
  <c r="U40" i="34"/>
  <c r="T40" i="34"/>
  <c r="D40" i="34"/>
  <c r="AH40" i="34" s="1"/>
  <c r="AB39" i="34"/>
  <c r="Z39" i="34"/>
  <c r="Y39" i="34"/>
  <c r="D39" i="34"/>
  <c r="AG39" i="34" s="1"/>
  <c r="AH38" i="34"/>
  <c r="AF38" i="34"/>
  <c r="AE38" i="34"/>
  <c r="X38" i="34"/>
  <c r="V38" i="34"/>
  <c r="U38" i="34"/>
  <c r="D38" i="34"/>
  <c r="AC38" i="34" s="1"/>
  <c r="AG37" i="34"/>
  <c r="AE37" i="34"/>
  <c r="AD37" i="34"/>
  <c r="AB37" i="34"/>
  <c r="AA37" i="34"/>
  <c r="T37" i="34"/>
  <c r="D37" i="34"/>
  <c r="Y37" i="34" s="1"/>
  <c r="AH36" i="34"/>
  <c r="AG36" i="34"/>
  <c r="AF36" i="34"/>
  <c r="AE36" i="34"/>
  <c r="AD36" i="34"/>
  <c r="AC36" i="34"/>
  <c r="AB36" i="34"/>
  <c r="AA36" i="34"/>
  <c r="Z36" i="34"/>
  <c r="Y36" i="34"/>
  <c r="X36" i="34"/>
  <c r="W36" i="34"/>
  <c r="U36" i="34"/>
  <c r="T36" i="34"/>
  <c r="D36" i="34"/>
  <c r="V36" i="34" s="1"/>
  <c r="AE35" i="34"/>
  <c r="AF35" i="34" s="1"/>
  <c r="AG35" i="34" s="1"/>
  <c r="AH35" i="34" s="1"/>
  <c r="AD35" i="34"/>
  <c r="AC31" i="34"/>
  <c r="AB31" i="34"/>
  <c r="AA31" i="34"/>
  <c r="Z31" i="34"/>
  <c r="D31" i="34"/>
  <c r="AC30" i="34"/>
  <c r="T30" i="34"/>
  <c r="AJ30" i="34" s="1"/>
  <c r="D30" i="34"/>
  <c r="AC29" i="34"/>
  <c r="AA29" i="34"/>
  <c r="Y29" i="34"/>
  <c r="W29" i="34"/>
  <c r="U29" i="34"/>
  <c r="T29" i="34"/>
  <c r="D29" i="34"/>
  <c r="AB29" i="34" s="1"/>
  <c r="AB28" i="34"/>
  <c r="AA28" i="34"/>
  <c r="X28" i="34"/>
  <c r="W28" i="34"/>
  <c r="V28" i="34"/>
  <c r="U28" i="34"/>
  <c r="T28" i="34"/>
  <c r="D28" i="34"/>
  <c r="Z28" i="34" s="1"/>
  <c r="AA27" i="34"/>
  <c r="Y27" i="34"/>
  <c r="X27" i="34"/>
  <c r="V27" i="34"/>
  <c r="U27" i="34"/>
  <c r="D27" i="34"/>
  <c r="AC27" i="34" s="1"/>
  <c r="AB26" i="34"/>
  <c r="AA26" i="34"/>
  <c r="Z26" i="34"/>
  <c r="Y26" i="34"/>
  <c r="X26" i="34"/>
  <c r="V26" i="34"/>
  <c r="T26" i="34"/>
  <c r="D26" i="34"/>
  <c r="AC26" i="34" s="1"/>
  <c r="Y25" i="34"/>
  <c r="D25" i="34"/>
  <c r="AC24" i="34"/>
  <c r="AB24" i="34"/>
  <c r="Z24" i="34"/>
  <c r="V24" i="34"/>
  <c r="T24" i="34"/>
  <c r="D24" i="34"/>
  <c r="AC23" i="34"/>
  <c r="AA23" i="34"/>
  <c r="Z23" i="34"/>
  <c r="W23" i="34"/>
  <c r="V23" i="34"/>
  <c r="U23" i="34"/>
  <c r="D23" i="34"/>
  <c r="T23" i="34" s="1"/>
  <c r="AB22" i="34"/>
  <c r="AA22" i="34"/>
  <c r="Z22" i="34"/>
  <c r="Y22" i="34"/>
  <c r="X22" i="34"/>
  <c r="W22" i="34"/>
  <c r="V22" i="34"/>
  <c r="U22" i="34"/>
  <c r="T22" i="34"/>
  <c r="AJ22" i="34" s="1"/>
  <c r="D22" i="34"/>
  <c r="AM21" i="34"/>
  <c r="AL21" i="34"/>
  <c r="Z21" i="34"/>
  <c r="Y21" i="34"/>
  <c r="W21" i="34"/>
  <c r="D21" i="34"/>
  <c r="AM20" i="34"/>
  <c r="AA20" i="34"/>
  <c r="U20" i="34"/>
  <c r="T20" i="34"/>
  <c r="D20" i="34"/>
  <c r="U14" i="34"/>
  <c r="D14" i="34"/>
  <c r="AB13" i="34"/>
  <c r="Z13" i="34"/>
  <c r="Y13" i="34"/>
  <c r="X13" i="34"/>
  <c r="W13" i="34"/>
  <c r="V13" i="34"/>
  <c r="U13" i="34"/>
  <c r="T13" i="34"/>
  <c r="D13" i="34"/>
  <c r="AC13" i="34" s="1"/>
  <c r="AA12" i="34"/>
  <c r="Z12" i="34"/>
  <c r="Y12" i="34"/>
  <c r="X12" i="34"/>
  <c r="W12" i="34"/>
  <c r="U12" i="34"/>
  <c r="D12" i="34"/>
  <c r="AC12" i="34" s="1"/>
  <c r="AB11" i="34"/>
  <c r="AA11" i="34"/>
  <c r="Y11" i="34"/>
  <c r="X11" i="34"/>
  <c r="D11" i="34"/>
  <c r="V11" i="34" s="1"/>
  <c r="AA10" i="34"/>
  <c r="Y10" i="34"/>
  <c r="W10" i="34"/>
  <c r="D10" i="34"/>
  <c r="AC9" i="34"/>
  <c r="AB9" i="34"/>
  <c r="V9" i="34"/>
  <c r="D9" i="34"/>
  <c r="AC8" i="34"/>
  <c r="AA8" i="34"/>
  <c r="Y8" i="34"/>
  <c r="W8" i="34"/>
  <c r="V8" i="34"/>
  <c r="T8" i="34"/>
  <c r="D8" i="34"/>
  <c r="AC7" i="34"/>
  <c r="AA7" i="34"/>
  <c r="Z7" i="34"/>
  <c r="Y7" i="34"/>
  <c r="X7" i="34"/>
  <c r="W7" i="34"/>
  <c r="V7" i="34"/>
  <c r="U7" i="34"/>
  <c r="T7" i="34"/>
  <c r="D7" i="34"/>
  <c r="Y23" i="34" s="1"/>
  <c r="AJ6" i="34"/>
  <c r="AC6" i="34"/>
  <c r="AB6" i="34"/>
  <c r="AA6" i="34"/>
  <c r="Z6" i="34"/>
  <c r="Y6" i="34"/>
  <c r="X6" i="34"/>
  <c r="W6" i="34"/>
  <c r="V6" i="34"/>
  <c r="U6" i="34"/>
  <c r="T6" i="34"/>
  <c r="D6" i="34"/>
  <c r="AC22" i="34" s="1"/>
  <c r="AL5" i="34"/>
  <c r="AM5" i="34" s="1"/>
  <c r="Z5" i="34"/>
  <c r="X5" i="34"/>
  <c r="V5" i="34"/>
  <c r="D5" i="34"/>
  <c r="AM4" i="34"/>
  <c r="AC4" i="34"/>
  <c r="AB4" i="34"/>
  <c r="AA4" i="34"/>
  <c r="Y4" i="34"/>
  <c r="X4" i="34"/>
  <c r="W4" i="34"/>
  <c r="V4" i="34"/>
  <c r="U4" i="34"/>
  <c r="T4" i="34"/>
  <c r="D4" i="34"/>
  <c r="Z4" i="34" s="1"/>
  <c r="V6" i="33"/>
  <c r="U6" i="33"/>
  <c r="T6" i="33"/>
  <c r="S6" i="33"/>
  <c r="R6" i="33"/>
  <c r="Q6" i="33"/>
  <c r="O6" i="33"/>
  <c r="Z6" i="33" s="1"/>
  <c r="D6" i="33"/>
  <c r="X6" i="33" s="1"/>
  <c r="Z5" i="33"/>
  <c r="Y5" i="33" s="1"/>
  <c r="X5" i="33"/>
  <c r="W5" i="33"/>
  <c r="V5" i="33"/>
  <c r="V2" i="33" s="1"/>
  <c r="U5" i="33"/>
  <c r="T5" i="33"/>
  <c r="S5" i="33"/>
  <c r="R5" i="33"/>
  <c r="Q5" i="33"/>
  <c r="P5" i="33"/>
  <c r="O5" i="33"/>
  <c r="D5" i="33"/>
  <c r="X4" i="33"/>
  <c r="W4" i="33"/>
  <c r="V4" i="33"/>
  <c r="U4" i="33"/>
  <c r="U2" i="33" s="1"/>
  <c r="S4" i="33"/>
  <c r="S2" i="33" s="1"/>
  <c r="R4" i="33"/>
  <c r="Q4" i="33"/>
  <c r="Q2" i="33" s="1"/>
  <c r="O4" i="33"/>
  <c r="O2" i="33" s="1"/>
  <c r="Y2" i="33" s="1"/>
  <c r="D4" i="33"/>
  <c r="T4" i="33" s="1"/>
  <c r="T2" i="33" s="1"/>
  <c r="X2" i="33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AH44" i="31"/>
  <c r="AF44" i="31"/>
  <c r="AE44" i="31"/>
  <c r="AC44" i="31"/>
  <c r="AB44" i="31"/>
  <c r="AA44" i="31"/>
  <c r="Z44" i="31"/>
  <c r="Y44" i="31"/>
  <c r="X44" i="31"/>
  <c r="V44" i="31"/>
  <c r="U44" i="31"/>
  <c r="T44" i="31"/>
  <c r="D44" i="31"/>
  <c r="AD44" i="31" s="1"/>
  <c r="D43" i="31"/>
  <c r="AH42" i="31"/>
  <c r="AF42" i="31"/>
  <c r="AE42" i="31"/>
  <c r="AD42" i="31"/>
  <c r="AB42" i="31"/>
  <c r="AA42" i="31"/>
  <c r="Z42" i="31"/>
  <c r="Y42" i="31"/>
  <c r="W42" i="31"/>
  <c r="V42" i="31"/>
  <c r="T42" i="31"/>
  <c r="D42" i="31"/>
  <c r="AG42" i="31" s="1"/>
  <c r="AG41" i="31"/>
  <c r="AF41" i="31"/>
  <c r="AE41" i="31"/>
  <c r="AD41" i="31"/>
  <c r="AC41" i="31"/>
  <c r="AB41" i="31"/>
  <c r="Z41" i="31"/>
  <c r="Y41" i="31"/>
  <c r="X41" i="31"/>
  <c r="V41" i="31"/>
  <c r="U41" i="31"/>
  <c r="T41" i="31"/>
  <c r="D41" i="31"/>
  <c r="AF40" i="31"/>
  <c r="AD40" i="31"/>
  <c r="Z40" i="31"/>
  <c r="Y40" i="31"/>
  <c r="X40" i="31"/>
  <c r="V40" i="31"/>
  <c r="D40" i="31"/>
  <c r="AE39" i="31"/>
  <c r="AC39" i="31"/>
  <c r="D39" i="31"/>
  <c r="AH38" i="31"/>
  <c r="AG38" i="31"/>
  <c r="AF38" i="31"/>
  <c r="AD38" i="31"/>
  <c r="AC38" i="31"/>
  <c r="AB38" i="31"/>
  <c r="Z38" i="31"/>
  <c r="Y38" i="31"/>
  <c r="X38" i="31"/>
  <c r="W38" i="31"/>
  <c r="V38" i="31"/>
  <c r="U38" i="31"/>
  <c r="T38" i="31"/>
  <c r="D38" i="31"/>
  <c r="AE38" i="31" s="1"/>
  <c r="AE37" i="31"/>
  <c r="AF37" i="31" s="1"/>
  <c r="AG37" i="31" s="1"/>
  <c r="AH37" i="31" s="1"/>
  <c r="AD37" i="31"/>
  <c r="W30" i="31"/>
  <c r="U30" i="31"/>
  <c r="D30" i="31"/>
  <c r="AC29" i="31"/>
  <c r="AA29" i="31"/>
  <c r="Z29" i="31"/>
  <c r="Y29" i="31"/>
  <c r="W29" i="31"/>
  <c r="V29" i="31"/>
  <c r="U29" i="31"/>
  <c r="T29" i="31"/>
  <c r="D29" i="31"/>
  <c r="AB29" i="31" s="1"/>
  <c r="AC28" i="31"/>
  <c r="AB28" i="31"/>
  <c r="Z28" i="31"/>
  <c r="W28" i="31"/>
  <c r="D28" i="31"/>
  <c r="AC27" i="31"/>
  <c r="AA27" i="31"/>
  <c r="Z27" i="31"/>
  <c r="Y27" i="31"/>
  <c r="W27" i="31"/>
  <c r="V27" i="31"/>
  <c r="D27" i="31"/>
  <c r="AB26" i="31"/>
  <c r="V26" i="31"/>
  <c r="D26" i="31"/>
  <c r="AC26" i="31" s="1"/>
  <c r="W25" i="31"/>
  <c r="U25" i="31"/>
  <c r="D25" i="31"/>
  <c r="T25" i="31" s="1"/>
  <c r="V24" i="31"/>
  <c r="D24" i="31"/>
  <c r="AC23" i="31"/>
  <c r="AA23" i="31"/>
  <c r="D23" i="31"/>
  <c r="AC16" i="31"/>
  <c r="Y16" i="31"/>
  <c r="W16" i="31"/>
  <c r="V16" i="31"/>
  <c r="T16" i="31"/>
  <c r="D16" i="31"/>
  <c r="D15" i="31"/>
  <c r="Y14" i="31"/>
  <c r="T14" i="31"/>
  <c r="D14" i="31"/>
  <c r="AC13" i="31"/>
  <c r="Z13" i="31"/>
  <c r="Y13" i="31"/>
  <c r="V13" i="31"/>
  <c r="U13" i="31"/>
  <c r="T13" i="31"/>
  <c r="D13" i="31"/>
  <c r="D12" i="31"/>
  <c r="Z11" i="31"/>
  <c r="Y11" i="31"/>
  <c r="W11" i="31"/>
  <c r="U11" i="31"/>
  <c r="T11" i="31"/>
  <c r="D11" i="31"/>
  <c r="AC10" i="31"/>
  <c r="AA10" i="31"/>
  <c r="Z10" i="31"/>
  <c r="Y10" i="31"/>
  <c r="W10" i="31"/>
  <c r="V10" i="31"/>
  <c r="U10" i="31"/>
  <c r="T10" i="31"/>
  <c r="D10" i="31"/>
  <c r="Z9" i="31"/>
  <c r="Y9" i="31"/>
  <c r="U9" i="31"/>
  <c r="T9" i="31"/>
  <c r="D9" i="31"/>
  <c r="AA8" i="31"/>
  <c r="Z8" i="31"/>
  <c r="U8" i="31"/>
  <c r="D8" i="31"/>
  <c r="AC7" i="31"/>
  <c r="AB7" i="31"/>
  <c r="Z7" i="31"/>
  <c r="U7" i="31"/>
  <c r="T7" i="31"/>
  <c r="D7" i="31"/>
  <c r="AA6" i="31"/>
  <c r="Z6" i="31"/>
  <c r="Y6" i="31"/>
  <c r="V6" i="31"/>
  <c r="U6" i="31"/>
  <c r="D6" i="31"/>
  <c r="AC5" i="31"/>
  <c r="AB5" i="31"/>
  <c r="Z5" i="31"/>
  <c r="Y5" i="31"/>
  <c r="W5" i="31"/>
  <c r="V5" i="31"/>
  <c r="U5" i="31"/>
  <c r="T5" i="31"/>
  <c r="D5" i="31"/>
  <c r="AA4" i="31"/>
  <c r="Z4" i="31"/>
  <c r="V4" i="31"/>
  <c r="U4" i="31"/>
  <c r="T4" i="31"/>
  <c r="D4" i="31"/>
  <c r="AH39" i="30"/>
  <c r="AF39" i="30"/>
  <c r="AA39" i="30"/>
  <c r="Z39" i="30"/>
  <c r="W39" i="30"/>
  <c r="V39" i="30"/>
  <c r="T39" i="30"/>
  <c r="D39" i="30"/>
  <c r="AG38" i="30"/>
  <c r="AF38" i="30"/>
  <c r="AE38" i="30"/>
  <c r="AD38" i="30"/>
  <c r="AC38" i="30"/>
  <c r="AB38" i="30"/>
  <c r="Z38" i="30"/>
  <c r="Y38" i="30"/>
  <c r="X38" i="30"/>
  <c r="V38" i="30"/>
  <c r="U38" i="30"/>
  <c r="T38" i="30"/>
  <c r="D38" i="30"/>
  <c r="AG37" i="30"/>
  <c r="AF37" i="30"/>
  <c r="AA37" i="30"/>
  <c r="Z37" i="30"/>
  <c r="Y37" i="30"/>
  <c r="X37" i="30"/>
  <c r="W37" i="30"/>
  <c r="V37" i="30"/>
  <c r="D37" i="30"/>
  <c r="AH36" i="30"/>
  <c r="AF36" i="30"/>
  <c r="AE36" i="30"/>
  <c r="AD36" i="30"/>
  <c r="AC36" i="30"/>
  <c r="AB36" i="30"/>
  <c r="AA36" i="30"/>
  <c r="U36" i="30"/>
  <c r="T36" i="30"/>
  <c r="D36" i="30"/>
  <c r="AH35" i="30"/>
  <c r="AG35" i="30"/>
  <c r="AF35" i="30"/>
  <c r="AD35" i="30"/>
  <c r="AC35" i="30"/>
  <c r="AB35" i="30"/>
  <c r="Z35" i="30"/>
  <c r="Y35" i="30"/>
  <c r="X35" i="30"/>
  <c r="W35" i="30"/>
  <c r="V35" i="30"/>
  <c r="U35" i="30"/>
  <c r="T35" i="30"/>
  <c r="D35" i="30"/>
  <c r="AE35" i="30" s="1"/>
  <c r="D34" i="30"/>
  <c r="AH33" i="30"/>
  <c r="AG33" i="30"/>
  <c r="AF33" i="30"/>
  <c r="AE33" i="30"/>
  <c r="AD33" i="30"/>
  <c r="AC33" i="30"/>
  <c r="AB33" i="30"/>
  <c r="AA33" i="30"/>
  <c r="Y33" i="30"/>
  <c r="X33" i="30"/>
  <c r="W33" i="30"/>
  <c r="V33" i="30"/>
  <c r="U33" i="30"/>
  <c r="T33" i="30"/>
  <c r="D33" i="30"/>
  <c r="Z33" i="30" s="1"/>
  <c r="AH32" i="30"/>
  <c r="AD32" i="30"/>
  <c r="AC32" i="30"/>
  <c r="AB32" i="30"/>
  <c r="AA32" i="30"/>
  <c r="Z32" i="30"/>
  <c r="Y32" i="30"/>
  <c r="W32" i="30"/>
  <c r="U32" i="30"/>
  <c r="D32" i="30"/>
  <c r="AH31" i="30"/>
  <c r="AG31" i="30"/>
  <c r="AF31" i="30"/>
  <c r="Z31" i="30"/>
  <c r="X31" i="30"/>
  <c r="U31" i="30"/>
  <c r="T31" i="30"/>
  <c r="D31" i="30"/>
  <c r="AH30" i="30"/>
  <c r="AG30" i="30"/>
  <c r="AF30" i="30"/>
  <c r="AE30" i="30"/>
  <c r="AC30" i="30"/>
  <c r="AB30" i="30"/>
  <c r="AA30" i="30"/>
  <c r="Z30" i="30"/>
  <c r="Y30" i="30"/>
  <c r="X30" i="30"/>
  <c r="V30" i="30"/>
  <c r="U30" i="30"/>
  <c r="T30" i="30"/>
  <c r="D30" i="30"/>
  <c r="AD30" i="30" s="1"/>
  <c r="AG29" i="30"/>
  <c r="U29" i="30"/>
  <c r="D29" i="30"/>
  <c r="AF28" i="30"/>
  <c r="AG28" i="30" s="1"/>
  <c r="AH28" i="30" s="1"/>
  <c r="AD28" i="30"/>
  <c r="AE28" i="30" s="1"/>
  <c r="AH24" i="30"/>
  <c r="Y24" i="30"/>
  <c r="D24" i="30"/>
  <c r="D23" i="30"/>
  <c r="AH22" i="30"/>
  <c r="AG22" i="30"/>
  <c r="AF22" i="30"/>
  <c r="AE22" i="30"/>
  <c r="AD22" i="30"/>
  <c r="AC22" i="30"/>
  <c r="AB22" i="30"/>
  <c r="AA22" i="30"/>
  <c r="Y22" i="30"/>
  <c r="X22" i="30"/>
  <c r="W22" i="30"/>
  <c r="V22" i="30"/>
  <c r="U22" i="30"/>
  <c r="T22" i="30"/>
  <c r="D22" i="30"/>
  <c r="Z22" i="30" s="1"/>
  <c r="AH21" i="30"/>
  <c r="AG21" i="30"/>
  <c r="AF21" i="30"/>
  <c r="AD21" i="30"/>
  <c r="AC21" i="30"/>
  <c r="AB21" i="30"/>
  <c r="AA21" i="30"/>
  <c r="Z21" i="30"/>
  <c r="Y21" i="30"/>
  <c r="X21" i="30"/>
  <c r="W21" i="30"/>
  <c r="V21" i="30"/>
  <c r="D21" i="30"/>
  <c r="AA20" i="30"/>
  <c r="D20" i="30"/>
  <c r="AH19" i="30"/>
  <c r="AG19" i="30"/>
  <c r="AF19" i="30"/>
  <c r="AE19" i="30"/>
  <c r="AC19" i="30"/>
  <c r="AB19" i="30"/>
  <c r="AA19" i="30"/>
  <c r="Z19" i="30"/>
  <c r="Y19" i="30"/>
  <c r="X19" i="30"/>
  <c r="W19" i="30"/>
  <c r="V19" i="30"/>
  <c r="U19" i="30"/>
  <c r="T19" i="30"/>
  <c r="D19" i="30"/>
  <c r="AD19" i="30" s="1"/>
  <c r="AH18" i="30"/>
  <c r="AG18" i="30"/>
  <c r="AF18" i="30"/>
  <c r="AE18" i="30"/>
  <c r="AD18" i="30"/>
  <c r="AC18" i="30"/>
  <c r="AB18" i="30"/>
  <c r="AA18" i="30"/>
  <c r="Z18" i="30"/>
  <c r="Y18" i="30"/>
  <c r="W18" i="30"/>
  <c r="V18" i="30"/>
  <c r="D18" i="30"/>
  <c r="X18" i="30" s="1"/>
  <c r="Z17" i="30"/>
  <c r="D17" i="30"/>
  <c r="D16" i="30"/>
  <c r="AH15" i="30"/>
  <c r="AD15" i="30"/>
  <c r="AE15" i="30" s="1"/>
  <c r="AF15" i="30" s="1"/>
  <c r="AG15" i="30" s="1"/>
  <c r="AA11" i="30"/>
  <c r="X11" i="30"/>
  <c r="D11" i="30"/>
  <c r="V10" i="30"/>
  <c r="D10" i="30"/>
  <c r="AC9" i="30"/>
  <c r="AB9" i="30"/>
  <c r="AA9" i="30"/>
  <c r="Z9" i="30"/>
  <c r="Y9" i="30"/>
  <c r="W9" i="30"/>
  <c r="T9" i="30"/>
  <c r="D9" i="30"/>
  <c r="U9" i="30" s="1"/>
  <c r="AC8" i="30"/>
  <c r="AB8" i="30"/>
  <c r="AA8" i="30"/>
  <c r="Z8" i="30"/>
  <c r="Y8" i="30"/>
  <c r="X8" i="30"/>
  <c r="W8" i="30"/>
  <c r="V8" i="30"/>
  <c r="U8" i="30"/>
  <c r="T8" i="30"/>
  <c r="D8" i="30"/>
  <c r="AB7" i="30"/>
  <c r="AA7" i="30"/>
  <c r="Y7" i="30"/>
  <c r="D7" i="30"/>
  <c r="AC6" i="30"/>
  <c r="AB6" i="30"/>
  <c r="AA6" i="30"/>
  <c r="Z6" i="30"/>
  <c r="Y6" i="30"/>
  <c r="U6" i="30"/>
  <c r="T6" i="30"/>
  <c r="D6" i="30"/>
  <c r="X6" i="30" s="1"/>
  <c r="AB5" i="30"/>
  <c r="AA5" i="30"/>
  <c r="Z5" i="30"/>
  <c r="Y5" i="30"/>
  <c r="X5" i="30"/>
  <c r="W5" i="30"/>
  <c r="T5" i="30"/>
  <c r="D5" i="30"/>
  <c r="U5" i="30" s="1"/>
  <c r="AC4" i="30"/>
  <c r="AB4" i="30"/>
  <c r="AA4" i="30"/>
  <c r="X4" i="30"/>
  <c r="T4" i="30"/>
  <c r="D4" i="30"/>
  <c r="AJ54" i="29"/>
  <c r="Z54" i="29"/>
  <c r="D54" i="29"/>
  <c r="AK53" i="29"/>
  <c r="AJ53" i="29"/>
  <c r="AI53" i="29"/>
  <c r="AH53" i="29"/>
  <c r="AF53" i="29"/>
  <c r="AD53" i="29"/>
  <c r="AC53" i="29"/>
  <c r="AB53" i="29"/>
  <c r="AA53" i="29"/>
  <c r="Z53" i="29"/>
  <c r="Y53" i="29"/>
  <c r="X53" i="29"/>
  <c r="W53" i="29"/>
  <c r="D53" i="29"/>
  <c r="AG53" i="29" s="1"/>
  <c r="AE52" i="29"/>
  <c r="AD52" i="29"/>
  <c r="AC52" i="29"/>
  <c r="AB52" i="29"/>
  <c r="Z52" i="29"/>
  <c r="Y52" i="29"/>
  <c r="D52" i="29"/>
  <c r="AI52" i="29" s="1"/>
  <c r="AK51" i="29"/>
  <c r="AJ51" i="29"/>
  <c r="AG51" i="29"/>
  <c r="AF51" i="29"/>
  <c r="W51" i="29"/>
  <c r="D51" i="29"/>
  <c r="AJ50" i="29"/>
  <c r="AI50" i="29"/>
  <c r="AH50" i="29"/>
  <c r="AF50" i="29"/>
  <c r="AE50" i="29"/>
  <c r="AD50" i="29"/>
  <c r="AC50" i="29"/>
  <c r="AB50" i="29"/>
  <c r="AA50" i="29"/>
  <c r="Z50" i="29"/>
  <c r="Y50" i="29"/>
  <c r="D50" i="29"/>
  <c r="AK50" i="29" s="1"/>
  <c r="AK49" i="29"/>
  <c r="AJ49" i="29"/>
  <c r="AF49" i="29"/>
  <c r="AD49" i="29"/>
  <c r="AC49" i="29"/>
  <c r="AB49" i="29"/>
  <c r="Y49" i="29"/>
  <c r="X49" i="29"/>
  <c r="W49" i="29"/>
  <c r="D49" i="29"/>
  <c r="AI48" i="29"/>
  <c r="AC48" i="29"/>
  <c r="D48" i="29"/>
  <c r="AK47" i="29"/>
  <c r="AJ47" i="29"/>
  <c r="AG47" i="29"/>
  <c r="AF47" i="29"/>
  <c r="AE47" i="29"/>
  <c r="AD47" i="29"/>
  <c r="AB47" i="29"/>
  <c r="AA47" i="29"/>
  <c r="W47" i="29"/>
  <c r="D47" i="29"/>
  <c r="AF46" i="29"/>
  <c r="AE46" i="29"/>
  <c r="AD46" i="29"/>
  <c r="AC46" i="29"/>
  <c r="AA46" i="29"/>
  <c r="X46" i="29"/>
  <c r="W46" i="29"/>
  <c r="D46" i="29"/>
  <c r="AJ45" i="29"/>
  <c r="AF45" i="29"/>
  <c r="AA45" i="29"/>
  <c r="Y45" i="29"/>
  <c r="X45" i="29"/>
  <c r="W45" i="29"/>
  <c r="D45" i="29"/>
  <c r="AJ44" i="29"/>
  <c r="AI44" i="29"/>
  <c r="AH44" i="29"/>
  <c r="AG44" i="29"/>
  <c r="AF44" i="29"/>
  <c r="AE44" i="29"/>
  <c r="AD44" i="29"/>
  <c r="AC44" i="29"/>
  <c r="Z44" i="29"/>
  <c r="Y44" i="29"/>
  <c r="X44" i="29"/>
  <c r="D44" i="29"/>
  <c r="W44" i="29" s="1"/>
  <c r="AF43" i="29"/>
  <c r="AG43" i="29" s="1"/>
  <c r="AH43" i="29" s="1"/>
  <c r="AI43" i="29" s="1"/>
  <c r="AJ43" i="29" s="1"/>
  <c r="AK43" i="29" s="1"/>
  <c r="AK39" i="29"/>
  <c r="AH39" i="29"/>
  <c r="AE39" i="29"/>
  <c r="AD39" i="29"/>
  <c r="AC39" i="29"/>
  <c r="Z39" i="29"/>
  <c r="Y39" i="29"/>
  <c r="W39" i="29"/>
  <c r="D39" i="29"/>
  <c r="AK38" i="29"/>
  <c r="AJ38" i="29"/>
  <c r="Z38" i="29"/>
  <c r="X38" i="29"/>
  <c r="W38" i="29"/>
  <c r="D38" i="29"/>
  <c r="AG38" i="29" s="1"/>
  <c r="AJ37" i="29"/>
  <c r="AI37" i="29"/>
  <c r="AH37" i="29"/>
  <c r="AG37" i="29"/>
  <c r="AF37" i="29"/>
  <c r="AE37" i="29"/>
  <c r="AD37" i="29"/>
  <c r="AC37" i="29"/>
  <c r="Y37" i="29"/>
  <c r="X37" i="29"/>
  <c r="W37" i="29"/>
  <c r="D37" i="29"/>
  <c r="Z37" i="29" s="1"/>
  <c r="AC36" i="29"/>
  <c r="D36" i="29"/>
  <c r="AH35" i="29"/>
  <c r="AF35" i="29"/>
  <c r="AE35" i="29"/>
  <c r="AB35" i="29"/>
  <c r="AA35" i="29"/>
  <c r="Z35" i="29"/>
  <c r="Y35" i="29"/>
  <c r="X35" i="29"/>
  <c r="D35" i="29"/>
  <c r="AJ34" i="29"/>
  <c r="AI34" i="29"/>
  <c r="AH34" i="29"/>
  <c r="AG34" i="29"/>
  <c r="AF34" i="29"/>
  <c r="AE34" i="29"/>
  <c r="AB34" i="29"/>
  <c r="AA34" i="29"/>
  <c r="Z34" i="29"/>
  <c r="Y34" i="29"/>
  <c r="W34" i="29"/>
  <c r="D34" i="29"/>
  <c r="D33" i="29"/>
  <c r="AJ32" i="29"/>
  <c r="AI32" i="29"/>
  <c r="AE32" i="29"/>
  <c r="AC32" i="29"/>
  <c r="Z32" i="29"/>
  <c r="Y32" i="29"/>
  <c r="W32" i="29"/>
  <c r="D32" i="29"/>
  <c r="AK31" i="29"/>
  <c r="AJ31" i="29"/>
  <c r="AI31" i="29"/>
  <c r="AF31" i="29"/>
  <c r="AD31" i="29"/>
  <c r="AC31" i="29"/>
  <c r="AA31" i="29"/>
  <c r="Z31" i="29"/>
  <c r="Y31" i="29"/>
  <c r="X31" i="29"/>
  <c r="D31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D30" i="29"/>
  <c r="AK29" i="29"/>
  <c r="AJ29" i="29"/>
  <c r="AI29" i="29"/>
  <c r="AH29" i="29"/>
  <c r="AG29" i="29"/>
  <c r="AF29" i="29"/>
  <c r="AD29" i="29"/>
  <c r="AC29" i="29"/>
  <c r="AB29" i="29"/>
  <c r="AA29" i="29"/>
  <c r="Z29" i="29"/>
  <c r="Y29" i="29"/>
  <c r="X29" i="29"/>
  <c r="W29" i="29"/>
  <c r="D29" i="29"/>
  <c r="AE29" i="29" s="1"/>
  <c r="AJ28" i="29"/>
  <c r="AK28" i="29" s="1"/>
  <c r="AH28" i="29"/>
  <c r="AI28" i="29" s="1"/>
  <c r="AG28" i="29"/>
  <c r="AF28" i="29"/>
  <c r="AI24" i="29"/>
  <c r="AH24" i="29"/>
  <c r="AG24" i="29"/>
  <c r="AD24" i="29"/>
  <c r="Z24" i="29"/>
  <c r="Y24" i="29"/>
  <c r="W24" i="29"/>
  <c r="D24" i="29"/>
  <c r="AG23" i="29"/>
  <c r="Z23" i="29"/>
  <c r="X23" i="29"/>
  <c r="D23" i="29"/>
  <c r="AB22" i="29"/>
  <c r="W22" i="29"/>
  <c r="D22" i="29"/>
  <c r="D21" i="29"/>
  <c r="AK20" i="29"/>
  <c r="AJ20" i="29"/>
  <c r="AI20" i="29"/>
  <c r="AG20" i="29"/>
  <c r="AF20" i="29"/>
  <c r="AE20" i="29"/>
  <c r="AD20" i="29"/>
  <c r="AB20" i="29"/>
  <c r="AA20" i="29"/>
  <c r="Z20" i="29"/>
  <c r="Y20" i="29"/>
  <c r="X20" i="29"/>
  <c r="W20" i="29"/>
  <c r="D20" i="29"/>
  <c r="AH20" i="29" s="1"/>
  <c r="AK19" i="29"/>
  <c r="AI19" i="29"/>
  <c r="AD19" i="29"/>
  <c r="Z19" i="29"/>
  <c r="D19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D18" i="29"/>
  <c r="AD17" i="29"/>
  <c r="AA17" i="29"/>
  <c r="Y17" i="29"/>
  <c r="W17" i="29"/>
  <c r="D17" i="29"/>
  <c r="D16" i="29"/>
  <c r="AG15" i="29"/>
  <c r="AH15" i="29" s="1"/>
  <c r="AI15" i="29" s="1"/>
  <c r="AJ15" i="29" s="1"/>
  <c r="AK15" i="29" s="1"/>
  <c r="AF15" i="29"/>
  <c r="AN11" i="29"/>
  <c r="AJ11" i="29"/>
  <c r="AI11" i="29"/>
  <c r="AH11" i="29"/>
  <c r="AF11" i="29"/>
  <c r="AE11" i="29"/>
  <c r="AC11" i="29"/>
  <c r="AA11" i="29"/>
  <c r="Z11" i="29"/>
  <c r="Y11" i="29"/>
  <c r="X11" i="29"/>
  <c r="D11" i="29"/>
  <c r="AK10" i="29"/>
  <c r="AJ10" i="29"/>
  <c r="AG10" i="29"/>
  <c r="AD10" i="29"/>
  <c r="AC10" i="29"/>
  <c r="Z10" i="29"/>
  <c r="X10" i="29"/>
  <c r="D10" i="29"/>
  <c r="AB10" i="29" s="1"/>
  <c r="AN9" i="29"/>
  <c r="AL9" i="29"/>
  <c r="AK9" i="29"/>
  <c r="AJ9" i="29"/>
  <c r="AI9" i="29"/>
  <c r="AH9" i="29"/>
  <c r="AG9" i="29"/>
  <c r="AE9" i="29"/>
  <c r="AD9" i="29"/>
  <c r="AC9" i="29"/>
  <c r="AB9" i="29"/>
  <c r="AA9" i="29"/>
  <c r="Z9" i="29"/>
  <c r="Y9" i="29"/>
  <c r="X9" i="29"/>
  <c r="W9" i="29"/>
  <c r="D9" i="29"/>
  <c r="AM9" i="29" s="1"/>
  <c r="AM8" i="29"/>
  <c r="AI8" i="29"/>
  <c r="AH8" i="29"/>
  <c r="AG8" i="29"/>
  <c r="AE8" i="29"/>
  <c r="AD8" i="29"/>
  <c r="Z8" i="29"/>
  <c r="X8" i="29"/>
  <c r="W8" i="29"/>
  <c r="D8" i="29"/>
  <c r="AL8" i="29" s="1"/>
  <c r="AN7" i="29"/>
  <c r="AM7" i="29"/>
  <c r="AK7" i="29"/>
  <c r="AJ7" i="29"/>
  <c r="AI7" i="29"/>
  <c r="AF7" i="29"/>
  <c r="AE7" i="29"/>
  <c r="AD7" i="29"/>
  <c r="AC7" i="29"/>
  <c r="AB7" i="29"/>
  <c r="AA7" i="29"/>
  <c r="Y7" i="29"/>
  <c r="X7" i="29"/>
  <c r="W7" i="29"/>
  <c r="D7" i="29"/>
  <c r="AH7" i="29" s="1"/>
  <c r="AM6" i="29"/>
  <c r="AL6" i="29"/>
  <c r="AK6" i="29"/>
  <c r="AH6" i="29"/>
  <c r="AE6" i="29"/>
  <c r="AC6" i="29"/>
  <c r="AB6" i="29"/>
  <c r="Z6" i="29"/>
  <c r="Y6" i="29"/>
  <c r="D6" i="29"/>
  <c r="W5" i="29"/>
  <c r="D5" i="29"/>
  <c r="AL4" i="29"/>
  <c r="AI4" i="29"/>
  <c r="AH4" i="29"/>
  <c r="AG4" i="29"/>
  <c r="AF4" i="29"/>
  <c r="AE4" i="29"/>
  <c r="AD4" i="29"/>
  <c r="Z4" i="29"/>
  <c r="Y4" i="29"/>
  <c r="W4" i="29"/>
  <c r="D4" i="29"/>
  <c r="D11" i="28"/>
  <c r="X10" i="28"/>
  <c r="W10" i="28"/>
  <c r="V10" i="28"/>
  <c r="U10" i="28"/>
  <c r="T10" i="28"/>
  <c r="S10" i="28"/>
  <c r="R10" i="28"/>
  <c r="Q10" i="28"/>
  <c r="P10" i="28"/>
  <c r="O10" i="28"/>
  <c r="W9" i="28"/>
  <c r="D9" i="28"/>
  <c r="X8" i="28"/>
  <c r="V8" i="28"/>
  <c r="U8" i="28"/>
  <c r="T8" i="28"/>
  <c r="S8" i="28"/>
  <c r="Q8" i="28"/>
  <c r="P8" i="28"/>
  <c r="O8" i="28"/>
  <c r="D8" i="28"/>
  <c r="W7" i="28"/>
  <c r="V7" i="28"/>
  <c r="U7" i="28"/>
  <c r="T7" i="28"/>
  <c r="S7" i="28"/>
  <c r="R7" i="28"/>
  <c r="Q7" i="28"/>
  <c r="P7" i="28"/>
  <c r="O7" i="28"/>
  <c r="D7" i="28"/>
  <c r="X7" i="28" s="1"/>
  <c r="W6" i="28"/>
  <c r="U6" i="28"/>
  <c r="T6" i="28"/>
  <c r="S6" i="28"/>
  <c r="R6" i="28"/>
  <c r="Q6" i="28"/>
  <c r="D6" i="28"/>
  <c r="X6" i="28" s="1"/>
  <c r="X5" i="28"/>
  <c r="V5" i="28"/>
  <c r="Q5" i="28"/>
  <c r="D5" i="28"/>
  <c r="U4" i="28"/>
  <c r="T4" i="28"/>
  <c r="Q4" i="28"/>
  <c r="O4" i="28"/>
  <c r="D4" i="28"/>
  <c r="X11" i="27"/>
  <c r="V11" i="27"/>
  <c r="T11" i="27"/>
  <c r="S11" i="27"/>
  <c r="R11" i="27"/>
  <c r="Q11" i="27"/>
  <c r="P11" i="27"/>
  <c r="Z11" i="27" s="1"/>
  <c r="D11" i="27"/>
  <c r="U11" i="27" s="1"/>
  <c r="X10" i="27"/>
  <c r="W10" i="27"/>
  <c r="V10" i="27"/>
  <c r="U10" i="27"/>
  <c r="T10" i="27"/>
  <c r="S10" i="27"/>
  <c r="R10" i="27"/>
  <c r="Q10" i="27"/>
  <c r="P10" i="27"/>
  <c r="Z10" i="27" s="1"/>
  <c r="O10" i="27"/>
  <c r="V9" i="27"/>
  <c r="S9" i="27"/>
  <c r="R9" i="27"/>
  <c r="P9" i="27"/>
  <c r="D9" i="27"/>
  <c r="X8" i="27"/>
  <c r="W8" i="27"/>
  <c r="V8" i="27"/>
  <c r="T8" i="27"/>
  <c r="S8" i="27"/>
  <c r="R8" i="27"/>
  <c r="Q8" i="27"/>
  <c r="P8" i="27"/>
  <c r="O8" i="27"/>
  <c r="D8" i="27"/>
  <c r="U8" i="27" s="1"/>
  <c r="D7" i="27"/>
  <c r="X6" i="27"/>
  <c r="T6" i="27"/>
  <c r="D6" i="27"/>
  <c r="X5" i="27"/>
  <c r="W5" i="27"/>
  <c r="V5" i="27"/>
  <c r="U5" i="27"/>
  <c r="T5" i="27"/>
  <c r="R5" i="27"/>
  <c r="Q5" i="27"/>
  <c r="O5" i="27"/>
  <c r="D5" i="27"/>
  <c r="P5" i="27" s="1"/>
  <c r="T4" i="27"/>
  <c r="S4" i="27"/>
  <c r="Q4" i="27"/>
  <c r="D4" i="27"/>
  <c r="U11" i="26"/>
  <c r="T11" i="26"/>
  <c r="S11" i="26"/>
  <c r="Q11" i="26"/>
  <c r="P11" i="26"/>
  <c r="Z11" i="26" s="1"/>
  <c r="D11" i="26"/>
  <c r="X11" i="26" s="1"/>
  <c r="X10" i="26"/>
  <c r="W10" i="26"/>
  <c r="V10" i="26"/>
  <c r="T10" i="26"/>
  <c r="S10" i="26"/>
  <c r="R10" i="26"/>
  <c r="Q10" i="26"/>
  <c r="P10" i="26"/>
  <c r="O10" i="26"/>
  <c r="D10" i="26"/>
  <c r="U10" i="26" s="1"/>
  <c r="X9" i="26"/>
  <c r="W9" i="26"/>
  <c r="V9" i="26"/>
  <c r="U9" i="26"/>
  <c r="T9" i="26"/>
  <c r="S9" i="26"/>
  <c r="R9" i="26"/>
  <c r="Q9" i="26"/>
  <c r="P9" i="26"/>
  <c r="O9" i="26"/>
  <c r="D8" i="26"/>
  <c r="T7" i="26"/>
  <c r="S7" i="26"/>
  <c r="D7" i="26"/>
  <c r="X6" i="26"/>
  <c r="W6" i="26"/>
  <c r="V6" i="26"/>
  <c r="T6" i="26"/>
  <c r="S6" i="26"/>
  <c r="R6" i="26"/>
  <c r="Q6" i="26"/>
  <c r="P6" i="26"/>
  <c r="D6" i="26"/>
  <c r="U6" i="26" s="1"/>
  <c r="X5" i="26"/>
  <c r="U5" i="26"/>
  <c r="T5" i="26"/>
  <c r="R5" i="26"/>
  <c r="P5" i="26"/>
  <c r="O5" i="26"/>
  <c r="D5" i="26"/>
  <c r="X4" i="26"/>
  <c r="V4" i="26"/>
  <c r="U4" i="26"/>
  <c r="T4" i="26"/>
  <c r="S4" i="26"/>
  <c r="R4" i="26"/>
  <c r="D4" i="26"/>
  <c r="Y12" i="25"/>
  <c r="D12" i="25"/>
  <c r="AH11" i="25"/>
  <c r="AD11" i="25"/>
  <c r="AC11" i="25"/>
  <c r="AB11" i="25"/>
  <c r="Z11" i="25"/>
  <c r="D11" i="25"/>
  <c r="D10" i="25"/>
  <c r="AH9" i="25"/>
  <c r="AG9" i="25"/>
  <c r="AC9" i="25"/>
  <c r="AB9" i="25"/>
  <c r="X9" i="25"/>
  <c r="W9" i="25"/>
  <c r="U9" i="25"/>
  <c r="T9" i="25"/>
  <c r="D9" i="25"/>
  <c r="AF8" i="25"/>
  <c r="AC8" i="25"/>
  <c r="AB8" i="25"/>
  <c r="D8" i="25"/>
  <c r="D7" i="25"/>
  <c r="AH6" i="25"/>
  <c r="AG6" i="25"/>
  <c r="AF6" i="25"/>
  <c r="AE6" i="25"/>
  <c r="AD6" i="25"/>
  <c r="AC6" i="25"/>
  <c r="AB6" i="25"/>
  <c r="AA6" i="25"/>
  <c r="Z6" i="25"/>
  <c r="Y6" i="25"/>
  <c r="X6" i="25"/>
  <c r="W6" i="25"/>
  <c r="V6" i="25"/>
  <c r="U6" i="25"/>
  <c r="T6" i="25"/>
  <c r="AJ6" i="25" s="1"/>
  <c r="D6" i="25"/>
  <c r="AE5" i="25"/>
  <c r="AC5" i="25"/>
  <c r="AB5" i="25"/>
  <c r="Y5" i="25"/>
  <c r="T5" i="25"/>
  <c r="D5" i="25"/>
  <c r="AH4" i="25"/>
  <c r="AF4" i="25"/>
  <c r="AE4" i="25"/>
  <c r="AB4" i="25"/>
  <c r="AA4" i="25"/>
  <c r="Z4" i="25"/>
  <c r="X4" i="25"/>
  <c r="V4" i="25"/>
  <c r="U4" i="25"/>
  <c r="T4" i="25"/>
  <c r="D4" i="25"/>
  <c r="AE3" i="25"/>
  <c r="AF3" i="25" s="1"/>
  <c r="AG3" i="25" s="1"/>
  <c r="AH3" i="25" s="1"/>
  <c r="AD3" i="25"/>
  <c r="AE14" i="24"/>
  <c r="Y14" i="24"/>
  <c r="D14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V13" i="24"/>
  <c r="U13" i="24"/>
  <c r="T13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D12" i="24"/>
  <c r="AF11" i="24"/>
  <c r="Y11" i="24"/>
  <c r="T11" i="24"/>
  <c r="D11" i="24"/>
  <c r="AB10" i="24"/>
  <c r="AA10" i="24"/>
  <c r="W10" i="24"/>
  <c r="V10" i="24"/>
  <c r="T10" i="24"/>
  <c r="D10" i="24"/>
  <c r="AE9" i="24"/>
  <c r="AD9" i="24"/>
  <c r="Y9" i="24"/>
  <c r="D9" i="24"/>
  <c r="AF8" i="24"/>
  <c r="AC8" i="24"/>
  <c r="AB8" i="24"/>
  <c r="AA8" i="24"/>
  <c r="Z8" i="24"/>
  <c r="Y8" i="24"/>
  <c r="V8" i="24"/>
  <c r="D8" i="24"/>
  <c r="AG7" i="24"/>
  <c r="AF7" i="24"/>
  <c r="AC7" i="24"/>
  <c r="AA7" i="24"/>
  <c r="Y7" i="24"/>
  <c r="W7" i="24"/>
  <c r="V7" i="24"/>
  <c r="U7" i="24"/>
  <c r="T7" i="24"/>
  <c r="D7" i="24"/>
  <c r="AH6" i="24"/>
  <c r="AG6" i="24"/>
  <c r="AF6" i="24"/>
  <c r="AC6" i="24"/>
  <c r="AB6" i="24"/>
  <c r="AA6" i="24"/>
  <c r="Y6" i="24"/>
  <c r="X6" i="24"/>
  <c r="V6" i="24"/>
  <c r="U6" i="24"/>
  <c r="T6" i="24"/>
  <c r="D6" i="24"/>
  <c r="AE5" i="24"/>
  <c r="X5" i="24"/>
  <c r="D5" i="24"/>
  <c r="AG4" i="24"/>
  <c r="AF4" i="24"/>
  <c r="AE4" i="24"/>
  <c r="AC4" i="24"/>
  <c r="AA4" i="24"/>
  <c r="Z4" i="24"/>
  <c r="D4" i="24"/>
  <c r="AE3" i="24"/>
  <c r="AF3" i="24" s="1"/>
  <c r="AG3" i="24" s="1"/>
  <c r="AH3" i="24" s="1"/>
  <c r="AD3" i="24"/>
  <c r="AJ11" i="23"/>
  <c r="AH11" i="23"/>
  <c r="AG11" i="23"/>
  <c r="AF11" i="23"/>
  <c r="AE11" i="23"/>
  <c r="AD11" i="23"/>
  <c r="AC11" i="23"/>
  <c r="AB11" i="23"/>
  <c r="AA11" i="23"/>
  <c r="Z11" i="23"/>
  <c r="Y11" i="23"/>
  <c r="X11" i="23"/>
  <c r="V11" i="23"/>
  <c r="U11" i="23"/>
  <c r="T11" i="23"/>
  <c r="D11" i="23"/>
  <c r="W11" i="23" s="1"/>
  <c r="AH10" i="23"/>
  <c r="AG10" i="23"/>
  <c r="AF10" i="23"/>
  <c r="AD10" i="23"/>
  <c r="AB10" i="23"/>
  <c r="AA10" i="23"/>
  <c r="Y10" i="23"/>
  <c r="X10" i="23"/>
  <c r="W10" i="23"/>
  <c r="V10" i="23"/>
  <c r="U10" i="23"/>
  <c r="T10" i="23"/>
  <c r="D10" i="23"/>
  <c r="D9" i="23"/>
  <c r="D8" i="23"/>
  <c r="AH7" i="23"/>
  <c r="AG7" i="23"/>
  <c r="X7" i="23"/>
  <c r="T7" i="23"/>
  <c r="D7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D6" i="23"/>
  <c r="AA5" i="23"/>
  <c r="Y5" i="23"/>
  <c r="V5" i="23"/>
  <c r="D5" i="23"/>
  <c r="AH4" i="23"/>
  <c r="AG4" i="23"/>
  <c r="AE4" i="23"/>
  <c r="AC4" i="23"/>
  <c r="AA4" i="23"/>
  <c r="Z4" i="23"/>
  <c r="Y4" i="23"/>
  <c r="X4" i="23"/>
  <c r="W4" i="23"/>
  <c r="U4" i="23"/>
  <c r="T4" i="23"/>
  <c r="D4" i="23"/>
  <c r="AC3" i="23"/>
  <c r="AD3" i="23" s="1"/>
  <c r="AE3" i="23" s="1"/>
  <c r="AF3" i="23" s="1"/>
  <c r="AG3" i="23" s="1"/>
  <c r="AH3" i="23" s="1"/>
  <c r="AH11" i="22"/>
  <c r="U11" i="22"/>
  <c r="D11" i="22"/>
  <c r="X10" i="22"/>
  <c r="T10" i="22"/>
  <c r="D10" i="22"/>
  <c r="D9" i="22"/>
  <c r="AH8" i="22"/>
  <c r="AG8" i="22"/>
  <c r="AF8" i="22"/>
  <c r="AE8" i="22"/>
  <c r="AD8" i="22"/>
  <c r="AC8" i="22"/>
  <c r="AB8" i="22"/>
  <c r="Z8" i="22"/>
  <c r="Y8" i="22"/>
  <c r="W8" i="22"/>
  <c r="V8" i="22"/>
  <c r="T8" i="22"/>
  <c r="D8" i="22"/>
  <c r="Y7" i="22"/>
  <c r="X7" i="22"/>
  <c r="V7" i="22"/>
  <c r="D7" i="22"/>
  <c r="AH6" i="22"/>
  <c r="AF6" i="22"/>
  <c r="AD6" i="22"/>
  <c r="AC6" i="22"/>
  <c r="AB6" i="22"/>
  <c r="Z6" i="22"/>
  <c r="Y6" i="22"/>
  <c r="D6" i="22"/>
  <c r="AD5" i="22"/>
  <c r="X5" i="22"/>
  <c r="D5" i="22"/>
  <c r="AH4" i="22"/>
  <c r="AG4" i="22"/>
  <c r="AF4" i="22"/>
  <c r="AE4" i="22"/>
  <c r="AD4" i="22"/>
  <c r="AC4" i="22"/>
  <c r="AB4" i="22"/>
  <c r="AA4" i="22"/>
  <c r="Z4" i="22"/>
  <c r="Y4" i="22"/>
  <c r="X4" i="22"/>
  <c r="V4" i="22"/>
  <c r="U4" i="22"/>
  <c r="T4" i="22"/>
  <c r="D4" i="22"/>
  <c r="W4" i="22" s="1"/>
  <c r="AE3" i="22"/>
  <c r="AF3" i="22" s="1"/>
  <c r="AG3" i="22" s="1"/>
  <c r="AH3" i="22" s="1"/>
  <c r="AD3" i="22"/>
  <c r="U10" i="21"/>
  <c r="T10" i="21"/>
  <c r="R10" i="21"/>
  <c r="D10" i="21"/>
  <c r="P10" i="21" s="1"/>
  <c r="X9" i="21"/>
  <c r="W9" i="21"/>
  <c r="U9" i="21"/>
  <c r="T9" i="21"/>
  <c r="S9" i="21"/>
  <c r="P9" i="21"/>
  <c r="D9" i="21"/>
  <c r="S8" i="21"/>
  <c r="R8" i="21"/>
  <c r="P8" i="21"/>
  <c r="D8" i="21"/>
  <c r="Q8" i="21" s="1"/>
  <c r="V7" i="21"/>
  <c r="T7" i="21"/>
  <c r="D7" i="21"/>
  <c r="X6" i="21"/>
  <c r="D6" i="21"/>
  <c r="X5" i="21"/>
  <c r="W5" i="21"/>
  <c r="V5" i="21"/>
  <c r="U5" i="21"/>
  <c r="T5" i="21"/>
  <c r="S5" i="21"/>
  <c r="Q5" i="21"/>
  <c r="P5" i="21"/>
  <c r="O5" i="21"/>
  <c r="D5" i="21"/>
  <c r="R5" i="21" s="1"/>
  <c r="X4" i="21"/>
  <c r="U4" i="21"/>
  <c r="S4" i="21"/>
  <c r="D4" i="21"/>
  <c r="AH24" i="20"/>
  <c r="AF24" i="20"/>
  <c r="AD24" i="20"/>
  <c r="Y24" i="20"/>
  <c r="X24" i="20"/>
  <c r="W24" i="20"/>
  <c r="V24" i="20"/>
  <c r="D24" i="20"/>
  <c r="T24" i="20" s="1"/>
  <c r="AJ24" i="20" s="1"/>
  <c r="AA23" i="20"/>
  <c r="Z23" i="20"/>
  <c r="W23" i="20"/>
  <c r="D23" i="20"/>
  <c r="AG22" i="20"/>
  <c r="AF22" i="20"/>
  <c r="AE22" i="20"/>
  <c r="AC22" i="20"/>
  <c r="AB22" i="20"/>
  <c r="X22" i="20"/>
  <c r="D22" i="20"/>
  <c r="AH22" i="20" s="1"/>
  <c r="D21" i="20"/>
  <c r="AG20" i="20"/>
  <c r="AF20" i="20"/>
  <c r="AB20" i="20"/>
  <c r="Y20" i="20"/>
  <c r="W20" i="20"/>
  <c r="U20" i="20"/>
  <c r="T20" i="20"/>
  <c r="D20" i="20"/>
  <c r="AB19" i="20"/>
  <c r="AA19" i="20"/>
  <c r="Y19" i="20"/>
  <c r="W19" i="20"/>
  <c r="V19" i="20"/>
  <c r="U19" i="20"/>
  <c r="T19" i="20"/>
  <c r="D19" i="20"/>
  <c r="AE19" i="20" s="1"/>
  <c r="Y18" i="20"/>
  <c r="X18" i="20"/>
  <c r="T18" i="20"/>
  <c r="D18" i="20"/>
  <c r="AH17" i="20"/>
  <c r="AG17" i="20"/>
  <c r="AF17" i="20"/>
  <c r="AE17" i="20"/>
  <c r="AD17" i="20"/>
  <c r="AC17" i="20"/>
  <c r="AB17" i="20"/>
  <c r="AA17" i="20"/>
  <c r="X17" i="20"/>
  <c r="T17" i="20"/>
  <c r="D17" i="20"/>
  <c r="W16" i="20"/>
  <c r="D16" i="20"/>
  <c r="AE15" i="20"/>
  <c r="AF15" i="20" s="1"/>
  <c r="AG15" i="20" s="1"/>
  <c r="AH15" i="20" s="1"/>
  <c r="AD15" i="20"/>
  <c r="AH11" i="20"/>
  <c r="AD11" i="20"/>
  <c r="AC11" i="20"/>
  <c r="AA11" i="20"/>
  <c r="Z11" i="20"/>
  <c r="Y11" i="20"/>
  <c r="X11" i="20"/>
  <c r="W11" i="20"/>
  <c r="V11" i="20"/>
  <c r="T11" i="20"/>
  <c r="AJ11" i="20" s="1"/>
  <c r="D11" i="20"/>
  <c r="AG11" i="20" s="1"/>
  <c r="AB10" i="20"/>
  <c r="AA10" i="20"/>
  <c r="W10" i="20"/>
  <c r="V10" i="20"/>
  <c r="T10" i="20"/>
  <c r="D10" i="20"/>
  <c r="T23" i="20" s="1"/>
  <c r="AH9" i="20"/>
  <c r="AG9" i="20"/>
  <c r="AE9" i="20"/>
  <c r="AD9" i="20"/>
  <c r="AB9" i="20"/>
  <c r="X9" i="20"/>
  <c r="W9" i="20"/>
  <c r="D9" i="20"/>
  <c r="X8" i="20"/>
  <c r="D8" i="20"/>
  <c r="AG7" i="20"/>
  <c r="AD7" i="20"/>
  <c r="AC7" i="20"/>
  <c r="AA7" i="20"/>
  <c r="X7" i="20"/>
  <c r="W7" i="20"/>
  <c r="U7" i="20"/>
  <c r="T7" i="20"/>
  <c r="D7" i="20"/>
  <c r="AH6" i="20"/>
  <c r="AG6" i="20"/>
  <c r="AF6" i="20"/>
  <c r="AE6" i="20"/>
  <c r="AC6" i="20"/>
  <c r="Y6" i="20"/>
  <c r="X6" i="20"/>
  <c r="W6" i="20"/>
  <c r="U6" i="20"/>
  <c r="T6" i="20"/>
  <c r="D6" i="20"/>
  <c r="AH5" i="20"/>
  <c r="AG5" i="20"/>
  <c r="AF5" i="20"/>
  <c r="AD5" i="20"/>
  <c r="AC5" i="20"/>
  <c r="AB5" i="20"/>
  <c r="AA5" i="20"/>
  <c r="Y5" i="20"/>
  <c r="X5" i="20"/>
  <c r="W5" i="20"/>
  <c r="V5" i="20"/>
  <c r="D5" i="20"/>
  <c r="AH4" i="20"/>
  <c r="AG4" i="20"/>
  <c r="X4" i="20"/>
  <c r="T4" i="20"/>
  <c r="D4" i="20"/>
  <c r="AH3" i="20"/>
  <c r="AF3" i="20"/>
  <c r="AG3" i="20" s="1"/>
  <c r="AE3" i="20"/>
  <c r="AD3" i="20"/>
  <c r="D22" i="19"/>
  <c r="AA21" i="19"/>
  <c r="D21" i="19"/>
  <c r="AH20" i="19"/>
  <c r="AE20" i="19"/>
  <c r="AD20" i="19"/>
  <c r="AC20" i="19"/>
  <c r="AB20" i="19"/>
  <c r="AA20" i="19"/>
  <c r="Y20" i="19"/>
  <c r="X20" i="19"/>
  <c r="U20" i="19"/>
  <c r="D20" i="19"/>
  <c r="AD19" i="19"/>
  <c r="D19" i="19"/>
  <c r="AG18" i="19"/>
  <c r="AF18" i="19"/>
  <c r="AD18" i="19"/>
  <c r="AB18" i="19"/>
  <c r="AA18" i="19"/>
  <c r="Z18" i="19"/>
  <c r="U18" i="19"/>
  <c r="T18" i="19"/>
  <c r="D18" i="19"/>
  <c r="AG17" i="19"/>
  <c r="AF17" i="19"/>
  <c r="AD17" i="19"/>
  <c r="AC17" i="19"/>
  <c r="AB17" i="19"/>
  <c r="AA17" i="19"/>
  <c r="Y17" i="19"/>
  <c r="X17" i="19"/>
  <c r="D17" i="19"/>
  <c r="AH17" i="19" s="1"/>
  <c r="V16" i="19"/>
  <c r="D16" i="19"/>
  <c r="AE16" i="19" s="1"/>
  <c r="D15" i="19"/>
  <c r="AE14" i="19"/>
  <c r="AF14" i="19" s="1"/>
  <c r="AG14" i="19" s="1"/>
  <c r="AH14" i="19" s="1"/>
  <c r="AD14" i="19"/>
  <c r="AJ10" i="19"/>
  <c r="AG10" i="19"/>
  <c r="AF10" i="19"/>
  <c r="AC10" i="19"/>
  <c r="AB10" i="19"/>
  <c r="AA10" i="19"/>
  <c r="Z10" i="19"/>
  <c r="Y10" i="19"/>
  <c r="W10" i="19"/>
  <c r="U10" i="19"/>
  <c r="T10" i="19"/>
  <c r="D10" i="19"/>
  <c r="AH10" i="19" s="1"/>
  <c r="AH9" i="19"/>
  <c r="AF9" i="19"/>
  <c r="AE9" i="19"/>
  <c r="AD9" i="19"/>
  <c r="AC9" i="19"/>
  <c r="AB9" i="19"/>
  <c r="AA9" i="19"/>
  <c r="Y9" i="19"/>
  <c r="X9" i="19"/>
  <c r="W9" i="19"/>
  <c r="V9" i="19"/>
  <c r="U9" i="19"/>
  <c r="T9" i="19"/>
  <c r="D9" i="19"/>
  <c r="Z9" i="19" s="1"/>
  <c r="AH8" i="19"/>
  <c r="AD8" i="19"/>
  <c r="D8" i="19"/>
  <c r="AH7" i="19"/>
  <c r="AE7" i="19"/>
  <c r="AD7" i="19"/>
  <c r="AC7" i="19"/>
  <c r="AB7" i="19"/>
  <c r="AA7" i="19"/>
  <c r="Z7" i="19"/>
  <c r="X7" i="19"/>
  <c r="V7" i="19"/>
  <c r="T7" i="19"/>
  <c r="D7" i="19"/>
  <c r="AG7" i="19" s="1"/>
  <c r="AG6" i="19"/>
  <c r="AF6" i="19"/>
  <c r="AD6" i="19"/>
  <c r="AC6" i="19"/>
  <c r="Y6" i="19"/>
  <c r="V6" i="19"/>
  <c r="U6" i="19"/>
  <c r="T6" i="19"/>
  <c r="D6" i="19"/>
  <c r="AG5" i="19"/>
  <c r="AD5" i="19"/>
  <c r="AC5" i="19"/>
  <c r="AB5" i="19"/>
  <c r="Z5" i="19"/>
  <c r="Y5" i="19"/>
  <c r="X5" i="19"/>
  <c r="U5" i="19"/>
  <c r="T5" i="19"/>
  <c r="D5" i="19"/>
  <c r="AH4" i="19"/>
  <c r="AG4" i="19"/>
  <c r="AF4" i="19"/>
  <c r="AD4" i="19"/>
  <c r="AC4" i="19"/>
  <c r="AA4" i="19"/>
  <c r="Z4" i="19"/>
  <c r="W4" i="19"/>
  <c r="V4" i="19"/>
  <c r="U4" i="19"/>
  <c r="T4" i="19"/>
  <c r="D4" i="19"/>
  <c r="AF3" i="19"/>
  <c r="AG3" i="19" s="1"/>
  <c r="AH3" i="19" s="1"/>
  <c r="AD3" i="19"/>
  <c r="AE3" i="19" s="1"/>
  <c r="AC41" i="18"/>
  <c r="AA41" i="18"/>
  <c r="V41" i="18"/>
  <c r="D41" i="18"/>
  <c r="AH40" i="18"/>
  <c r="AJ40" i="18" s="1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D40" i="18"/>
  <c r="T40" i="18" s="1"/>
  <c r="AH39" i="18"/>
  <c r="AF39" i="18"/>
  <c r="AE39" i="18"/>
  <c r="AD39" i="18"/>
  <c r="AC39" i="18"/>
  <c r="AB39" i="18"/>
  <c r="Z39" i="18"/>
  <c r="W39" i="18"/>
  <c r="V39" i="18"/>
  <c r="U39" i="18"/>
  <c r="D39" i="18"/>
  <c r="AG39" i="18" s="1"/>
  <c r="AG38" i="18"/>
  <c r="AE38" i="18"/>
  <c r="AB38" i="18"/>
  <c r="AA38" i="18"/>
  <c r="V38" i="18"/>
  <c r="D38" i="18"/>
  <c r="AH37" i="18"/>
  <c r="AG37" i="18"/>
  <c r="AE37" i="18"/>
  <c r="AD37" i="18"/>
  <c r="AC37" i="18"/>
  <c r="AB37" i="18"/>
  <c r="X37" i="18"/>
  <c r="W37" i="18"/>
  <c r="U37" i="18"/>
  <c r="T37" i="18"/>
  <c r="D37" i="18"/>
  <c r="Z37" i="18" s="1"/>
  <c r="AH36" i="18"/>
  <c r="AG36" i="18"/>
  <c r="AF36" i="18"/>
  <c r="AD36" i="18"/>
  <c r="AB36" i="18"/>
  <c r="AA36" i="18"/>
  <c r="Z36" i="18"/>
  <c r="X36" i="18"/>
  <c r="W36" i="18"/>
  <c r="U36" i="18"/>
  <c r="T36" i="18"/>
  <c r="D36" i="18"/>
  <c r="AH35" i="18"/>
  <c r="AF35" i="18"/>
  <c r="AE35" i="18"/>
  <c r="AC35" i="18"/>
  <c r="AB35" i="18"/>
  <c r="Y35" i="18"/>
  <c r="X35" i="18"/>
  <c r="V35" i="18"/>
  <c r="U35" i="18"/>
  <c r="T35" i="18"/>
  <c r="D35" i="18"/>
  <c r="AH34" i="18"/>
  <c r="AG34" i="18"/>
  <c r="AF34" i="18"/>
  <c r="AE34" i="18"/>
  <c r="AC34" i="18"/>
  <c r="AB34" i="18"/>
  <c r="AA34" i="18"/>
  <c r="Y34" i="18"/>
  <c r="X34" i="18"/>
  <c r="V34" i="18"/>
  <c r="U34" i="18"/>
  <c r="T34" i="18"/>
  <c r="D34" i="18"/>
  <c r="W34" i="18" s="1"/>
  <c r="AH33" i="18"/>
  <c r="AG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D33" i="18"/>
  <c r="AF33" i="18" s="1"/>
  <c r="AF32" i="18"/>
  <c r="AG32" i="18" s="1"/>
  <c r="AH32" i="18" s="1"/>
  <c r="AE32" i="18"/>
  <c r="AD32" i="18"/>
  <c r="AJ28" i="18"/>
  <c r="AG28" i="18"/>
  <c r="AF28" i="18"/>
  <c r="AD28" i="18"/>
  <c r="AC28" i="18"/>
  <c r="Y28" i="18"/>
  <c r="X28" i="18"/>
  <c r="W28" i="18"/>
  <c r="V28" i="18"/>
  <c r="U28" i="18"/>
  <c r="T28" i="18"/>
  <c r="D28" i="18"/>
  <c r="AH28" i="18" s="1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AJ27" i="18" s="1"/>
  <c r="AH26" i="18"/>
  <c r="AG26" i="18"/>
  <c r="AF26" i="18"/>
  <c r="AE26" i="18"/>
  <c r="AD26" i="18"/>
  <c r="AC26" i="18"/>
  <c r="AA26" i="18"/>
  <c r="Z26" i="18"/>
  <c r="Y26" i="18"/>
  <c r="X26" i="18"/>
  <c r="W26" i="18"/>
  <c r="V26" i="18"/>
  <c r="U26" i="18"/>
  <c r="T26" i="18"/>
  <c r="AJ26" i="18" s="1"/>
  <c r="D26" i="18"/>
  <c r="AB26" i="18" s="1"/>
  <c r="AH25" i="18"/>
  <c r="AF25" i="18"/>
  <c r="AE25" i="18"/>
  <c r="AD25" i="18"/>
  <c r="AC25" i="18"/>
  <c r="AB25" i="18"/>
  <c r="AA25" i="18"/>
  <c r="Z25" i="18"/>
  <c r="Y25" i="18"/>
  <c r="W25" i="18"/>
  <c r="V25" i="18"/>
  <c r="U25" i="18"/>
  <c r="D25" i="18"/>
  <c r="X25" i="18" s="1"/>
  <c r="AB24" i="18"/>
  <c r="Y24" i="18"/>
  <c r="D24" i="18"/>
  <c r="AH23" i="18"/>
  <c r="AG23" i="18"/>
  <c r="AF23" i="18"/>
  <c r="AD23" i="18"/>
  <c r="AB23" i="18"/>
  <c r="AA23" i="18"/>
  <c r="Y23" i="18"/>
  <c r="X23" i="18"/>
  <c r="V23" i="18"/>
  <c r="U23" i="18"/>
  <c r="T23" i="18"/>
  <c r="D23" i="18"/>
  <c r="AG22" i="18"/>
  <c r="AF22" i="18"/>
  <c r="AE22" i="18"/>
  <c r="AD22" i="18"/>
  <c r="AC22" i="18"/>
  <c r="AB22" i="18"/>
  <c r="AA22" i="18"/>
  <c r="Z22" i="18"/>
  <c r="X22" i="18"/>
  <c r="V22" i="18"/>
  <c r="U22" i="18"/>
  <c r="T22" i="18"/>
  <c r="D22" i="18"/>
  <c r="D21" i="18"/>
  <c r="AE20" i="18"/>
  <c r="D20" i="18"/>
  <c r="AH19" i="18"/>
  <c r="AG19" i="18"/>
  <c r="AF19" i="18"/>
  <c r="AE19" i="18"/>
  <c r="AD19" i="18"/>
  <c r="AC19" i="18"/>
  <c r="AB19" i="18"/>
  <c r="Y19" i="18"/>
  <c r="T19" i="18"/>
  <c r="D19" i="18"/>
  <c r="AH18" i="18"/>
  <c r="AF18" i="18"/>
  <c r="AD18" i="18"/>
  <c r="AA18" i="18"/>
  <c r="V18" i="18"/>
  <c r="D18" i="18"/>
  <c r="AD17" i="18"/>
  <c r="AE17" i="18" s="1"/>
  <c r="AF17" i="18" s="1"/>
  <c r="AG17" i="18" s="1"/>
  <c r="AH17" i="18" s="1"/>
  <c r="AF13" i="18"/>
  <c r="AE13" i="18"/>
  <c r="AC13" i="18"/>
  <c r="AB13" i="18"/>
  <c r="Y13" i="18"/>
  <c r="W13" i="18"/>
  <c r="V13" i="18"/>
  <c r="U13" i="18"/>
  <c r="T13" i="18"/>
  <c r="AJ13" i="18" s="1"/>
  <c r="D13" i="18"/>
  <c r="AD12" i="18"/>
  <c r="D12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W10" i="18"/>
  <c r="D10" i="18"/>
  <c r="X9" i="18"/>
  <c r="V9" i="18"/>
  <c r="D9" i="18"/>
  <c r="AH8" i="18"/>
  <c r="AG8" i="18"/>
  <c r="AE8" i="18"/>
  <c r="AB8" i="18"/>
  <c r="AA8" i="18"/>
  <c r="Y8" i="18"/>
  <c r="X8" i="18"/>
  <c r="V8" i="18"/>
  <c r="U8" i="18"/>
  <c r="D8" i="18"/>
  <c r="AH7" i="18"/>
  <c r="AF7" i="18"/>
  <c r="AD7" i="18"/>
  <c r="AA7" i="18"/>
  <c r="Z7" i="18"/>
  <c r="W7" i="18"/>
  <c r="V7" i="18"/>
  <c r="T7" i="18"/>
  <c r="D7" i="18"/>
  <c r="AH6" i="18"/>
  <c r="AF6" i="18"/>
  <c r="AE6" i="18"/>
  <c r="AD6" i="18"/>
  <c r="AC6" i="18"/>
  <c r="AB6" i="18"/>
  <c r="AA6" i="18"/>
  <c r="Z6" i="18"/>
  <c r="Y6" i="18"/>
  <c r="W6" i="18"/>
  <c r="V6" i="18"/>
  <c r="U6" i="18"/>
  <c r="D6" i="18"/>
  <c r="X6" i="18" s="1"/>
  <c r="AD5" i="18"/>
  <c r="W5" i="18"/>
  <c r="D5" i="18"/>
  <c r="AH4" i="18"/>
  <c r="AD4" i="18"/>
  <c r="AB4" i="18"/>
  <c r="AA4" i="18"/>
  <c r="X4" i="18"/>
  <c r="U4" i="18"/>
  <c r="T4" i="18"/>
  <c r="D4" i="18"/>
  <c r="AD3" i="18"/>
  <c r="AE3" i="18" s="1"/>
  <c r="AF3" i="18" s="1"/>
  <c r="AG3" i="18" s="1"/>
  <c r="AH3" i="18" s="1"/>
  <c r="D11" i="17"/>
  <c r="X10" i="17"/>
  <c r="W10" i="17"/>
  <c r="V10" i="17"/>
  <c r="U10" i="17"/>
  <c r="T10" i="17"/>
  <c r="S10" i="17"/>
  <c r="R10" i="17"/>
  <c r="Q10" i="17"/>
  <c r="P10" i="17"/>
  <c r="O10" i="17"/>
  <c r="Z10" i="17" s="1"/>
  <c r="X9" i="17"/>
  <c r="W9" i="17"/>
  <c r="V9" i="17"/>
  <c r="U9" i="17"/>
  <c r="T9" i="17"/>
  <c r="S9" i="17"/>
  <c r="Q9" i="17"/>
  <c r="P9" i="17"/>
  <c r="O9" i="17"/>
  <c r="D9" i="17"/>
  <c r="R9" i="17" s="1"/>
  <c r="W8" i="17"/>
  <c r="V8" i="17"/>
  <c r="T8" i="17"/>
  <c r="S8" i="17"/>
  <c r="R8" i="17"/>
  <c r="O8" i="17"/>
  <c r="D8" i="17"/>
  <c r="X7" i="17"/>
  <c r="W7" i="17"/>
  <c r="V7" i="17"/>
  <c r="T7" i="17"/>
  <c r="S7" i="17"/>
  <c r="R7" i="17"/>
  <c r="P7" i="17"/>
  <c r="O7" i="17"/>
  <c r="D7" i="17"/>
  <c r="U7" i="17" s="1"/>
  <c r="W6" i="17"/>
  <c r="V6" i="17"/>
  <c r="T6" i="17"/>
  <c r="S6" i="17"/>
  <c r="R6" i="17"/>
  <c r="Q6" i="17"/>
  <c r="O6" i="17"/>
  <c r="D6" i="17"/>
  <c r="W5" i="17"/>
  <c r="V5" i="17"/>
  <c r="U5" i="17"/>
  <c r="S5" i="17"/>
  <c r="R5" i="17"/>
  <c r="Q5" i="17"/>
  <c r="P5" i="17"/>
  <c r="O5" i="17"/>
  <c r="D5" i="17"/>
  <c r="X5" i="17" s="1"/>
  <c r="X4" i="17"/>
  <c r="W4" i="17"/>
  <c r="V4" i="17"/>
  <c r="U4" i="17"/>
  <c r="T4" i="17"/>
  <c r="S4" i="17"/>
  <c r="R4" i="17"/>
  <c r="Q4" i="17"/>
  <c r="P4" i="17"/>
  <c r="O4" i="17"/>
  <c r="D4" i="17"/>
  <c r="AH24" i="16"/>
  <c r="AG24" i="16"/>
  <c r="AF24" i="16"/>
  <c r="AE24" i="16"/>
  <c r="AD24" i="16"/>
  <c r="AC24" i="16"/>
  <c r="AB24" i="16"/>
  <c r="AA24" i="16"/>
  <c r="Z24" i="16"/>
  <c r="W24" i="16"/>
  <c r="T24" i="16"/>
  <c r="AJ24" i="16" s="1"/>
  <c r="D24" i="16"/>
  <c r="AC23" i="16"/>
  <c r="AA23" i="16"/>
  <c r="Z23" i="16"/>
  <c r="Y23" i="16"/>
  <c r="W23" i="16"/>
  <c r="V23" i="16"/>
  <c r="U23" i="16"/>
  <c r="D23" i="16"/>
  <c r="AG22" i="16"/>
  <c r="AD22" i="16"/>
  <c r="Z22" i="16"/>
  <c r="Y22" i="16"/>
  <c r="X22" i="16"/>
  <c r="V22" i="16"/>
  <c r="T22" i="16"/>
  <c r="D22" i="16"/>
  <c r="AF21" i="16"/>
  <c r="AE21" i="16"/>
  <c r="AD21" i="16"/>
  <c r="AA21" i="16"/>
  <c r="X21" i="16"/>
  <c r="W21" i="16"/>
  <c r="U21" i="16"/>
  <c r="D21" i="16"/>
  <c r="AH21" i="16" s="1"/>
  <c r="AC20" i="16"/>
  <c r="D20" i="16"/>
  <c r="AH19" i="16"/>
  <c r="AG19" i="16"/>
  <c r="AF19" i="16"/>
  <c r="AE19" i="16"/>
  <c r="AD19" i="16"/>
  <c r="AC19" i="16"/>
  <c r="AB19" i="16"/>
  <c r="AA19" i="16"/>
  <c r="Z19" i="16"/>
  <c r="Y19" i="16"/>
  <c r="X19" i="16"/>
  <c r="V19" i="16"/>
  <c r="U19" i="16"/>
  <c r="T19" i="16"/>
  <c r="D19" i="16"/>
  <c r="W19" i="16" s="1"/>
  <c r="AH18" i="16"/>
  <c r="AF18" i="16"/>
  <c r="AE18" i="16"/>
  <c r="AC18" i="16"/>
  <c r="AB18" i="16"/>
  <c r="AA18" i="16"/>
  <c r="Z18" i="16"/>
  <c r="Y18" i="16"/>
  <c r="X18" i="16"/>
  <c r="W18" i="16"/>
  <c r="V18" i="16"/>
  <c r="T18" i="16"/>
  <c r="D18" i="16"/>
  <c r="AH17" i="16"/>
  <c r="AG17" i="16"/>
  <c r="AC17" i="16"/>
  <c r="AA17" i="16"/>
  <c r="Z17" i="16"/>
  <c r="X17" i="16"/>
  <c r="W17" i="16"/>
  <c r="V17" i="16"/>
  <c r="T17" i="16"/>
  <c r="D17" i="16"/>
  <c r="AH16" i="16"/>
  <c r="AG16" i="16"/>
  <c r="AF16" i="16"/>
  <c r="AD16" i="16"/>
  <c r="AB16" i="16"/>
  <c r="Y16" i="16"/>
  <c r="X16" i="16"/>
  <c r="V16" i="16"/>
  <c r="U16" i="16"/>
  <c r="D16" i="16"/>
  <c r="AH15" i="16"/>
  <c r="AF15" i="16"/>
  <c r="AG15" i="16" s="1"/>
  <c r="AE15" i="16"/>
  <c r="AD15" i="16"/>
  <c r="AG11" i="16"/>
  <c r="AD11" i="16"/>
  <c r="AA11" i="16"/>
  <c r="U11" i="16"/>
  <c r="D11" i="16"/>
  <c r="AH11" i="16" s="1"/>
  <c r="AD10" i="16"/>
  <c r="X10" i="16"/>
  <c r="U10" i="16"/>
  <c r="D10" i="16"/>
  <c r="AG9" i="16"/>
  <c r="AF9" i="16"/>
  <c r="AD9" i="16"/>
  <c r="AC9" i="16"/>
  <c r="AA9" i="16"/>
  <c r="Z9" i="16"/>
  <c r="Y9" i="16"/>
  <c r="X9" i="16"/>
  <c r="W9" i="16"/>
  <c r="V9" i="16"/>
  <c r="T9" i="16"/>
  <c r="D9" i="16"/>
  <c r="AG8" i="16"/>
  <c r="AE8" i="16"/>
  <c r="AC8" i="16"/>
  <c r="AB8" i="16"/>
  <c r="Z8" i="16"/>
  <c r="Y8" i="16"/>
  <c r="W8" i="16"/>
  <c r="V8" i="16"/>
  <c r="U8" i="16"/>
  <c r="T8" i="16"/>
  <c r="D8" i="16"/>
  <c r="AG7" i="16"/>
  <c r="AF7" i="16"/>
  <c r="U7" i="16"/>
  <c r="D7" i="16"/>
  <c r="AH6" i="16"/>
  <c r="AG6" i="16"/>
  <c r="AF6" i="16"/>
  <c r="AE6" i="16"/>
  <c r="AD6" i="16"/>
  <c r="AC6" i="16"/>
  <c r="AB6" i="16"/>
  <c r="AA6" i="16"/>
  <c r="Y6" i="16"/>
  <c r="X6" i="16"/>
  <c r="W6" i="16"/>
  <c r="U6" i="16"/>
  <c r="T6" i="16"/>
  <c r="D6" i="16"/>
  <c r="Z6" i="16" s="1"/>
  <c r="AD5" i="16"/>
  <c r="AB5" i="16"/>
  <c r="AA5" i="16"/>
  <c r="Z5" i="16"/>
  <c r="X5" i="16"/>
  <c r="W5" i="16"/>
  <c r="U5" i="16"/>
  <c r="T5" i="16"/>
  <c r="D5" i="16"/>
  <c r="AG5" i="16" s="1"/>
  <c r="AA4" i="16"/>
  <c r="Z4" i="16"/>
  <c r="T4" i="16"/>
  <c r="D4" i="16"/>
  <c r="AE3" i="16"/>
  <c r="AF3" i="16" s="1"/>
  <c r="AG3" i="16" s="1"/>
  <c r="AH3" i="16" s="1"/>
  <c r="AD3" i="16"/>
  <c r="AH12" i="15"/>
  <c r="AG12" i="15"/>
  <c r="AF12" i="15"/>
  <c r="AD12" i="15"/>
  <c r="AC12" i="15"/>
  <c r="AB12" i="15"/>
  <c r="AA12" i="15"/>
  <c r="Z12" i="15"/>
  <c r="X12" i="15"/>
  <c r="W12" i="15"/>
  <c r="V12" i="15"/>
  <c r="T12" i="15"/>
  <c r="AJ12" i="15" s="1"/>
  <c r="D12" i="15"/>
  <c r="AB11" i="15"/>
  <c r="Z11" i="15"/>
  <c r="T11" i="15"/>
  <c r="D11" i="15"/>
  <c r="AH10" i="15"/>
  <c r="AG10" i="15"/>
  <c r="AE10" i="15"/>
  <c r="AD10" i="15"/>
  <c r="AC10" i="15"/>
  <c r="AB10" i="15"/>
  <c r="Z10" i="15"/>
  <c r="X10" i="15"/>
  <c r="V10" i="15"/>
  <c r="U10" i="15"/>
  <c r="T10" i="15"/>
  <c r="D10" i="15"/>
  <c r="AH9" i="15"/>
  <c r="AG9" i="15"/>
  <c r="AF9" i="15"/>
  <c r="AE9" i="15"/>
  <c r="AD9" i="15"/>
  <c r="AC9" i="15"/>
  <c r="AB9" i="15"/>
  <c r="AA9" i="15"/>
  <c r="Z9" i="15"/>
  <c r="Y9" i="15"/>
  <c r="X9" i="15"/>
  <c r="V9" i="15"/>
  <c r="U9" i="15"/>
  <c r="T9" i="15"/>
  <c r="AJ9" i="15" s="1"/>
  <c r="D9" i="15"/>
  <c r="W9" i="15" s="1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D8" i="15"/>
  <c r="AH7" i="15"/>
  <c r="AG7" i="15"/>
  <c r="AE7" i="15"/>
  <c r="AD7" i="15"/>
  <c r="AC7" i="15"/>
  <c r="AB7" i="15"/>
  <c r="Z7" i="15"/>
  <c r="Y7" i="15"/>
  <c r="X7" i="15"/>
  <c r="W7" i="15"/>
  <c r="V7" i="15"/>
  <c r="T7" i="15"/>
  <c r="D7" i="15"/>
  <c r="AH6" i="15"/>
  <c r="AE6" i="15"/>
  <c r="AD6" i="15"/>
  <c r="AC6" i="15"/>
  <c r="AB6" i="15"/>
  <c r="AA6" i="15"/>
  <c r="Y6" i="15"/>
  <c r="X6" i="15"/>
  <c r="V6" i="15"/>
  <c r="U6" i="15"/>
  <c r="T6" i="15"/>
  <c r="D6" i="15"/>
  <c r="AH5" i="15"/>
  <c r="AG5" i="15"/>
  <c r="AF5" i="15"/>
  <c r="AE5" i="15"/>
  <c r="AD5" i="15"/>
  <c r="AB5" i="15"/>
  <c r="AA5" i="15"/>
  <c r="Z5" i="15"/>
  <c r="Y5" i="15"/>
  <c r="X5" i="15"/>
  <c r="W5" i="15"/>
  <c r="V5" i="15"/>
  <c r="U5" i="15"/>
  <c r="T5" i="15"/>
  <c r="D5" i="15"/>
  <c r="AC5" i="15" s="1"/>
  <c r="AG4" i="15"/>
  <c r="AB4" i="15"/>
  <c r="AB2" i="15" s="1"/>
  <c r="AA4" i="15"/>
  <c r="T4" i="15"/>
  <c r="D4" i="15"/>
  <c r="AF3" i="15"/>
  <c r="AG3" i="15" s="1"/>
  <c r="AH3" i="15" s="1"/>
  <c r="AD3" i="15"/>
  <c r="AE3" i="15" s="1"/>
  <c r="AH14" i="14"/>
  <c r="AG14" i="14"/>
  <c r="AE14" i="14"/>
  <c r="AD14" i="14"/>
  <c r="AB14" i="14"/>
  <c r="AA14" i="14"/>
  <c r="Z14" i="14"/>
  <c r="Y14" i="14"/>
  <c r="X14" i="14"/>
  <c r="W14" i="14"/>
  <c r="V14" i="14"/>
  <c r="U14" i="14"/>
  <c r="D14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AH12" i="14"/>
  <c r="AF12" i="14"/>
  <c r="AE12" i="14"/>
  <c r="AD12" i="14"/>
  <c r="AC12" i="14"/>
  <c r="AA12" i="14"/>
  <c r="Z12" i="14"/>
  <c r="Y12" i="14"/>
  <c r="V12" i="14"/>
  <c r="U12" i="14"/>
  <c r="D12" i="14"/>
  <c r="AG11" i="14"/>
  <c r="AF11" i="14"/>
  <c r="AE11" i="14"/>
  <c r="AD11" i="14"/>
  <c r="AC11" i="14"/>
  <c r="AA11" i="14"/>
  <c r="Z11" i="14"/>
  <c r="Y11" i="14"/>
  <c r="X11" i="14"/>
  <c r="W11" i="14"/>
  <c r="V11" i="14"/>
  <c r="U11" i="14"/>
  <c r="T11" i="14"/>
  <c r="D11" i="14"/>
  <c r="AG10" i="14"/>
  <c r="AE10" i="14"/>
  <c r="AA10" i="14"/>
  <c r="Z10" i="14"/>
  <c r="V10" i="14"/>
  <c r="T10" i="14"/>
  <c r="D10" i="14"/>
  <c r="AH9" i="14"/>
  <c r="AG9" i="14"/>
  <c r="AE9" i="14"/>
  <c r="AD9" i="14"/>
  <c r="AC9" i="14"/>
  <c r="AA9" i="14"/>
  <c r="Z9" i="14"/>
  <c r="Y9" i="14"/>
  <c r="X9" i="14"/>
  <c r="W9" i="14"/>
  <c r="U9" i="14"/>
  <c r="D9" i="14"/>
  <c r="AH8" i="14"/>
  <c r="AG8" i="14"/>
  <c r="AF8" i="14"/>
  <c r="AE8" i="14"/>
  <c r="AD8" i="14"/>
  <c r="AC8" i="14"/>
  <c r="AA8" i="14"/>
  <c r="Z8" i="14"/>
  <c r="Y8" i="14"/>
  <c r="X8" i="14"/>
  <c r="W8" i="14"/>
  <c r="U8" i="14"/>
  <c r="T8" i="14"/>
  <c r="D8" i="14"/>
  <c r="D7" i="14"/>
  <c r="AE7" i="14" s="1"/>
  <c r="AG6" i="14"/>
  <c r="Z6" i="14"/>
  <c r="Y6" i="14"/>
  <c r="W6" i="14"/>
  <c r="D6" i="14"/>
  <c r="AH5" i="14"/>
  <c r="AG5" i="14"/>
  <c r="AF5" i="14"/>
  <c r="AE5" i="14"/>
  <c r="AD5" i="14"/>
  <c r="AC5" i="14"/>
  <c r="AA5" i="14"/>
  <c r="Y5" i="14"/>
  <c r="X5" i="14"/>
  <c r="W5" i="14"/>
  <c r="V5" i="14"/>
  <c r="D5" i="14"/>
  <c r="AF4" i="14"/>
  <c r="Y4" i="14"/>
  <c r="W4" i="14"/>
  <c r="D4" i="14"/>
  <c r="AG3" i="14"/>
  <c r="AH3" i="14" s="1"/>
  <c r="AE3" i="14"/>
  <c r="AF3" i="14" s="1"/>
  <c r="AD3" i="14"/>
  <c r="AG24" i="13"/>
  <c r="AF24" i="13"/>
  <c r="AC24" i="13"/>
  <c r="X24" i="13"/>
  <c r="W24" i="13"/>
  <c r="U24" i="13"/>
  <c r="D24" i="13"/>
  <c r="AE24" i="13" s="1"/>
  <c r="AH23" i="13"/>
  <c r="AG23" i="13"/>
  <c r="AE23" i="13"/>
  <c r="AD23" i="13"/>
  <c r="AC23" i="13"/>
  <c r="AB23" i="13"/>
  <c r="AA23" i="13"/>
  <c r="Y23" i="13"/>
  <c r="X23" i="13"/>
  <c r="W23" i="13"/>
  <c r="V23" i="13"/>
  <c r="U23" i="13"/>
  <c r="D23" i="13"/>
  <c r="AH22" i="13"/>
  <c r="AE22" i="13"/>
  <c r="AC22" i="13"/>
  <c r="Y22" i="13"/>
  <c r="W22" i="13"/>
  <c r="T22" i="13"/>
  <c r="D22" i="13"/>
  <c r="AG21" i="13"/>
  <c r="AA21" i="13"/>
  <c r="Z21" i="13"/>
  <c r="X21" i="13"/>
  <c r="U21" i="13"/>
  <c r="D21" i="13"/>
  <c r="AE20" i="13"/>
  <c r="T20" i="13"/>
  <c r="D20" i="13"/>
  <c r="AH19" i="13"/>
  <c r="AF19" i="13"/>
  <c r="AE19" i="13"/>
  <c r="AD19" i="13"/>
  <c r="AB19" i="13"/>
  <c r="Z19" i="13"/>
  <c r="X19" i="13"/>
  <c r="W19" i="13"/>
  <c r="V19" i="13"/>
  <c r="U19" i="13"/>
  <c r="D19" i="13"/>
  <c r="AG19" i="13" s="1"/>
  <c r="AE18" i="13"/>
  <c r="AC18" i="13"/>
  <c r="AA18" i="13"/>
  <c r="Y18" i="13"/>
  <c r="W18" i="13"/>
  <c r="V18" i="13"/>
  <c r="U18" i="13"/>
  <c r="D18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D17" i="13"/>
  <c r="AH17" i="13" s="1"/>
  <c r="AH16" i="13"/>
  <c r="AG16" i="13"/>
  <c r="AF16" i="13"/>
  <c r="AE16" i="13"/>
  <c r="AC16" i="13"/>
  <c r="AB16" i="13"/>
  <c r="AA16" i="13"/>
  <c r="Z16" i="13"/>
  <c r="Y16" i="13"/>
  <c r="X16" i="13"/>
  <c r="W16" i="13"/>
  <c r="V16" i="13"/>
  <c r="U16" i="13"/>
  <c r="D16" i="13"/>
  <c r="AH15" i="13"/>
  <c r="AF15" i="13"/>
  <c r="AG15" i="13" s="1"/>
  <c r="AD15" i="13"/>
  <c r="AE15" i="13" s="1"/>
  <c r="AG11" i="13"/>
  <c r="AC11" i="13"/>
  <c r="X11" i="13"/>
  <c r="W11" i="13"/>
  <c r="U11" i="13"/>
  <c r="D11" i="13"/>
  <c r="AH10" i="13"/>
  <c r="AE10" i="13"/>
  <c r="Y10" i="13"/>
  <c r="X10" i="13"/>
  <c r="U10" i="13"/>
  <c r="D10" i="13"/>
  <c r="AH9" i="13"/>
  <c r="AG9" i="13"/>
  <c r="AF9" i="13"/>
  <c r="AE9" i="13"/>
  <c r="AD9" i="13"/>
  <c r="AC9" i="13"/>
  <c r="AB9" i="13"/>
  <c r="Z9" i="13"/>
  <c r="Y9" i="13"/>
  <c r="X9" i="13"/>
  <c r="W9" i="13"/>
  <c r="V9" i="13"/>
  <c r="T9" i="13"/>
  <c r="D9" i="13"/>
  <c r="AH8" i="13"/>
  <c r="AF8" i="13"/>
  <c r="AD8" i="13"/>
  <c r="AC8" i="13"/>
  <c r="AA8" i="13"/>
  <c r="Y8" i="13"/>
  <c r="U8" i="13"/>
  <c r="T8" i="13"/>
  <c r="D8" i="13"/>
  <c r="AB7" i="13"/>
  <c r="AA7" i="13"/>
  <c r="Y7" i="13"/>
  <c r="W7" i="13"/>
  <c r="V7" i="13"/>
  <c r="U7" i="13"/>
  <c r="T7" i="13"/>
  <c r="D7" i="13"/>
  <c r="AH6" i="13"/>
  <c r="AG6" i="13"/>
  <c r="AF6" i="13"/>
  <c r="AE6" i="13"/>
  <c r="AD6" i="13"/>
  <c r="AA6" i="13"/>
  <c r="Z6" i="13"/>
  <c r="U6" i="13"/>
  <c r="T6" i="13"/>
  <c r="D6" i="13"/>
  <c r="AH5" i="13"/>
  <c r="AF5" i="13"/>
  <c r="Y5" i="13"/>
  <c r="V5" i="13"/>
  <c r="U5" i="13"/>
  <c r="D5" i="13"/>
  <c r="AF4" i="13"/>
  <c r="AE4" i="13"/>
  <c r="AC4" i="13"/>
  <c r="AA4" i="13"/>
  <c r="Z4" i="13"/>
  <c r="X4" i="13"/>
  <c r="W4" i="13"/>
  <c r="U4" i="13"/>
  <c r="D4" i="13"/>
  <c r="AE3" i="13"/>
  <c r="AF3" i="13" s="1"/>
  <c r="AG3" i="13" s="1"/>
  <c r="AH3" i="13" s="1"/>
  <c r="AD3" i="13"/>
  <c r="AJ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D11" i="12"/>
  <c r="AG10" i="12"/>
  <c r="AF10" i="12"/>
  <c r="AE10" i="12"/>
  <c r="AC10" i="12"/>
  <c r="AB10" i="12"/>
  <c r="AA10" i="12"/>
  <c r="Z10" i="12"/>
  <c r="Y10" i="12"/>
  <c r="X10" i="12"/>
  <c r="W10" i="12"/>
  <c r="V10" i="12"/>
  <c r="U10" i="12"/>
  <c r="D10" i="12"/>
  <c r="AB9" i="12"/>
  <c r="U9" i="12"/>
  <c r="T9" i="12"/>
  <c r="D9" i="12"/>
  <c r="AE9" i="12" s="1"/>
  <c r="AH8" i="12"/>
  <c r="AG8" i="12"/>
  <c r="AA8" i="12"/>
  <c r="V8" i="12"/>
  <c r="D8" i="12"/>
  <c r="AH7" i="12"/>
  <c r="AG7" i="12"/>
  <c r="AF7" i="12"/>
  <c r="AE7" i="12"/>
  <c r="AD7" i="12"/>
  <c r="AC7" i="12"/>
  <c r="AB7" i="12"/>
  <c r="AA7" i="12"/>
  <c r="Y7" i="12"/>
  <c r="U7" i="12"/>
  <c r="T7" i="12"/>
  <c r="D7" i="12"/>
  <c r="V7" i="12" s="1"/>
  <c r="AH6" i="12"/>
  <c r="AF6" i="12"/>
  <c r="AE6" i="12"/>
  <c r="AD6" i="12"/>
  <c r="AC6" i="12"/>
  <c r="AB6" i="12"/>
  <c r="AA6" i="12"/>
  <c r="Z6" i="12"/>
  <c r="Y6" i="12"/>
  <c r="X6" i="12"/>
  <c r="W6" i="12"/>
  <c r="V6" i="12"/>
  <c r="U6" i="12"/>
  <c r="D6" i="12"/>
  <c r="AG6" i="12" s="1"/>
  <c r="AG5" i="12"/>
  <c r="Z5" i="12"/>
  <c r="Y5" i="12"/>
  <c r="W5" i="12"/>
  <c r="U5" i="12"/>
  <c r="T5" i="12"/>
  <c r="D5" i="12"/>
  <c r="X5" i="12" s="1"/>
  <c r="AH4" i="12"/>
  <c r="AG4" i="12"/>
  <c r="AA4" i="12"/>
  <c r="Z4" i="12"/>
  <c r="X4" i="12"/>
  <c r="U4" i="12"/>
  <c r="T4" i="12"/>
  <c r="D4" i="12"/>
  <c r="AD3" i="12"/>
  <c r="AE3" i="12" s="1"/>
  <c r="AF3" i="12" s="1"/>
  <c r="AG3" i="12" s="1"/>
  <c r="AH3" i="12" s="1"/>
  <c r="V12" i="11"/>
  <c r="U12" i="11"/>
  <c r="T12" i="11"/>
  <c r="D12" i="11"/>
  <c r="D11" i="11"/>
  <c r="X10" i="11"/>
  <c r="W10" i="11"/>
  <c r="V10" i="11"/>
  <c r="U10" i="11"/>
  <c r="T10" i="11"/>
  <c r="S10" i="11"/>
  <c r="R10" i="11"/>
  <c r="Q10" i="11"/>
  <c r="P10" i="11"/>
  <c r="O10" i="11"/>
  <c r="D9" i="11"/>
  <c r="X8" i="11"/>
  <c r="W8" i="11"/>
  <c r="V8" i="11"/>
  <c r="U8" i="11"/>
  <c r="T8" i="11"/>
  <c r="S8" i="11"/>
  <c r="R8" i="11"/>
  <c r="Q8" i="11"/>
  <c r="P8" i="11"/>
  <c r="O8" i="11"/>
  <c r="D8" i="11"/>
  <c r="Q7" i="11"/>
  <c r="O7" i="11"/>
  <c r="D7" i="11"/>
  <c r="X6" i="11"/>
  <c r="W6" i="11"/>
  <c r="V6" i="11"/>
  <c r="U6" i="11"/>
  <c r="T6" i="11"/>
  <c r="D6" i="11"/>
  <c r="X5" i="11"/>
  <c r="U5" i="11"/>
  <c r="S5" i="11"/>
  <c r="R5" i="11"/>
  <c r="P5" i="11"/>
  <c r="O5" i="11"/>
  <c r="D5" i="11"/>
  <c r="X4" i="11"/>
  <c r="W4" i="11"/>
  <c r="V4" i="11"/>
  <c r="T4" i="11"/>
  <c r="P4" i="11"/>
  <c r="O4" i="11"/>
  <c r="D4" i="11"/>
  <c r="S4" i="11" s="1"/>
  <c r="X12" i="10"/>
  <c r="W12" i="10"/>
  <c r="V12" i="10"/>
  <c r="S12" i="10"/>
  <c r="P12" i="10"/>
  <c r="O12" i="10"/>
  <c r="Z12" i="10" s="1"/>
  <c r="D12" i="10"/>
  <c r="T12" i="10" s="1"/>
  <c r="W11" i="10"/>
  <c r="V11" i="10"/>
  <c r="U11" i="10"/>
  <c r="T11" i="10"/>
  <c r="S11" i="10"/>
  <c r="P11" i="10"/>
  <c r="D11" i="10"/>
  <c r="X10" i="10"/>
  <c r="W10" i="10"/>
  <c r="V10" i="10"/>
  <c r="U10" i="10"/>
  <c r="T10" i="10"/>
  <c r="S10" i="10"/>
  <c r="R10" i="10"/>
  <c r="Q10" i="10"/>
  <c r="P10" i="10"/>
  <c r="Z10" i="10" s="1"/>
  <c r="O10" i="10"/>
  <c r="X9" i="10"/>
  <c r="W9" i="10"/>
  <c r="Z9" i="10" s="1"/>
  <c r="V9" i="10"/>
  <c r="U9" i="10"/>
  <c r="T9" i="10"/>
  <c r="S9" i="10"/>
  <c r="Q9" i="10"/>
  <c r="P9" i="10"/>
  <c r="O9" i="10"/>
  <c r="D9" i="10"/>
  <c r="R9" i="10" s="1"/>
  <c r="D8" i="10"/>
  <c r="X7" i="10"/>
  <c r="W7" i="10"/>
  <c r="V7" i="10"/>
  <c r="U7" i="10"/>
  <c r="T7" i="10"/>
  <c r="S7" i="10"/>
  <c r="R7" i="10"/>
  <c r="Q7" i="10"/>
  <c r="O7" i="10"/>
  <c r="Z7" i="10" s="1"/>
  <c r="D7" i="10"/>
  <c r="P7" i="10" s="1"/>
  <c r="V6" i="10"/>
  <c r="U6" i="10"/>
  <c r="Q6" i="10"/>
  <c r="D6" i="10"/>
  <c r="X5" i="10"/>
  <c r="W5" i="10"/>
  <c r="V5" i="10"/>
  <c r="U5" i="10"/>
  <c r="T5" i="10"/>
  <c r="R5" i="10"/>
  <c r="Q5" i="10"/>
  <c r="D5" i="10"/>
  <c r="W4" i="10"/>
  <c r="U4" i="10"/>
  <c r="S4" i="10"/>
  <c r="R4" i="10"/>
  <c r="Q4" i="10"/>
  <c r="O4" i="10"/>
  <c r="D4" i="10"/>
  <c r="V4" i="10" s="1"/>
  <c r="W11" i="9"/>
  <c r="T11" i="9"/>
  <c r="Q11" i="9"/>
  <c r="D11" i="9"/>
  <c r="X10" i="9"/>
  <c r="V10" i="9"/>
  <c r="T10" i="9"/>
  <c r="S10" i="9"/>
  <c r="R10" i="9"/>
  <c r="P10" i="9"/>
  <c r="D10" i="9"/>
  <c r="X9" i="9"/>
  <c r="W9" i="9"/>
  <c r="V9" i="9"/>
  <c r="U9" i="9"/>
  <c r="T9" i="9"/>
  <c r="S9" i="9"/>
  <c r="R9" i="9"/>
  <c r="Q9" i="9"/>
  <c r="P9" i="9"/>
  <c r="O9" i="9"/>
  <c r="W8" i="9"/>
  <c r="V8" i="9"/>
  <c r="T8" i="9"/>
  <c r="S8" i="9"/>
  <c r="D8" i="9"/>
  <c r="X7" i="9"/>
  <c r="W7" i="9"/>
  <c r="V7" i="9"/>
  <c r="U7" i="9"/>
  <c r="T7" i="9"/>
  <c r="S7" i="9"/>
  <c r="R7" i="9"/>
  <c r="Q7" i="9"/>
  <c r="P7" i="9"/>
  <c r="D7" i="9"/>
  <c r="O7" i="9" s="1"/>
  <c r="X6" i="9"/>
  <c r="V6" i="9"/>
  <c r="Q6" i="9"/>
  <c r="P6" i="9"/>
  <c r="D6" i="9"/>
  <c r="V5" i="9"/>
  <c r="U5" i="9"/>
  <c r="T5" i="9"/>
  <c r="R5" i="9"/>
  <c r="O5" i="9"/>
  <c r="D5" i="9"/>
  <c r="S4" i="9"/>
  <c r="D4" i="9"/>
  <c r="X13" i="8"/>
  <c r="D13" i="8"/>
  <c r="D12" i="8"/>
  <c r="X11" i="8"/>
  <c r="W11" i="8"/>
  <c r="V11" i="8"/>
  <c r="U11" i="8"/>
  <c r="T11" i="8"/>
  <c r="S11" i="8"/>
  <c r="R11" i="8"/>
  <c r="Q11" i="8"/>
  <c r="P11" i="8"/>
  <c r="O11" i="8"/>
  <c r="X10" i="8"/>
  <c r="W10" i="8"/>
  <c r="V10" i="8"/>
  <c r="U10" i="8"/>
  <c r="T10" i="8"/>
  <c r="S10" i="8"/>
  <c r="R10" i="8"/>
  <c r="Q10" i="8"/>
  <c r="O10" i="8"/>
  <c r="D10" i="8"/>
  <c r="P10" i="8" s="1"/>
  <c r="Z10" i="8" s="1"/>
  <c r="X9" i="8"/>
  <c r="U9" i="8"/>
  <c r="T9" i="8"/>
  <c r="Q9" i="8"/>
  <c r="P9" i="8"/>
  <c r="D9" i="8"/>
  <c r="D8" i="8"/>
  <c r="D7" i="8"/>
  <c r="X6" i="8"/>
  <c r="W6" i="8"/>
  <c r="V6" i="8"/>
  <c r="U6" i="8"/>
  <c r="T6" i="8"/>
  <c r="S6" i="8"/>
  <c r="R6" i="8"/>
  <c r="Q6" i="8"/>
  <c r="P6" i="8"/>
  <c r="O6" i="8"/>
  <c r="D6" i="8"/>
  <c r="P5" i="8"/>
  <c r="O5" i="8"/>
  <c r="D5" i="8"/>
  <c r="Q4" i="8"/>
  <c r="D4" i="8"/>
  <c r="D11" i="7"/>
  <c r="O11" i="7" s="1"/>
  <c r="Z11" i="7" s="1"/>
  <c r="V10" i="7"/>
  <c r="U10" i="7"/>
  <c r="T10" i="7"/>
  <c r="Q10" i="7"/>
  <c r="O10" i="7"/>
  <c r="D10" i="7"/>
  <c r="X9" i="7"/>
  <c r="V9" i="7"/>
  <c r="T9" i="7"/>
  <c r="S9" i="7"/>
  <c r="R9" i="7"/>
  <c r="D9" i="7"/>
  <c r="X8" i="7"/>
  <c r="S8" i="7"/>
  <c r="R8" i="7"/>
  <c r="P8" i="7"/>
  <c r="O8" i="7"/>
  <c r="D8" i="7"/>
  <c r="X7" i="7"/>
  <c r="W7" i="7"/>
  <c r="V7" i="7"/>
  <c r="U7" i="7"/>
  <c r="T7" i="7"/>
  <c r="S7" i="7"/>
  <c r="R7" i="7"/>
  <c r="Q7" i="7"/>
  <c r="P7" i="7"/>
  <c r="O7" i="7"/>
  <c r="Z7" i="7" s="1"/>
  <c r="D7" i="7"/>
  <c r="S6" i="7"/>
  <c r="Q6" i="7"/>
  <c r="P6" i="7"/>
  <c r="O6" i="7"/>
  <c r="D6" i="7"/>
  <c r="X5" i="7"/>
  <c r="W5" i="7"/>
  <c r="V5" i="7"/>
  <c r="U5" i="7"/>
  <c r="T5" i="7"/>
  <c r="D5" i="7"/>
  <c r="X4" i="7"/>
  <c r="U4" i="7"/>
  <c r="S4" i="7"/>
  <c r="Q4" i="7"/>
  <c r="P4" i="7"/>
  <c r="O4" i="7"/>
  <c r="D4" i="7"/>
  <c r="W11" i="6"/>
  <c r="D11" i="6"/>
  <c r="P11" i="6" s="1"/>
  <c r="D10" i="6"/>
  <c r="X9" i="6"/>
  <c r="W9" i="6"/>
  <c r="V9" i="6"/>
  <c r="U9" i="6"/>
  <c r="T9" i="6"/>
  <c r="S9" i="6"/>
  <c r="R9" i="6"/>
  <c r="Q9" i="6"/>
  <c r="P9" i="6"/>
  <c r="D9" i="6"/>
  <c r="O9" i="6" s="1"/>
  <c r="D8" i="6"/>
  <c r="Q8" i="6" s="1"/>
  <c r="D7" i="6"/>
  <c r="X6" i="6"/>
  <c r="W6" i="6"/>
  <c r="V6" i="6"/>
  <c r="U6" i="6"/>
  <c r="T6" i="6"/>
  <c r="S6" i="6"/>
  <c r="R6" i="6"/>
  <c r="Q6" i="6"/>
  <c r="P6" i="6"/>
  <c r="O6" i="6"/>
  <c r="D6" i="6"/>
  <c r="D5" i="6"/>
  <c r="X4" i="6"/>
  <c r="W4" i="6"/>
  <c r="V4" i="6"/>
  <c r="U4" i="6"/>
  <c r="T4" i="6"/>
  <c r="S4" i="6"/>
  <c r="R4" i="6"/>
  <c r="Q4" i="6"/>
  <c r="P4" i="6"/>
  <c r="O4" i="6"/>
  <c r="D4" i="6"/>
  <c r="X13" i="5"/>
  <c r="W13" i="5"/>
  <c r="V13" i="5"/>
  <c r="U13" i="5"/>
  <c r="T13" i="5"/>
  <c r="S13" i="5"/>
  <c r="R13" i="5"/>
  <c r="Q13" i="5"/>
  <c r="O13" i="5"/>
  <c r="Z13" i="5" s="1"/>
  <c r="D13" i="5"/>
  <c r="P13" i="5" s="1"/>
  <c r="S12" i="5"/>
  <c r="Q12" i="5"/>
  <c r="D12" i="5"/>
  <c r="X11" i="5"/>
  <c r="W11" i="5"/>
  <c r="V11" i="5"/>
  <c r="U11" i="5"/>
  <c r="T11" i="5"/>
  <c r="S11" i="5"/>
  <c r="R11" i="5"/>
  <c r="Z11" i="5" s="1"/>
  <c r="Q11" i="5"/>
  <c r="P11" i="5"/>
  <c r="O11" i="5"/>
  <c r="O10" i="5"/>
  <c r="D10" i="5"/>
  <c r="X9" i="5"/>
  <c r="V9" i="5"/>
  <c r="U9" i="5"/>
  <c r="S9" i="5"/>
  <c r="D9" i="5"/>
  <c r="X8" i="5"/>
  <c r="W8" i="5"/>
  <c r="V8" i="5"/>
  <c r="U8" i="5"/>
  <c r="T8" i="5"/>
  <c r="S8" i="5"/>
  <c r="R8" i="5"/>
  <c r="Q8" i="5"/>
  <c r="P8" i="5"/>
  <c r="O8" i="5"/>
  <c r="D8" i="5"/>
  <c r="V7" i="5"/>
  <c r="T7" i="5"/>
  <c r="S7" i="5"/>
  <c r="R7" i="5"/>
  <c r="O7" i="5"/>
  <c r="D7" i="5"/>
  <c r="X6" i="5"/>
  <c r="U6" i="5"/>
  <c r="T6" i="5"/>
  <c r="S6" i="5"/>
  <c r="Q6" i="5"/>
  <c r="P6" i="5"/>
  <c r="D6" i="5"/>
  <c r="X5" i="5"/>
  <c r="W5" i="5"/>
  <c r="V5" i="5"/>
  <c r="U5" i="5"/>
  <c r="T5" i="5"/>
  <c r="S5" i="5"/>
  <c r="R5" i="5"/>
  <c r="Q5" i="5"/>
  <c r="P5" i="5"/>
  <c r="O5" i="5"/>
  <c r="D5" i="5"/>
  <c r="W4" i="5"/>
  <c r="U4" i="5"/>
  <c r="R4" i="5"/>
  <c r="Q4" i="5"/>
  <c r="O4" i="5"/>
  <c r="D4" i="5"/>
  <c r="AG12" i="4"/>
  <c r="Z12" i="4"/>
  <c r="Y12" i="4"/>
  <c r="X12" i="4"/>
  <c r="V12" i="4"/>
  <c r="U12" i="4"/>
  <c r="D12" i="4"/>
  <c r="AJ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D10" i="4"/>
  <c r="AH9" i="4"/>
  <c r="AG9" i="4"/>
  <c r="AF9" i="4"/>
  <c r="AE9" i="4"/>
  <c r="AD9" i="4"/>
  <c r="AC9" i="4"/>
  <c r="AB9" i="4"/>
  <c r="AA9" i="4"/>
  <c r="Z9" i="4"/>
  <c r="Y9" i="4"/>
  <c r="W9" i="4"/>
  <c r="V9" i="4"/>
  <c r="T9" i="4"/>
  <c r="D9" i="4"/>
  <c r="U9" i="4" s="1"/>
  <c r="AH8" i="4"/>
  <c r="AE8" i="4"/>
  <c r="AD8" i="4"/>
  <c r="AC8" i="4"/>
  <c r="AB8" i="4"/>
  <c r="Z8" i="4"/>
  <c r="X8" i="4"/>
  <c r="W8" i="4"/>
  <c r="V8" i="4"/>
  <c r="T8" i="4"/>
  <c r="D8" i="4"/>
  <c r="AG7" i="4"/>
  <c r="AE7" i="4"/>
  <c r="AA7" i="4"/>
  <c r="Z7" i="4"/>
  <c r="W7" i="4"/>
  <c r="V7" i="4"/>
  <c r="U7" i="4"/>
  <c r="D7" i="4"/>
  <c r="AH6" i="4"/>
  <c r="AG6" i="4"/>
  <c r="AD6" i="4"/>
  <c r="AC6" i="4"/>
  <c r="AA6" i="4"/>
  <c r="V6" i="4"/>
  <c r="T6" i="4"/>
  <c r="D6" i="4"/>
  <c r="AF5" i="4"/>
  <c r="AE5" i="4"/>
  <c r="AD5" i="4"/>
  <c r="AC5" i="4"/>
  <c r="Z5" i="4"/>
  <c r="Y5" i="4"/>
  <c r="V5" i="4"/>
  <c r="T5" i="4"/>
  <c r="D5" i="4"/>
  <c r="AG5" i="4" s="1"/>
  <c r="AH4" i="4"/>
  <c r="D4" i="4"/>
  <c r="AE3" i="4"/>
  <c r="AF3" i="4" s="1"/>
  <c r="AG3" i="4" s="1"/>
  <c r="AH3" i="4" s="1"/>
  <c r="AD3" i="4"/>
  <c r="AF39" i="3"/>
  <c r="D39" i="3"/>
  <c r="AH38" i="3"/>
  <c r="AF38" i="3"/>
  <c r="AE38" i="3"/>
  <c r="AC38" i="3"/>
  <c r="AB38" i="3"/>
  <c r="AA38" i="3"/>
  <c r="Z38" i="3"/>
  <c r="X38" i="3"/>
  <c r="W38" i="3"/>
  <c r="V38" i="3"/>
  <c r="U38" i="3"/>
  <c r="T38" i="3"/>
  <c r="D38" i="3"/>
  <c r="AH37" i="3"/>
  <c r="D37" i="3"/>
  <c r="AH36" i="3"/>
  <c r="AG36" i="3"/>
  <c r="AF36" i="3"/>
  <c r="AE36" i="3"/>
  <c r="AD36" i="3"/>
  <c r="AA36" i="3"/>
  <c r="Z36" i="3"/>
  <c r="X36" i="3"/>
  <c r="U36" i="3"/>
  <c r="T36" i="3"/>
  <c r="D36" i="3"/>
  <c r="AG35" i="3"/>
  <c r="AF35" i="3"/>
  <c r="AE35" i="3"/>
  <c r="AD35" i="3"/>
  <c r="AC35" i="3"/>
  <c r="AB35" i="3"/>
  <c r="AA35" i="3"/>
  <c r="Z35" i="3"/>
  <c r="Y35" i="3"/>
  <c r="W35" i="3"/>
  <c r="V35" i="3"/>
  <c r="D35" i="3"/>
  <c r="AF34" i="3"/>
  <c r="AE34" i="3"/>
  <c r="AC34" i="3"/>
  <c r="AA34" i="3"/>
  <c r="Z34" i="3"/>
  <c r="Y34" i="3"/>
  <c r="V34" i="3"/>
  <c r="U34" i="3"/>
  <c r="D34" i="3"/>
  <c r="AH34" i="3" s="1"/>
  <c r="D33" i="3"/>
  <c r="Z33" i="3" s="1"/>
  <c r="AC32" i="3"/>
  <c r="Z32" i="3"/>
  <c r="X32" i="3"/>
  <c r="D32" i="3"/>
  <c r="AH31" i="3"/>
  <c r="AG31" i="3"/>
  <c r="AF31" i="3"/>
  <c r="AE31" i="3"/>
  <c r="AC31" i="3"/>
  <c r="AB31" i="3"/>
  <c r="AA31" i="3"/>
  <c r="Z31" i="3"/>
  <c r="Y31" i="3"/>
  <c r="W31" i="3"/>
  <c r="V31" i="3"/>
  <c r="U31" i="3"/>
  <c r="T31" i="3"/>
  <c r="D31" i="3"/>
  <c r="AD30" i="3"/>
  <c r="AE30" i="3" s="1"/>
  <c r="AF30" i="3" s="1"/>
  <c r="AG30" i="3" s="1"/>
  <c r="AH30" i="3" s="1"/>
  <c r="AJ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D26" i="3"/>
  <c r="AH25" i="3"/>
  <c r="Y25" i="3"/>
  <c r="D25" i="3"/>
  <c r="AH24" i="3"/>
  <c r="AF24" i="3"/>
  <c r="AE24" i="3"/>
  <c r="AD24" i="3"/>
  <c r="AC24" i="3"/>
  <c r="AA24" i="3"/>
  <c r="Z24" i="3"/>
  <c r="Y24" i="3"/>
  <c r="W24" i="3"/>
  <c r="V24" i="3"/>
  <c r="D24" i="3"/>
  <c r="AG23" i="3"/>
  <c r="AF23" i="3"/>
  <c r="AE23" i="3"/>
  <c r="AD23" i="3"/>
  <c r="AB23" i="3"/>
  <c r="AA23" i="3"/>
  <c r="Z23" i="3"/>
  <c r="Y23" i="3"/>
  <c r="W23" i="3"/>
  <c r="V23" i="3"/>
  <c r="D23" i="3"/>
  <c r="AH22" i="3"/>
  <c r="AG22" i="3"/>
  <c r="AD22" i="3"/>
  <c r="AC22" i="3"/>
  <c r="W22" i="3"/>
  <c r="V22" i="3"/>
  <c r="U22" i="3"/>
  <c r="T22" i="3"/>
  <c r="D22" i="3"/>
  <c r="D21" i="3"/>
  <c r="AE21" i="3" s="1"/>
  <c r="AH20" i="3"/>
  <c r="AG20" i="3"/>
  <c r="AF20" i="3"/>
  <c r="AE20" i="3"/>
  <c r="AD20" i="3"/>
  <c r="AC20" i="3"/>
  <c r="AB20" i="3"/>
  <c r="AA20" i="3"/>
  <c r="Z20" i="3"/>
  <c r="Y20" i="3"/>
  <c r="V20" i="3"/>
  <c r="U20" i="3"/>
  <c r="T20" i="3"/>
  <c r="D20" i="3"/>
  <c r="W20" i="3" s="1"/>
  <c r="AF19" i="3"/>
  <c r="AE19" i="3"/>
  <c r="AC19" i="3"/>
  <c r="Z19" i="3"/>
  <c r="Y19" i="3"/>
  <c r="X19" i="3"/>
  <c r="V19" i="3"/>
  <c r="D19" i="3"/>
  <c r="AH18" i="3"/>
  <c r="AG18" i="3"/>
  <c r="AD18" i="3"/>
  <c r="AC18" i="3"/>
  <c r="AA18" i="3"/>
  <c r="Z18" i="3"/>
  <c r="Y18" i="3"/>
  <c r="X18" i="3"/>
  <c r="W18" i="3"/>
  <c r="V18" i="3"/>
  <c r="U18" i="3"/>
  <c r="T18" i="3"/>
  <c r="D18" i="3"/>
  <c r="AH17" i="3"/>
  <c r="AF17" i="3"/>
  <c r="AD17" i="3"/>
  <c r="Y17" i="3"/>
  <c r="U17" i="3"/>
  <c r="T17" i="3"/>
  <c r="D17" i="3"/>
  <c r="AD16" i="3"/>
  <c r="AE16" i="3" s="1"/>
  <c r="AF16" i="3" s="1"/>
  <c r="AG16" i="3" s="1"/>
  <c r="AH16" i="3" s="1"/>
  <c r="AH12" i="3"/>
  <c r="AG12" i="3"/>
  <c r="AF12" i="3"/>
  <c r="AE12" i="3"/>
  <c r="AD12" i="3"/>
  <c r="AC12" i="3"/>
  <c r="AB12" i="3"/>
  <c r="AA12" i="3"/>
  <c r="Z12" i="3"/>
  <c r="Y12" i="3"/>
  <c r="W12" i="3"/>
  <c r="U12" i="3"/>
  <c r="T12" i="3"/>
  <c r="AJ12" i="3" s="1"/>
  <c r="D12" i="3"/>
  <c r="V12" i="3" s="1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D11" i="3"/>
  <c r="AH11" i="3" s="1"/>
  <c r="AG10" i="3"/>
  <c r="AE10" i="3"/>
  <c r="AD10" i="3"/>
  <c r="AA10" i="3"/>
  <c r="Y10" i="3"/>
  <c r="X10" i="3"/>
  <c r="V10" i="3"/>
  <c r="U10" i="3"/>
  <c r="D10" i="3"/>
  <c r="AG9" i="3"/>
  <c r="AD9" i="3"/>
  <c r="AC9" i="3"/>
  <c r="AB9" i="3"/>
  <c r="D9" i="3"/>
  <c r="AH8" i="3"/>
  <c r="AG8" i="3"/>
  <c r="AF8" i="3"/>
  <c r="AE8" i="3"/>
  <c r="AD8" i="3"/>
  <c r="AC8" i="3"/>
  <c r="AA8" i="3"/>
  <c r="Y8" i="3"/>
  <c r="X8" i="3"/>
  <c r="W8" i="3"/>
  <c r="V8" i="3"/>
  <c r="U8" i="3"/>
  <c r="T8" i="3"/>
  <c r="D8" i="3"/>
  <c r="AB8" i="3" s="1"/>
  <c r="AG7" i="3"/>
  <c r="AF7" i="3"/>
  <c r="AE7" i="3"/>
  <c r="AD7" i="3"/>
  <c r="AC7" i="3"/>
  <c r="AA7" i="3"/>
  <c r="Z7" i="3"/>
  <c r="Y7" i="3"/>
  <c r="W7" i="3"/>
  <c r="V7" i="3"/>
  <c r="T7" i="3"/>
  <c r="D7" i="3"/>
  <c r="AG6" i="3"/>
  <c r="W6" i="3"/>
  <c r="V6" i="3"/>
  <c r="U6" i="3"/>
  <c r="D6" i="3"/>
  <c r="AB5" i="3"/>
  <c r="Z5" i="3"/>
  <c r="Y5" i="3"/>
  <c r="W5" i="3"/>
  <c r="D5" i="3"/>
  <c r="D4" i="3"/>
  <c r="AH3" i="3"/>
  <c r="AD3" i="3"/>
  <c r="AE3" i="3" s="1"/>
  <c r="AF3" i="3" s="1"/>
  <c r="AG3" i="3" s="1"/>
  <c r="AH26" i="2"/>
  <c r="AG26" i="2"/>
  <c r="AF26" i="2"/>
  <c r="AE26" i="2"/>
  <c r="AD26" i="2"/>
  <c r="AB26" i="2"/>
  <c r="AA26" i="2"/>
  <c r="Y26" i="2"/>
  <c r="W26" i="2"/>
  <c r="U26" i="2"/>
  <c r="D26" i="2"/>
  <c r="AF25" i="2"/>
  <c r="AE25" i="2"/>
  <c r="AD25" i="2"/>
  <c r="AB25" i="2"/>
  <c r="Z25" i="2"/>
  <c r="Y25" i="2"/>
  <c r="X25" i="2"/>
  <c r="W25" i="2"/>
  <c r="V25" i="2"/>
  <c r="U25" i="2"/>
  <c r="D25" i="2"/>
  <c r="AG24" i="2"/>
  <c r="AE24" i="2"/>
  <c r="AD24" i="2"/>
  <c r="AB24" i="2"/>
  <c r="AA24" i="2"/>
  <c r="Z24" i="2"/>
  <c r="X24" i="2"/>
  <c r="W24" i="2"/>
  <c r="V24" i="2"/>
  <c r="U24" i="2"/>
  <c r="T24" i="2"/>
  <c r="D24" i="2"/>
  <c r="AH23" i="2"/>
  <c r="AG23" i="2"/>
  <c r="AE23" i="2"/>
  <c r="D23" i="2"/>
  <c r="D22" i="2"/>
  <c r="T22" i="2" s="1"/>
  <c r="AH21" i="2"/>
  <c r="AG21" i="2"/>
  <c r="AF21" i="2"/>
  <c r="AE21" i="2"/>
  <c r="AD21" i="2"/>
  <c r="AC21" i="2"/>
  <c r="AB21" i="2"/>
  <c r="Z21" i="2"/>
  <c r="Y21" i="2"/>
  <c r="W21" i="2"/>
  <c r="V21" i="2"/>
  <c r="U21" i="2"/>
  <c r="D21" i="2"/>
  <c r="AH20" i="2"/>
  <c r="AF20" i="2"/>
  <c r="AE20" i="2"/>
  <c r="AD20" i="2"/>
  <c r="AB20" i="2"/>
  <c r="AA20" i="2"/>
  <c r="Z20" i="2"/>
  <c r="Y20" i="2"/>
  <c r="X20" i="2"/>
  <c r="W20" i="2"/>
  <c r="V20" i="2"/>
  <c r="U20" i="2"/>
  <c r="D20" i="2"/>
  <c r="AG20" i="2" s="1"/>
  <c r="AF19" i="2"/>
  <c r="AC19" i="2"/>
  <c r="AA19" i="2"/>
  <c r="Z19" i="2"/>
  <c r="Y19" i="2"/>
  <c r="X19" i="2"/>
  <c r="U19" i="2"/>
  <c r="D19" i="2"/>
  <c r="AG18" i="2"/>
  <c r="AF18" i="2"/>
  <c r="AE18" i="2"/>
  <c r="AC18" i="2"/>
  <c r="AB18" i="2"/>
  <c r="Y18" i="2"/>
  <c r="X18" i="2"/>
  <c r="W18" i="2"/>
  <c r="V18" i="2"/>
  <c r="U18" i="2"/>
  <c r="D18" i="2"/>
  <c r="D17" i="2"/>
  <c r="AE16" i="2"/>
  <c r="AF16" i="2" s="1"/>
  <c r="AG16" i="2" s="1"/>
  <c r="AH16" i="2" s="1"/>
  <c r="AD16" i="2"/>
  <c r="D12" i="2"/>
  <c r="AG11" i="2"/>
  <c r="Z11" i="2"/>
  <c r="Y11" i="2"/>
  <c r="X11" i="2"/>
  <c r="V11" i="2"/>
  <c r="T11" i="2"/>
  <c r="D11" i="2"/>
  <c r="AF11" i="2" s="1"/>
  <c r="AE10" i="2"/>
  <c r="AC10" i="2"/>
  <c r="AB10" i="2"/>
  <c r="AA10" i="2"/>
  <c r="Z10" i="2"/>
  <c r="Y10" i="2"/>
  <c r="W10" i="2"/>
  <c r="V10" i="2"/>
  <c r="U10" i="2"/>
  <c r="T10" i="2"/>
  <c r="D10" i="2"/>
  <c r="AH10" i="2" s="1"/>
  <c r="AH9" i="2"/>
  <c r="AD9" i="2"/>
  <c r="AC9" i="2"/>
  <c r="AA9" i="2"/>
  <c r="Z9" i="2"/>
  <c r="Y9" i="2"/>
  <c r="V9" i="2"/>
  <c r="U9" i="2"/>
  <c r="D9" i="2"/>
  <c r="AH8" i="2"/>
  <c r="AG8" i="2"/>
  <c r="AD8" i="2"/>
  <c r="AC8" i="2"/>
  <c r="AB8" i="2"/>
  <c r="Z8" i="2"/>
  <c r="Y8" i="2"/>
  <c r="U8" i="2"/>
  <c r="D8" i="2"/>
  <c r="AF7" i="2"/>
  <c r="AE7" i="2"/>
  <c r="AD7" i="2"/>
  <c r="AC7" i="2"/>
  <c r="AB7" i="2"/>
  <c r="Z7" i="2"/>
  <c r="Y7" i="2"/>
  <c r="X7" i="2"/>
  <c r="V7" i="2"/>
  <c r="U7" i="2"/>
  <c r="D7" i="2"/>
  <c r="AH6" i="2"/>
  <c r="AG6" i="2"/>
  <c r="AF6" i="2"/>
  <c r="AE6" i="2"/>
  <c r="AD6" i="2"/>
  <c r="AC6" i="2"/>
  <c r="AB6" i="2"/>
  <c r="AA6" i="2"/>
  <c r="Z6" i="2"/>
  <c r="Y6" i="2"/>
  <c r="X6" i="2"/>
  <c r="V6" i="2"/>
  <c r="U6" i="2"/>
  <c r="T6" i="2"/>
  <c r="D6" i="2"/>
  <c r="W6" i="2" s="1"/>
  <c r="AG5" i="2"/>
  <c r="AF5" i="2"/>
  <c r="AE5" i="2"/>
  <c r="AD5" i="2"/>
  <c r="AC5" i="2"/>
  <c r="AB5" i="2"/>
  <c r="AA5" i="2"/>
  <c r="Z5" i="2"/>
  <c r="Y5" i="2"/>
  <c r="X5" i="2"/>
  <c r="W5" i="2"/>
  <c r="V5" i="2"/>
  <c r="AJ5" i="2" s="1"/>
  <c r="U5" i="2"/>
  <c r="T5" i="2"/>
  <c r="D5" i="2"/>
  <c r="AH5" i="2" s="1"/>
  <c r="D4" i="2"/>
  <c r="AE4" i="2" s="1"/>
  <c r="AF3" i="2"/>
  <c r="AG3" i="2" s="1"/>
  <c r="AH3" i="2" s="1"/>
  <c r="AD3" i="2"/>
  <c r="AE3" i="2" s="1"/>
  <c r="B54" i="1"/>
  <c r="M53" i="1"/>
  <c r="L53" i="1"/>
  <c r="L52" i="1" s="1"/>
  <c r="J53" i="1"/>
  <c r="J52" i="1" s="1"/>
  <c r="I53" i="1"/>
  <c r="I52" i="1" s="1"/>
  <c r="H53" i="1"/>
  <c r="H52" i="1" s="1"/>
  <c r="G53" i="1"/>
  <c r="E53" i="1"/>
  <c r="E52" i="1" s="1"/>
  <c r="C53" i="1"/>
  <c r="B53" i="1"/>
  <c r="G52" i="1"/>
  <c r="N51" i="1"/>
  <c r="N50" i="1"/>
  <c r="N49" i="1"/>
  <c r="B48" i="1"/>
  <c r="B47" i="1"/>
  <c r="B46" i="1"/>
  <c r="B45" i="1"/>
  <c r="B44" i="1"/>
  <c r="B43" i="1"/>
  <c r="B42" i="1"/>
  <c r="N41" i="1"/>
  <c r="N40" i="1"/>
  <c r="N39" i="1"/>
  <c r="B39" i="1"/>
  <c r="B49" i="1" s="1"/>
  <c r="B38" i="1"/>
  <c r="B37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K15" i="1"/>
  <c r="B15" i="1"/>
  <c r="B14" i="1"/>
  <c r="B13" i="1"/>
  <c r="B12" i="1"/>
  <c r="B11" i="1"/>
  <c r="B10" i="1"/>
  <c r="B9" i="1"/>
  <c r="B8" i="1"/>
  <c r="B7" i="1"/>
  <c r="B6" i="1"/>
  <c r="B5" i="1"/>
  <c r="B4" i="1"/>
  <c r="AH37" i="32"/>
  <c r="AG37" i="32"/>
  <c r="AF37" i="32"/>
  <c r="AE37" i="32"/>
  <c r="AD37" i="32"/>
  <c r="AA37" i="32"/>
  <c r="Z37" i="32"/>
  <c r="W37" i="32"/>
  <c r="V37" i="32"/>
  <c r="T37" i="32"/>
  <c r="AJ37" i="32" s="1"/>
  <c r="D37" i="32"/>
  <c r="AB36" i="32"/>
  <c r="AA36" i="32"/>
  <c r="AA33" i="32" s="1"/>
  <c r="J45" i="1" s="1"/>
  <c r="Z36" i="32"/>
  <c r="V36" i="32"/>
  <c r="D36" i="32"/>
  <c r="AH35" i="32"/>
  <c r="AG35" i="32"/>
  <c r="AF35" i="32"/>
  <c r="AE35" i="32"/>
  <c r="AD35" i="32"/>
  <c r="AA35" i="32"/>
  <c r="Y35" i="32"/>
  <c r="X35" i="32"/>
  <c r="T35" i="32"/>
  <c r="D35" i="32"/>
  <c r="AE34" i="32"/>
  <c r="AF34" i="32" s="1"/>
  <c r="AG34" i="32" s="1"/>
  <c r="AH34" i="32" s="1"/>
  <c r="AD34" i="32"/>
  <c r="AC34" i="32"/>
  <c r="AG30" i="32"/>
  <c r="AF30" i="32"/>
  <c r="AD30" i="32"/>
  <c r="T30" i="32"/>
  <c r="AJ30" i="32" s="1"/>
  <c r="D30" i="32"/>
  <c r="AF29" i="32"/>
  <c r="AE29" i="32"/>
  <c r="Z29" i="32"/>
  <c r="Y29" i="32"/>
  <c r="W29" i="32"/>
  <c r="T29" i="32"/>
  <c r="D29" i="32"/>
  <c r="AH29" i="32" s="1"/>
  <c r="AE28" i="32"/>
  <c r="AD28" i="32"/>
  <c r="AC28" i="32"/>
  <c r="AB28" i="32"/>
  <c r="AA28" i="32"/>
  <c r="Z28" i="32"/>
  <c r="Y28" i="32"/>
  <c r="X28" i="32"/>
  <c r="W28" i="32"/>
  <c r="U28" i="32"/>
  <c r="D28" i="32"/>
  <c r="AH28" i="32" s="1"/>
  <c r="D27" i="32"/>
  <c r="AH26" i="32"/>
  <c r="AE26" i="32"/>
  <c r="Y26" i="32"/>
  <c r="X26" i="32"/>
  <c r="W26" i="32"/>
  <c r="V26" i="32"/>
  <c r="D26" i="32"/>
  <c r="AG25" i="32"/>
  <c r="AE25" i="32"/>
  <c r="AD25" i="32"/>
  <c r="AC25" i="32"/>
  <c r="AB25" i="32"/>
  <c r="AA25" i="32"/>
  <c r="Y25" i="32"/>
  <c r="X25" i="32"/>
  <c r="W25" i="32"/>
  <c r="V25" i="32"/>
  <c r="D25" i="32"/>
  <c r="AH25" i="32" s="1"/>
  <c r="D24" i="32"/>
  <c r="X24" i="32" s="1"/>
  <c r="AH23" i="32"/>
  <c r="AG23" i="32"/>
  <c r="AE23" i="32"/>
  <c r="AA23" i="32"/>
  <c r="Y23" i="32"/>
  <c r="V23" i="32"/>
  <c r="U23" i="32"/>
  <c r="T23" i="32"/>
  <c r="D23" i="32"/>
  <c r="AH22" i="32"/>
  <c r="AG22" i="32"/>
  <c r="AF22" i="32"/>
  <c r="AE22" i="32"/>
  <c r="AD22" i="32"/>
  <c r="AC22" i="32"/>
  <c r="AB22" i="32"/>
  <c r="AA22" i="32"/>
  <c r="Y22" i="32"/>
  <c r="X22" i="32"/>
  <c r="W22" i="32"/>
  <c r="V22" i="32"/>
  <c r="U22" i="32"/>
  <c r="D22" i="32"/>
  <c r="T22" i="32" s="1"/>
  <c r="AC21" i="32"/>
  <c r="AD21" i="32" s="1"/>
  <c r="AE21" i="32" s="1"/>
  <c r="AF21" i="32" s="1"/>
  <c r="AG21" i="32" s="1"/>
  <c r="AH21" i="32" s="1"/>
  <c r="AE17" i="32"/>
  <c r="AD17" i="32"/>
  <c r="AC17" i="32"/>
  <c r="AB17" i="32"/>
  <c r="D17" i="32"/>
  <c r="Y17" i="32" s="1"/>
  <c r="AD16" i="32"/>
  <c r="AA16" i="32"/>
  <c r="W16" i="32"/>
  <c r="V16" i="32"/>
  <c r="D16" i="32"/>
  <c r="AJ15" i="32"/>
  <c r="D15" i="32"/>
  <c r="AH14" i="32"/>
  <c r="AE14" i="32"/>
  <c r="AD14" i="32"/>
  <c r="AC14" i="32"/>
  <c r="AB14" i="32"/>
  <c r="Z14" i="32"/>
  <c r="X14" i="32"/>
  <c r="W14" i="32"/>
  <c r="V14" i="32"/>
  <c r="T14" i="32"/>
  <c r="D14" i="32"/>
  <c r="W13" i="32"/>
  <c r="V13" i="32"/>
  <c r="D13" i="32"/>
  <c r="AH12" i="32"/>
  <c r="AG12" i="32"/>
  <c r="AE12" i="32"/>
  <c r="AC12" i="32"/>
  <c r="AB12" i="32"/>
  <c r="AA12" i="32"/>
  <c r="Z12" i="32"/>
  <c r="X12" i="32"/>
  <c r="W12" i="32"/>
  <c r="V12" i="32"/>
  <c r="D12" i="32"/>
  <c r="D11" i="32"/>
  <c r="AF11" i="32" s="1"/>
  <c r="Z10" i="32"/>
  <c r="D10" i="32"/>
  <c r="AF9" i="32"/>
  <c r="AE9" i="32"/>
  <c r="AB9" i="32"/>
  <c r="AA9" i="32"/>
  <c r="U9" i="32"/>
  <c r="T9" i="32"/>
  <c r="D9" i="32"/>
  <c r="D8" i="32"/>
  <c r="AF8" i="32" s="1"/>
  <c r="AH7" i="32"/>
  <c r="AG7" i="32"/>
  <c r="AF7" i="32"/>
  <c r="AE7" i="32"/>
  <c r="AD7" i="32"/>
  <c r="AC7" i="32"/>
  <c r="AB7" i="32"/>
  <c r="Z7" i="32"/>
  <c r="AJ7" i="32" s="1"/>
  <c r="Y7" i="32"/>
  <c r="X7" i="32"/>
  <c r="W7" i="32"/>
  <c r="V7" i="32"/>
  <c r="U7" i="32"/>
  <c r="T7" i="32"/>
  <c r="D7" i="32"/>
  <c r="AA7" i="32" s="1"/>
  <c r="D6" i="32"/>
  <c r="AF6" i="32" s="1"/>
  <c r="AM5" i="32"/>
  <c r="AL5" i="32"/>
  <c r="D5" i="32"/>
  <c r="AF5" i="32" s="1"/>
  <c r="AM4" i="32"/>
  <c r="D4" i="32"/>
  <c r="AB4" i="32" s="1"/>
  <c r="AC3" i="32"/>
  <c r="AD3" i="32" s="1"/>
  <c r="AE3" i="32" s="1"/>
  <c r="AF3" i="32" s="1"/>
  <c r="AG3" i="32" s="1"/>
  <c r="AH3" i="32" s="1"/>
  <c r="V5" i="32" l="1"/>
  <c r="AD17" i="2"/>
  <c r="Z17" i="2"/>
  <c r="W17" i="2"/>
  <c r="AG17" i="2"/>
  <c r="AC17" i="2"/>
  <c r="Y17" i="2"/>
  <c r="X17" i="2"/>
  <c r="AE17" i="2"/>
  <c r="AB17" i="2"/>
  <c r="AA17" i="2"/>
  <c r="V17" i="2"/>
  <c r="W5" i="6"/>
  <c r="T5" i="6"/>
  <c r="Q5" i="6"/>
  <c r="V5" i="6"/>
  <c r="V2" i="6" s="1"/>
  <c r="J5" i="1" s="1"/>
  <c r="R5" i="6"/>
  <c r="R2" i="6" s="1"/>
  <c r="F5" i="1" s="1"/>
  <c r="O5" i="6"/>
  <c r="X5" i="6"/>
  <c r="X2" i="6" s="1"/>
  <c r="L5" i="1" s="1"/>
  <c r="U5" i="6"/>
  <c r="S5" i="6"/>
  <c r="U17" i="2"/>
  <c r="AD21" i="18"/>
  <c r="U21" i="18"/>
  <c r="AG21" i="18"/>
  <c r="AC21" i="18"/>
  <c r="T21" i="18"/>
  <c r="AH21" i="18"/>
  <c r="AF21" i="18"/>
  <c r="AE21" i="18"/>
  <c r="AB21" i="18"/>
  <c r="AA21" i="18"/>
  <c r="Z21" i="18"/>
  <c r="Y21" i="18"/>
  <c r="X21" i="18"/>
  <c r="V21" i="18"/>
  <c r="W21" i="18"/>
  <c r="W5" i="32"/>
  <c r="AF17" i="2"/>
  <c r="AC5" i="32"/>
  <c r="AH17" i="2"/>
  <c r="AF33" i="3"/>
  <c r="AE33" i="3"/>
  <c r="AA33" i="3"/>
  <c r="X33" i="3"/>
  <c r="Y33" i="3"/>
  <c r="AB33" i="3"/>
  <c r="AH33" i="3"/>
  <c r="AG33" i="3"/>
  <c r="AD33" i="3"/>
  <c r="AC33" i="3"/>
  <c r="U33" i="3"/>
  <c r="T33" i="3"/>
  <c r="AD5" i="32"/>
  <c r="AH10" i="32"/>
  <c r="AB10" i="32"/>
  <c r="AE10" i="32"/>
  <c r="AD10" i="32"/>
  <c r="AG10" i="32"/>
  <c r="AF10" i="32"/>
  <c r="AC10" i="32"/>
  <c r="AA10" i="32"/>
  <c r="W10" i="32"/>
  <c r="V10" i="32"/>
  <c r="U10" i="32"/>
  <c r="V33" i="3"/>
  <c r="AE5" i="32"/>
  <c r="T10" i="32"/>
  <c r="W33" i="3"/>
  <c r="X10" i="6"/>
  <c r="W10" i="6"/>
  <c r="U10" i="6"/>
  <c r="R10" i="6"/>
  <c r="T10" i="6"/>
  <c r="Q10" i="6"/>
  <c r="S10" i="6"/>
  <c r="P10" i="6"/>
  <c r="O10" i="6"/>
  <c r="X10" i="32"/>
  <c r="AJ10" i="4"/>
  <c r="V10" i="6"/>
  <c r="Y10" i="32"/>
  <c r="W10" i="5"/>
  <c r="T10" i="5"/>
  <c r="V10" i="5"/>
  <c r="S10" i="5"/>
  <c r="Q10" i="5"/>
  <c r="X10" i="5"/>
  <c r="U10" i="5"/>
  <c r="R10" i="5"/>
  <c r="P10" i="5"/>
  <c r="Z10" i="5" s="1"/>
  <c r="AC13" i="32"/>
  <c r="Z13" i="32"/>
  <c r="T13" i="32"/>
  <c r="AB13" i="32"/>
  <c r="AA13" i="32"/>
  <c r="U13" i="32"/>
  <c r="AF13" i="32"/>
  <c r="AE13" i="32"/>
  <c r="AD13" i="32"/>
  <c r="Y12" i="2"/>
  <c r="U12" i="2"/>
  <c r="T12" i="2"/>
  <c r="AJ12" i="2" s="1"/>
  <c r="AE12" i="2"/>
  <c r="X12" i="2"/>
  <c r="W12" i="2"/>
  <c r="AG12" i="2"/>
  <c r="AF12" i="2"/>
  <c r="AB12" i="2"/>
  <c r="AA12" i="2"/>
  <c r="Z12" i="2"/>
  <c r="V12" i="2"/>
  <c r="Z5" i="5"/>
  <c r="S8" i="8"/>
  <c r="R8" i="8"/>
  <c r="Q8" i="8"/>
  <c r="P8" i="8"/>
  <c r="W8" i="8"/>
  <c r="O8" i="8"/>
  <c r="Z8" i="8" s="1"/>
  <c r="T8" i="8"/>
  <c r="X8" i="8"/>
  <c r="U8" i="8"/>
  <c r="V8" i="8"/>
  <c r="AG13" i="32"/>
  <c r="AH4" i="3"/>
  <c r="AC4" i="3"/>
  <c r="Y4" i="3"/>
  <c r="V4" i="3"/>
  <c r="AG4" i="3"/>
  <c r="Z4" i="3"/>
  <c r="AE4" i="3"/>
  <c r="AD4" i="3"/>
  <c r="AB4" i="3"/>
  <c r="U4" i="3"/>
  <c r="T4" i="3"/>
  <c r="AF4" i="3"/>
  <c r="AB22" i="2"/>
  <c r="X22" i="2"/>
  <c r="U22" i="2"/>
  <c r="AJ22" i="2" s="1"/>
  <c r="AC22" i="2"/>
  <c r="AH22" i="2"/>
  <c r="Z22" i="2"/>
  <c r="AD22" i="2"/>
  <c r="AA22" i="2"/>
  <c r="AE22" i="2"/>
  <c r="Y22" i="2"/>
  <c r="W22" i="2"/>
  <c r="U6" i="32"/>
  <c r="Y6" i="32"/>
  <c r="Z11" i="32"/>
  <c r="Z6" i="32"/>
  <c r="AH27" i="32"/>
  <c r="AF27" i="32"/>
  <c r="Z27" i="32"/>
  <c r="Y27" i="32"/>
  <c r="X27" i="32"/>
  <c r="AA27" i="32"/>
  <c r="U27" i="32"/>
  <c r="T27" i="32"/>
  <c r="AG27" i="32"/>
  <c r="AH12" i="2"/>
  <c r="Z4" i="6"/>
  <c r="AC8" i="32"/>
  <c r="AJ6" i="2"/>
  <c r="Z7" i="9"/>
  <c r="T17" i="32"/>
  <c r="AJ17" i="32" s="1"/>
  <c r="W4" i="2"/>
  <c r="AG6" i="32"/>
  <c r="AB27" i="32"/>
  <c r="AF33" i="32"/>
  <c r="C52" i="1"/>
  <c r="N52" i="1" s="1"/>
  <c r="N53" i="1"/>
  <c r="W4" i="3"/>
  <c r="W2" i="3" s="1"/>
  <c r="F24" i="1" s="1"/>
  <c r="U5" i="32"/>
  <c r="AH5" i="32"/>
  <c r="Z5" i="32"/>
  <c r="Y5" i="32"/>
  <c r="AG5" i="32"/>
  <c r="AB5" i="32"/>
  <c r="AB2" i="32" s="1"/>
  <c r="K44" i="1" s="1"/>
  <c r="AA5" i="32"/>
  <c r="X5" i="32"/>
  <c r="T5" i="32"/>
  <c r="T17" i="2"/>
  <c r="P5" i="6"/>
  <c r="AJ33" i="18"/>
  <c r="T6" i="32"/>
  <c r="U11" i="32"/>
  <c r="AG11" i="32"/>
  <c r="Y11" i="32"/>
  <c r="X11" i="32"/>
  <c r="W11" i="32"/>
  <c r="AB11" i="32"/>
  <c r="V11" i="32"/>
  <c r="T11" i="32"/>
  <c r="AH11" i="32"/>
  <c r="X13" i="32"/>
  <c r="AE8" i="32"/>
  <c r="X8" i="32"/>
  <c r="AB8" i="32"/>
  <c r="AA8" i="32"/>
  <c r="Z8" i="32"/>
  <c r="AH8" i="32"/>
  <c r="Y8" i="32"/>
  <c r="W8" i="32"/>
  <c r="V8" i="32"/>
  <c r="Y13" i="32"/>
  <c r="AC12" i="2"/>
  <c r="V22" i="2"/>
  <c r="AD4" i="32"/>
  <c r="AF4" i="32"/>
  <c r="AE4" i="32"/>
  <c r="AC4" i="32"/>
  <c r="U4" i="32"/>
  <c r="T4" i="32"/>
  <c r="AH4" i="32"/>
  <c r="AG4" i="32"/>
  <c r="Y4" i="32"/>
  <c r="X4" i="32"/>
  <c r="W4" i="32"/>
  <c r="T8" i="32"/>
  <c r="AA11" i="32"/>
  <c r="AG4" i="2"/>
  <c r="AD4" i="2"/>
  <c r="T4" i="2"/>
  <c r="Y4" i="2"/>
  <c r="AC4" i="2"/>
  <c r="AB4" i="2"/>
  <c r="AA4" i="2"/>
  <c r="Z4" i="2"/>
  <c r="Z2" i="2" s="1"/>
  <c r="I23" i="1" s="1"/>
  <c r="X4" i="2"/>
  <c r="AD12" i="2"/>
  <c r="AF22" i="2"/>
  <c r="S7" i="6"/>
  <c r="P7" i="6"/>
  <c r="V7" i="6"/>
  <c r="R7" i="6"/>
  <c r="T7" i="6"/>
  <c r="T2" i="6" s="1"/>
  <c r="H5" i="1" s="1"/>
  <c r="U7" i="6"/>
  <c r="O7" i="6"/>
  <c r="Q7" i="6"/>
  <c r="Q2" i="6" s="1"/>
  <c r="E5" i="1" s="1"/>
  <c r="X7" i="6"/>
  <c r="W7" i="6"/>
  <c r="V4" i="32"/>
  <c r="AB6" i="32"/>
  <c r="U8" i="32"/>
  <c r="AC11" i="32"/>
  <c r="AH13" i="32"/>
  <c r="AA24" i="32"/>
  <c r="U4" i="2"/>
  <c r="U2" i="2" s="1"/>
  <c r="D23" i="1" s="1"/>
  <c r="AG22" i="2"/>
  <c r="AA21" i="3"/>
  <c r="U21" i="3"/>
  <c r="AD21" i="3"/>
  <c r="Y21" i="3"/>
  <c r="V21" i="3"/>
  <c r="W21" i="3"/>
  <c r="AC21" i="3"/>
  <c r="T21" i="3"/>
  <c r="AH21" i="3"/>
  <c r="AG21" i="3"/>
  <c r="AF21" i="3"/>
  <c r="AB21" i="3"/>
  <c r="Z21" i="3"/>
  <c r="Z8" i="5"/>
  <c r="Z4" i="32"/>
  <c r="AE6" i="32"/>
  <c r="AD11" i="32"/>
  <c r="AF17" i="32"/>
  <c r="AH17" i="32"/>
  <c r="AG17" i="32"/>
  <c r="X17" i="32"/>
  <c r="W17" i="32"/>
  <c r="AA17" i="32"/>
  <c r="V17" i="32"/>
  <c r="U17" i="32"/>
  <c r="AC24" i="32"/>
  <c r="V27" i="32"/>
  <c r="AD33" i="32"/>
  <c r="V4" i="2"/>
  <c r="X21" i="3"/>
  <c r="V8" i="6"/>
  <c r="W8" i="6"/>
  <c r="X8" i="6"/>
  <c r="R8" i="6"/>
  <c r="P8" i="6"/>
  <c r="U8" i="6"/>
  <c r="O8" i="6"/>
  <c r="T8" i="6"/>
  <c r="S8" i="6"/>
  <c r="V11" i="7"/>
  <c r="Q11" i="7"/>
  <c r="S11" i="7"/>
  <c r="U11" i="7"/>
  <c r="R11" i="7"/>
  <c r="P11" i="7"/>
  <c r="X11" i="7"/>
  <c r="W11" i="7"/>
  <c r="T11" i="7"/>
  <c r="AA4" i="32"/>
  <c r="AD8" i="32"/>
  <c r="AE11" i="32"/>
  <c r="W27" i="32"/>
  <c r="AG8" i="32"/>
  <c r="Z17" i="32"/>
  <c r="AC27" i="32"/>
  <c r="AE30" i="32"/>
  <c r="Y30" i="32"/>
  <c r="AB30" i="32"/>
  <c r="U30" i="32"/>
  <c r="Z30" i="32"/>
  <c r="X30" i="32"/>
  <c r="AH30" i="32"/>
  <c r="AC30" i="32"/>
  <c r="AA30" i="32"/>
  <c r="W30" i="32"/>
  <c r="V30" i="32"/>
  <c r="AF4" i="2"/>
  <c r="X4" i="3"/>
  <c r="Y15" i="3"/>
  <c r="AF37" i="3"/>
  <c r="AC37" i="3"/>
  <c r="Z37" i="3"/>
  <c r="Z29" i="3" s="1"/>
  <c r="AE37" i="3"/>
  <c r="AA37" i="3"/>
  <c r="Y37" i="3"/>
  <c r="AG37" i="3"/>
  <c r="W37" i="3"/>
  <c r="AD37" i="3"/>
  <c r="AB37" i="3"/>
  <c r="X37" i="3"/>
  <c r="V37" i="3"/>
  <c r="U37" i="3"/>
  <c r="T37" i="3"/>
  <c r="W6" i="32"/>
  <c r="AD6" i="32"/>
  <c r="AC6" i="32"/>
  <c r="AA6" i="32"/>
  <c r="X6" i="32"/>
  <c r="V6" i="32"/>
  <c r="AH6" i="32"/>
  <c r="AC9" i="32"/>
  <c r="W9" i="32"/>
  <c r="AH9" i="32"/>
  <c r="AG9" i="32"/>
  <c r="X9" i="32"/>
  <c r="V9" i="32"/>
  <c r="AJ9" i="32" s="1"/>
  <c r="AD9" i="32"/>
  <c r="Z9" i="32"/>
  <c r="Y9" i="32"/>
  <c r="AE20" i="32"/>
  <c r="AD27" i="32"/>
  <c r="AH4" i="2"/>
  <c r="AA4" i="3"/>
  <c r="AB24" i="32"/>
  <c r="V24" i="32"/>
  <c r="AF24" i="32"/>
  <c r="Z24" i="32"/>
  <c r="Y24" i="32"/>
  <c r="Y20" i="32" s="1"/>
  <c r="H46" i="1" s="1"/>
  <c r="AH24" i="32"/>
  <c r="AH20" i="32" s="1"/>
  <c r="AG24" i="32"/>
  <c r="AE24" i="32"/>
  <c r="AD24" i="32"/>
  <c r="W24" i="32"/>
  <c r="U24" i="32"/>
  <c r="T24" i="32"/>
  <c r="AE27" i="32"/>
  <c r="AG36" i="32"/>
  <c r="AG33" i="32" s="1"/>
  <c r="AE36" i="32"/>
  <c r="AE33" i="32" s="1"/>
  <c r="AD36" i="32"/>
  <c r="AC36" i="32"/>
  <c r="U36" i="32"/>
  <c r="T36" i="32"/>
  <c r="AH36" i="32"/>
  <c r="AH33" i="32" s="1"/>
  <c r="AF36" i="32"/>
  <c r="Y36" i="32"/>
  <c r="X36" i="32"/>
  <c r="W36" i="32"/>
  <c r="W4" i="4"/>
  <c r="T4" i="4"/>
  <c r="AF4" i="4"/>
  <c r="AC4" i="4"/>
  <c r="AD4" i="4"/>
  <c r="V4" i="4"/>
  <c r="V2" i="4" s="1"/>
  <c r="E25" i="1" s="1"/>
  <c r="Y4" i="4"/>
  <c r="AG4" i="4"/>
  <c r="AE4" i="4"/>
  <c r="AA4" i="4"/>
  <c r="AB4" i="4"/>
  <c r="V12" i="8"/>
  <c r="R12" i="8"/>
  <c r="O12" i="8"/>
  <c r="X12" i="8"/>
  <c r="U12" i="8"/>
  <c r="S12" i="8"/>
  <c r="Q12" i="8"/>
  <c r="W12" i="8"/>
  <c r="T12" i="8"/>
  <c r="P12" i="8"/>
  <c r="AH16" i="32"/>
  <c r="AB16" i="32"/>
  <c r="AC16" i="32"/>
  <c r="Z16" i="32"/>
  <c r="Y16" i="32"/>
  <c r="X16" i="32"/>
  <c r="AG29" i="32"/>
  <c r="AH5" i="3"/>
  <c r="AD5" i="3"/>
  <c r="AA5" i="3"/>
  <c r="T5" i="3"/>
  <c r="AC5" i="3"/>
  <c r="X5" i="3"/>
  <c r="AG5" i="3"/>
  <c r="AF5" i="3"/>
  <c r="AF9" i="3"/>
  <c r="AE9" i="3"/>
  <c r="AA9" i="3"/>
  <c r="X9" i="3"/>
  <c r="Y9" i="3"/>
  <c r="W9" i="3"/>
  <c r="AH9" i="3"/>
  <c r="U9" i="3"/>
  <c r="T9" i="3"/>
  <c r="U4" i="4"/>
  <c r="W13" i="8"/>
  <c r="V13" i="8"/>
  <c r="U13" i="8"/>
  <c r="T13" i="8"/>
  <c r="Q13" i="8"/>
  <c r="P13" i="8"/>
  <c r="O13" i="8"/>
  <c r="Z13" i="8" s="1"/>
  <c r="V2" i="10"/>
  <c r="J18" i="1" s="1"/>
  <c r="W2" i="17"/>
  <c r="K17" i="1" s="1"/>
  <c r="T16" i="32"/>
  <c r="AD26" i="32"/>
  <c r="Z26" i="32"/>
  <c r="T26" i="32"/>
  <c r="AC26" i="32"/>
  <c r="AB26" i="32"/>
  <c r="AA26" i="32"/>
  <c r="AA11" i="2"/>
  <c r="U5" i="3"/>
  <c r="V9" i="3"/>
  <c r="X4" i="4"/>
  <c r="R13" i="8"/>
  <c r="Z9" i="9"/>
  <c r="U21" i="20"/>
  <c r="AJ21" i="20" s="1"/>
  <c r="X21" i="20"/>
  <c r="AD21" i="20"/>
  <c r="AA21" i="20"/>
  <c r="Z21" i="20"/>
  <c r="AF21" i="20"/>
  <c r="AC21" i="20"/>
  <c r="AB21" i="20"/>
  <c r="V21" i="20"/>
  <c r="AH21" i="20"/>
  <c r="AE21" i="20"/>
  <c r="AG21" i="20"/>
  <c r="Y21" i="20"/>
  <c r="W21" i="20"/>
  <c r="U16" i="32"/>
  <c r="U26" i="32"/>
  <c r="V5" i="3"/>
  <c r="Z9" i="3"/>
  <c r="Z4" i="4"/>
  <c r="S13" i="8"/>
  <c r="P7" i="11"/>
  <c r="Z7" i="11" s="1"/>
  <c r="W7" i="11"/>
  <c r="U7" i="11"/>
  <c r="X7" i="11"/>
  <c r="T7" i="11"/>
  <c r="S7" i="11"/>
  <c r="R7" i="11"/>
  <c r="V7" i="11"/>
  <c r="AJ13" i="14"/>
  <c r="AF23" i="2"/>
  <c r="AB23" i="2"/>
  <c r="Y23" i="2"/>
  <c r="Z23" i="2"/>
  <c r="U23" i="2"/>
  <c r="AD23" i="2"/>
  <c r="AA23" i="2"/>
  <c r="X23" i="2"/>
  <c r="W23" i="2"/>
  <c r="U25" i="3"/>
  <c r="AD25" i="3"/>
  <c r="Z25" i="3"/>
  <c r="W25" i="3"/>
  <c r="AE25" i="3"/>
  <c r="AF25" i="3"/>
  <c r="AG25" i="3"/>
  <c r="AC25" i="3"/>
  <c r="AA25" i="3"/>
  <c r="AB25" i="3"/>
  <c r="AE16" i="32"/>
  <c r="T23" i="2"/>
  <c r="AE5" i="3"/>
  <c r="T25" i="3"/>
  <c r="AH32" i="3"/>
  <c r="AH29" i="3" s="1"/>
  <c r="AB32" i="3"/>
  <c r="Y32" i="3"/>
  <c r="Y29" i="3" s="1"/>
  <c r="U32" i="3"/>
  <c r="AF32" i="3"/>
  <c r="AF29" i="3" s="1"/>
  <c r="AA32" i="3"/>
  <c r="AA29" i="3" s="1"/>
  <c r="V32" i="3"/>
  <c r="AG32" i="3"/>
  <c r="AG29" i="3" s="1"/>
  <c r="AH39" i="3"/>
  <c r="Y39" i="3"/>
  <c r="U39" i="3"/>
  <c r="V39" i="3"/>
  <c r="AD39" i="3"/>
  <c r="AB39" i="3"/>
  <c r="W39" i="3"/>
  <c r="AG39" i="3"/>
  <c r="AE39" i="3"/>
  <c r="AC39" i="3"/>
  <c r="Z39" i="3"/>
  <c r="AA39" i="3"/>
  <c r="W7" i="8"/>
  <c r="X7" i="8"/>
  <c r="U7" i="8"/>
  <c r="Q7" i="8"/>
  <c r="O7" i="8"/>
  <c r="V7" i="8"/>
  <c r="P7" i="8"/>
  <c r="AJ14" i="32"/>
  <c r="AF16" i="32"/>
  <c r="AF26" i="32"/>
  <c r="V23" i="2"/>
  <c r="V25" i="3"/>
  <c r="T32" i="3"/>
  <c r="T39" i="3"/>
  <c r="AJ39" i="3" s="1"/>
  <c r="R7" i="8"/>
  <c r="T8" i="10"/>
  <c r="X8" i="10"/>
  <c r="W8" i="10"/>
  <c r="V8" i="10"/>
  <c r="R8" i="10"/>
  <c r="S8" i="10"/>
  <c r="Q8" i="10"/>
  <c r="U8" i="10"/>
  <c r="P8" i="10"/>
  <c r="AG16" i="32"/>
  <c r="X23" i="32"/>
  <c r="X20" i="32" s="1"/>
  <c r="G46" i="1" s="1"/>
  <c r="AF23" i="32"/>
  <c r="Z23" i="32"/>
  <c r="AD23" i="32"/>
  <c r="AD20" i="32" s="1"/>
  <c r="AC23" i="32"/>
  <c r="AC20" i="32" s="1"/>
  <c r="L46" i="1" s="1"/>
  <c r="AB23" i="32"/>
  <c r="AG26" i="32"/>
  <c r="AC35" i="32"/>
  <c r="AB35" i="32"/>
  <c r="W35" i="32"/>
  <c r="W33" i="32" s="1"/>
  <c r="F45" i="1" s="1"/>
  <c r="V35" i="32"/>
  <c r="V33" i="32" s="1"/>
  <c r="E45" i="1" s="1"/>
  <c r="U35" i="32"/>
  <c r="U33" i="32" s="1"/>
  <c r="D45" i="1" s="1"/>
  <c r="U37" i="32"/>
  <c r="X37" i="32"/>
  <c r="X33" i="32" s="1"/>
  <c r="G45" i="1" s="1"/>
  <c r="AC37" i="32"/>
  <c r="AB37" i="32"/>
  <c r="AC23" i="2"/>
  <c r="T6" i="3"/>
  <c r="AF6" i="3"/>
  <c r="AB6" i="3"/>
  <c r="Y6" i="3"/>
  <c r="AC6" i="3"/>
  <c r="AH6" i="3"/>
  <c r="AE6" i="3"/>
  <c r="AD6" i="3"/>
  <c r="AA6" i="3"/>
  <c r="Z6" i="3"/>
  <c r="AA17" i="3"/>
  <c r="AA15" i="3" s="1"/>
  <c r="AE17" i="3"/>
  <c r="Z17" i="3"/>
  <c r="W17" i="3"/>
  <c r="AG17" i="3"/>
  <c r="AB17" i="3"/>
  <c r="X17" i="3"/>
  <c r="V17" i="3"/>
  <c r="V15" i="3" s="1"/>
  <c r="X25" i="3"/>
  <c r="W32" i="3"/>
  <c r="X39" i="3"/>
  <c r="S7" i="8"/>
  <c r="O8" i="10"/>
  <c r="X4" i="8"/>
  <c r="W4" i="8"/>
  <c r="T4" i="8"/>
  <c r="T2" i="8" s="1"/>
  <c r="H7" i="1" s="1"/>
  <c r="U4" i="8"/>
  <c r="P4" i="8"/>
  <c r="R4" i="8"/>
  <c r="R2" i="8" s="1"/>
  <c r="F7" i="1" s="1"/>
  <c r="O4" i="8"/>
  <c r="T7" i="8"/>
  <c r="W11" i="17"/>
  <c r="P11" i="17"/>
  <c r="O11" i="17"/>
  <c r="Z11" i="17" s="1"/>
  <c r="V11" i="17"/>
  <c r="Q11" i="17"/>
  <c r="X11" i="17"/>
  <c r="T11" i="17"/>
  <c r="R11" i="17"/>
  <c r="R2" i="17" s="1"/>
  <c r="F17" i="1" s="1"/>
  <c r="U11" i="17"/>
  <c r="S11" i="17"/>
  <c r="W23" i="32"/>
  <c r="AJ23" i="32" s="1"/>
  <c r="Z35" i="32"/>
  <c r="Z33" i="32" s="1"/>
  <c r="I45" i="1" s="1"/>
  <c r="Y37" i="32"/>
  <c r="X6" i="3"/>
  <c r="AC17" i="3"/>
  <c r="AC15" i="3" s="1"/>
  <c r="AD32" i="3"/>
  <c r="W12" i="5"/>
  <c r="U12" i="5"/>
  <c r="R12" i="5"/>
  <c r="X12" i="5"/>
  <c r="T12" i="5"/>
  <c r="V12" i="5"/>
  <c r="O12" i="5"/>
  <c r="P12" i="5"/>
  <c r="V4" i="8"/>
  <c r="U11" i="6"/>
  <c r="R11" i="6"/>
  <c r="T11" i="6"/>
  <c r="Q11" i="6"/>
  <c r="O11" i="6"/>
  <c r="Z11" i="6" s="1"/>
  <c r="V11" i="6"/>
  <c r="S4" i="8"/>
  <c r="S2" i="8" s="1"/>
  <c r="G7" i="1" s="1"/>
  <c r="AA29" i="32"/>
  <c r="U29" i="32"/>
  <c r="AJ29" i="32" s="1"/>
  <c r="V29" i="32"/>
  <c r="AD29" i="32"/>
  <c r="AC29" i="32"/>
  <c r="AB29" i="32"/>
  <c r="AE32" i="3"/>
  <c r="AE29" i="3" s="1"/>
  <c r="S11" i="6"/>
  <c r="Q5" i="8"/>
  <c r="Z5" i="8" s="1"/>
  <c r="X5" i="8"/>
  <c r="T5" i="8"/>
  <c r="R5" i="8"/>
  <c r="S5" i="8"/>
  <c r="V5" i="8"/>
  <c r="W5" i="8"/>
  <c r="AH15" i="3"/>
  <c r="X11" i="6"/>
  <c r="W9" i="11"/>
  <c r="U9" i="11"/>
  <c r="S9" i="11"/>
  <c r="V9" i="11"/>
  <c r="T9" i="11"/>
  <c r="Q9" i="11"/>
  <c r="O9" i="11"/>
  <c r="X9" i="11"/>
  <c r="P9" i="11"/>
  <c r="X29" i="32"/>
  <c r="U11" i="2"/>
  <c r="AJ11" i="2" s="1"/>
  <c r="W11" i="2"/>
  <c r="AH11" i="2"/>
  <c r="AB11" i="2"/>
  <c r="AE11" i="2"/>
  <c r="AD11" i="2"/>
  <c r="AC11" i="2"/>
  <c r="AJ11" i="3"/>
  <c r="U5" i="8"/>
  <c r="R9" i="11"/>
  <c r="Y12" i="32"/>
  <c r="U12" i="32"/>
  <c r="AG28" i="32"/>
  <c r="AG20" i="32" s="1"/>
  <c r="AE9" i="2"/>
  <c r="AE2" i="2" s="1"/>
  <c r="AB9" i="2"/>
  <c r="W9" i="2"/>
  <c r="AF9" i="2"/>
  <c r="X9" i="2"/>
  <c r="AH19" i="2"/>
  <c r="AE19" i="2"/>
  <c r="V19" i="2"/>
  <c r="AB19" i="2"/>
  <c r="AD19" i="2"/>
  <c r="W19" i="2"/>
  <c r="AG19" i="3"/>
  <c r="AA19" i="3"/>
  <c r="AD19" i="3"/>
  <c r="AD15" i="3" s="1"/>
  <c r="W19" i="3"/>
  <c r="AH19" i="3"/>
  <c r="AB19" i="3"/>
  <c r="T19" i="3"/>
  <c r="T15" i="3" s="1"/>
  <c r="AI15" i="3" s="1"/>
  <c r="AC23" i="3"/>
  <c r="AH23" i="3"/>
  <c r="X23" i="3"/>
  <c r="T23" i="3"/>
  <c r="AJ23" i="3" s="1"/>
  <c r="S9" i="8"/>
  <c r="W9" i="8"/>
  <c r="R9" i="8"/>
  <c r="V9" i="8"/>
  <c r="W4" i="9"/>
  <c r="V4" i="9"/>
  <c r="V2" i="9" s="1"/>
  <c r="J8" i="1" s="1"/>
  <c r="U4" i="9"/>
  <c r="T4" i="9"/>
  <c r="T2" i="9" s="1"/>
  <c r="H8" i="1" s="1"/>
  <c r="Q4" i="9"/>
  <c r="O4" i="9"/>
  <c r="X4" i="9"/>
  <c r="R4" i="9"/>
  <c r="Z10" i="11"/>
  <c r="AH7" i="14"/>
  <c r="X7" i="14"/>
  <c r="AG7" i="14"/>
  <c r="AF7" i="14"/>
  <c r="AD7" i="14"/>
  <c r="AC7" i="14"/>
  <c r="AB7" i="14"/>
  <c r="AA7" i="14"/>
  <c r="Z7" i="14"/>
  <c r="Y7" i="14"/>
  <c r="Y2" i="14" s="1"/>
  <c r="H13" i="1" s="1"/>
  <c r="V7" i="14"/>
  <c r="T7" i="14"/>
  <c r="AJ7" i="14" s="1"/>
  <c r="U7" i="14"/>
  <c r="W7" i="14"/>
  <c r="T12" i="32"/>
  <c r="T9" i="2"/>
  <c r="AJ9" i="2" s="1"/>
  <c r="T19" i="2"/>
  <c r="AC26" i="2"/>
  <c r="V26" i="2"/>
  <c r="X26" i="2"/>
  <c r="Z26" i="2"/>
  <c r="T26" i="2"/>
  <c r="AJ26" i="2" s="1"/>
  <c r="U19" i="3"/>
  <c r="U15" i="3" s="1"/>
  <c r="U23" i="3"/>
  <c r="AE6" i="4"/>
  <c r="AB6" i="4"/>
  <c r="Y6" i="4"/>
  <c r="Z6" i="4"/>
  <c r="U6" i="4"/>
  <c r="AJ6" i="4" s="1"/>
  <c r="AF6" i="4"/>
  <c r="X6" i="4"/>
  <c r="W6" i="4"/>
  <c r="O9" i="8"/>
  <c r="Z9" i="8" s="1"/>
  <c r="P4" i="9"/>
  <c r="P2" i="9" s="1"/>
  <c r="D8" i="1" s="1"/>
  <c r="T11" i="11"/>
  <c r="X11" i="11"/>
  <c r="W11" i="11"/>
  <c r="S11" i="11"/>
  <c r="Q11" i="11"/>
  <c r="V11" i="11"/>
  <c r="R11" i="11"/>
  <c r="P11" i="11"/>
  <c r="AD12" i="32"/>
  <c r="AG14" i="32"/>
  <c r="AA14" i="32"/>
  <c r="AF14" i="32"/>
  <c r="Y14" i="32"/>
  <c r="AG9" i="2"/>
  <c r="AG19" i="2"/>
  <c r="W9" i="5"/>
  <c r="T9" i="5"/>
  <c r="Q9" i="5"/>
  <c r="O9" i="5"/>
  <c r="R9" i="5"/>
  <c r="P9" i="5"/>
  <c r="Z6" i="6"/>
  <c r="X6" i="7"/>
  <c r="X2" i="7" s="1"/>
  <c r="L6" i="1" s="1"/>
  <c r="U6" i="7"/>
  <c r="U2" i="7" s="1"/>
  <c r="I6" i="1" s="1"/>
  <c r="T6" i="7"/>
  <c r="W6" i="7"/>
  <c r="V6" i="7"/>
  <c r="R6" i="7"/>
  <c r="O11" i="11"/>
  <c r="AE8" i="2"/>
  <c r="AA8" i="2"/>
  <c r="X8" i="2"/>
  <c r="V8" i="2"/>
  <c r="AF8" i="2"/>
  <c r="W8" i="2"/>
  <c r="AF7" i="4"/>
  <c r="AC7" i="4"/>
  <c r="AH7" i="4"/>
  <c r="AB7" i="4"/>
  <c r="Y7" i="4"/>
  <c r="AD7" i="4"/>
  <c r="X7" i="4"/>
  <c r="Z6" i="7"/>
  <c r="Z8" i="11"/>
  <c r="U11" i="11"/>
  <c r="AF25" i="32"/>
  <c r="AF20" i="32" s="1"/>
  <c r="Z25" i="32"/>
  <c r="T25" i="32"/>
  <c r="V28" i="32"/>
  <c r="V20" i="32" s="1"/>
  <c r="E46" i="1" s="1"/>
  <c r="AF28" i="32"/>
  <c r="AG25" i="2"/>
  <c r="AH25" i="2"/>
  <c r="AA25" i="2"/>
  <c r="AC25" i="2"/>
  <c r="AF10" i="3"/>
  <c r="AC10" i="3"/>
  <c r="AH10" i="3"/>
  <c r="Z10" i="3"/>
  <c r="AB10" i="3"/>
  <c r="W10" i="3"/>
  <c r="AF12" i="32"/>
  <c r="U14" i="32"/>
  <c r="U25" i="32"/>
  <c r="U20" i="32" s="1"/>
  <c r="D46" i="1" s="1"/>
  <c r="T28" i="32"/>
  <c r="T8" i="2"/>
  <c r="AF10" i="2"/>
  <c r="AD10" i="2"/>
  <c r="AJ10" i="2" s="1"/>
  <c r="AG10" i="2"/>
  <c r="X10" i="2"/>
  <c r="T25" i="2"/>
  <c r="T10" i="3"/>
  <c r="T7" i="4"/>
  <c r="Z9" i="6"/>
  <c r="Q9" i="7"/>
  <c r="O9" i="7"/>
  <c r="Z9" i="7" s="1"/>
  <c r="W9" i="7"/>
  <c r="U9" i="7"/>
  <c r="P9" i="7"/>
  <c r="R12" i="11"/>
  <c r="W12" i="11"/>
  <c r="S12" i="11"/>
  <c r="P12" i="11"/>
  <c r="O12" i="11"/>
  <c r="Z12" i="11" s="1"/>
  <c r="X12" i="11"/>
  <c r="Q12" i="11"/>
  <c r="V10" i="18"/>
  <c r="AH10" i="18"/>
  <c r="AE10" i="18"/>
  <c r="AG10" i="18"/>
  <c r="T10" i="18"/>
  <c r="AF10" i="18"/>
  <c r="AD10" i="18"/>
  <c r="AC10" i="18"/>
  <c r="AB10" i="18"/>
  <c r="AA10" i="18"/>
  <c r="Z10" i="18"/>
  <c r="X10" i="18"/>
  <c r="U10" i="18"/>
  <c r="Y10" i="18"/>
  <c r="U14" i="13"/>
  <c r="AJ17" i="13"/>
  <c r="Z4" i="17"/>
  <c r="AE22" i="3"/>
  <c r="Y22" i="3"/>
  <c r="AF22" i="3"/>
  <c r="AB22" i="3"/>
  <c r="AA22" i="3"/>
  <c r="X22" i="3"/>
  <c r="AJ22" i="3" s="1"/>
  <c r="Z22" i="3"/>
  <c r="T34" i="3"/>
  <c r="T29" i="3" s="1"/>
  <c r="AI29" i="3" s="1"/>
  <c r="AG34" i="3"/>
  <c r="AD34" i="3"/>
  <c r="X34" i="3"/>
  <c r="AB34" i="3"/>
  <c r="AB29" i="3" s="1"/>
  <c r="W34" i="3"/>
  <c r="W29" i="3" s="1"/>
  <c r="AA5" i="4"/>
  <c r="X5" i="4"/>
  <c r="U5" i="4"/>
  <c r="AJ5" i="4" s="1"/>
  <c r="W5" i="4"/>
  <c r="AH5" i="4"/>
  <c r="AH2" i="4" s="1"/>
  <c r="AB5" i="4"/>
  <c r="AH12" i="4"/>
  <c r="AE12" i="4"/>
  <c r="AB12" i="4"/>
  <c r="AF12" i="4"/>
  <c r="AA12" i="4"/>
  <c r="AC12" i="4"/>
  <c r="W12" i="4"/>
  <c r="AD12" i="4"/>
  <c r="T12" i="4"/>
  <c r="AJ12" i="4" s="1"/>
  <c r="AJ5" i="15"/>
  <c r="S5" i="9"/>
  <c r="S2" i="9" s="1"/>
  <c r="G8" i="1" s="1"/>
  <c r="Q5" i="9"/>
  <c r="X5" i="9"/>
  <c r="W5" i="9"/>
  <c r="V5" i="12"/>
  <c r="AJ5" i="12" s="1"/>
  <c r="Z9" i="12"/>
  <c r="AB31" i="18"/>
  <c r="K11" i="1" s="1"/>
  <c r="X7" i="5"/>
  <c r="U7" i="5"/>
  <c r="U2" i="5" s="1"/>
  <c r="I4" i="1" s="1"/>
  <c r="Q7" i="5"/>
  <c r="Q2" i="5" s="1"/>
  <c r="E4" i="1" s="1"/>
  <c r="P7" i="5"/>
  <c r="Z7" i="5" s="1"/>
  <c r="S10" i="7"/>
  <c r="R10" i="7"/>
  <c r="P10" i="7"/>
  <c r="Z10" i="7" s="1"/>
  <c r="W10" i="7"/>
  <c r="P5" i="9"/>
  <c r="Z5" i="9" s="1"/>
  <c r="Z22" i="32"/>
  <c r="Z20" i="32" s="1"/>
  <c r="I46" i="1" s="1"/>
  <c r="AA7" i="2"/>
  <c r="W7" i="2"/>
  <c r="T7" i="2"/>
  <c r="AH7" i="2"/>
  <c r="AG7" i="2"/>
  <c r="AH18" i="2"/>
  <c r="AD18" i="2"/>
  <c r="AA18" i="2"/>
  <c r="Z18" i="2"/>
  <c r="T18" i="2"/>
  <c r="AJ18" i="2" s="1"/>
  <c r="X7" i="3"/>
  <c r="U7" i="3"/>
  <c r="AJ7" i="3" s="1"/>
  <c r="AH7" i="3"/>
  <c r="AB7" i="3"/>
  <c r="AG8" i="4"/>
  <c r="AF8" i="4"/>
  <c r="AA8" i="4"/>
  <c r="AJ8" i="4" s="1"/>
  <c r="Y8" i="4"/>
  <c r="U8" i="4"/>
  <c r="W7" i="5"/>
  <c r="R5" i="7"/>
  <c r="Q5" i="7"/>
  <c r="Q2" i="7" s="1"/>
  <c r="E6" i="1" s="1"/>
  <c r="O5" i="7"/>
  <c r="Z5" i="7" s="1"/>
  <c r="P5" i="7"/>
  <c r="S5" i="7"/>
  <c r="S2" i="7" s="1"/>
  <c r="G6" i="1" s="1"/>
  <c r="X10" i="7"/>
  <c r="W2" i="11"/>
  <c r="K19" i="1" s="1"/>
  <c r="V11" i="9"/>
  <c r="R11" i="9"/>
  <c r="O11" i="9"/>
  <c r="Z11" i="9" s="1"/>
  <c r="X11" i="9"/>
  <c r="S11" i="9"/>
  <c r="P11" i="9"/>
  <c r="T20" i="2"/>
  <c r="AC20" i="2"/>
  <c r="W8" i="7"/>
  <c r="V8" i="7"/>
  <c r="T8" i="7"/>
  <c r="Z8" i="7" s="1"/>
  <c r="Q8" i="7"/>
  <c r="U8" i="7"/>
  <c r="Z11" i="8"/>
  <c r="U11" i="9"/>
  <c r="AJ8" i="13"/>
  <c r="AB5" i="12"/>
  <c r="AH5" i="12"/>
  <c r="AE5" i="12"/>
  <c r="AC5" i="12"/>
  <c r="AF5" i="12"/>
  <c r="AD5" i="12"/>
  <c r="AA5" i="12"/>
  <c r="AA2" i="12" s="1"/>
  <c r="J14" i="1" s="1"/>
  <c r="AD9" i="12"/>
  <c r="Y9" i="12"/>
  <c r="AF9" i="12"/>
  <c r="AC9" i="12"/>
  <c r="W9" i="12"/>
  <c r="AJ9" i="12" s="1"/>
  <c r="AH9" i="12"/>
  <c r="AA9" i="12"/>
  <c r="X9" i="12"/>
  <c r="V9" i="12"/>
  <c r="AG9" i="12"/>
  <c r="AG2" i="12" s="1"/>
  <c r="X21" i="2"/>
  <c r="T21" i="2"/>
  <c r="AJ21" i="2" s="1"/>
  <c r="AF24" i="2"/>
  <c r="AC24" i="2"/>
  <c r="AH24" i="2"/>
  <c r="AG24" i="3"/>
  <c r="X24" i="3"/>
  <c r="T24" i="3"/>
  <c r="AJ24" i="3" s="1"/>
  <c r="U24" i="3"/>
  <c r="AG38" i="3"/>
  <c r="AD38" i="3"/>
  <c r="R6" i="5"/>
  <c r="R2" i="5" s="1"/>
  <c r="F4" i="1" s="1"/>
  <c r="O6" i="5"/>
  <c r="Z6" i="5" s="1"/>
  <c r="W6" i="5"/>
  <c r="W2" i="5" s="1"/>
  <c r="K4" i="1" s="1"/>
  <c r="W4" i="7"/>
  <c r="T4" i="7"/>
  <c r="R4" i="7"/>
  <c r="Z11" i="13"/>
  <c r="AE11" i="13"/>
  <c r="AH11" i="13"/>
  <c r="AD11" i="13"/>
  <c r="AB11" i="13"/>
  <c r="V11" i="13"/>
  <c r="T11" i="13"/>
  <c r="AJ11" i="13" s="1"/>
  <c r="AF11" i="13"/>
  <c r="AA11" i="13"/>
  <c r="Y11" i="13"/>
  <c r="V4" i="5"/>
  <c r="V2" i="5" s="1"/>
  <c r="J4" i="1" s="1"/>
  <c r="S4" i="5"/>
  <c r="S2" i="5" s="1"/>
  <c r="G4" i="1" s="1"/>
  <c r="P4" i="5"/>
  <c r="P2" i="5" s="1"/>
  <c r="D4" i="1" s="1"/>
  <c r="X4" i="5"/>
  <c r="T2" i="15"/>
  <c r="X20" i="13"/>
  <c r="AH20" i="13"/>
  <c r="AA20" i="13"/>
  <c r="Y20" i="13"/>
  <c r="W20" i="13"/>
  <c r="V20" i="13"/>
  <c r="V14" i="13" s="1"/>
  <c r="U20" i="13"/>
  <c r="AJ20" i="13" s="1"/>
  <c r="AF20" i="13"/>
  <c r="AD20" i="13"/>
  <c r="Z20" i="13"/>
  <c r="AG20" i="13"/>
  <c r="AB20" i="13"/>
  <c r="AA21" i="2"/>
  <c r="Y24" i="2"/>
  <c r="AJ24" i="2" s="1"/>
  <c r="AB24" i="3"/>
  <c r="X35" i="3"/>
  <c r="U35" i="3"/>
  <c r="T35" i="3"/>
  <c r="AH35" i="3"/>
  <c r="Y38" i="3"/>
  <c r="AJ38" i="3" s="1"/>
  <c r="T4" i="5"/>
  <c r="T2" i="5" s="1"/>
  <c r="H4" i="1" s="1"/>
  <c r="V6" i="5"/>
  <c r="V4" i="7"/>
  <c r="X5" i="13"/>
  <c r="AD5" i="13"/>
  <c r="W5" i="13"/>
  <c r="T5" i="13"/>
  <c r="AJ5" i="13" s="1"/>
  <c r="AC5" i="13"/>
  <c r="AA5" i="13"/>
  <c r="AG5" i="13"/>
  <c r="AE5" i="13"/>
  <c r="AE2" i="13" s="1"/>
  <c r="AB5" i="13"/>
  <c r="Z5" i="13"/>
  <c r="Z2" i="13" s="1"/>
  <c r="I12" i="1" s="1"/>
  <c r="AC20" i="13"/>
  <c r="X6" i="10"/>
  <c r="W6" i="10"/>
  <c r="W2" i="10" s="1"/>
  <c r="K18" i="1" s="1"/>
  <c r="T6" i="10"/>
  <c r="R6" i="10"/>
  <c r="R2" i="10" s="1"/>
  <c r="F18" i="1" s="1"/>
  <c r="P6" i="10"/>
  <c r="O6" i="10"/>
  <c r="X11" i="10"/>
  <c r="R11" i="10"/>
  <c r="O11" i="10"/>
  <c r="Z8" i="12"/>
  <c r="T8" i="12"/>
  <c r="AF8" i="12"/>
  <c r="AE8" i="12"/>
  <c r="AD8" i="12"/>
  <c r="AC8" i="12"/>
  <c r="Y8" i="12"/>
  <c r="W8" i="12"/>
  <c r="U8" i="12"/>
  <c r="U2" i="12" s="1"/>
  <c r="D14" i="1" s="1"/>
  <c r="AB8" i="12"/>
  <c r="W2" i="14"/>
  <c r="F13" i="1" s="1"/>
  <c r="W2" i="6"/>
  <c r="K5" i="1" s="1"/>
  <c r="Z6" i="8"/>
  <c r="S6" i="10"/>
  <c r="Q11" i="10"/>
  <c r="X8" i="12"/>
  <c r="V8" i="13"/>
  <c r="AG8" i="13"/>
  <c r="AE8" i="13"/>
  <c r="Z8" i="13"/>
  <c r="X8" i="13"/>
  <c r="AB8" i="13"/>
  <c r="W8" i="13"/>
  <c r="AJ11" i="14"/>
  <c r="T24" i="18"/>
  <c r="AG24" i="18"/>
  <c r="AC24" i="18"/>
  <c r="AH24" i="18"/>
  <c r="AD24" i="18"/>
  <c r="Z24" i="18"/>
  <c r="W24" i="18"/>
  <c r="U24" i="18"/>
  <c r="V24" i="18"/>
  <c r="AF24" i="18"/>
  <c r="AE24" i="18"/>
  <c r="AA24" i="18"/>
  <c r="X24" i="18"/>
  <c r="AE18" i="3"/>
  <c r="AF18" i="3"/>
  <c r="AF15" i="3" s="1"/>
  <c r="AB18" i="3"/>
  <c r="AJ18" i="3" s="1"/>
  <c r="X2" i="11"/>
  <c r="L19" i="1" s="1"/>
  <c r="V4" i="14"/>
  <c r="AH4" i="14"/>
  <c r="U4" i="14"/>
  <c r="AG4" i="14"/>
  <c r="AE4" i="14"/>
  <c r="AD4" i="14"/>
  <c r="AC4" i="14"/>
  <c r="AC2" i="14" s="1"/>
  <c r="L13" i="1" s="1"/>
  <c r="AB4" i="14"/>
  <c r="AA4" i="14"/>
  <c r="Z4" i="14"/>
  <c r="X4" i="14"/>
  <c r="T4" i="14"/>
  <c r="AB36" i="3"/>
  <c r="Y36" i="3"/>
  <c r="V36" i="3"/>
  <c r="X8" i="9"/>
  <c r="R8" i="9"/>
  <c r="Q8" i="9"/>
  <c r="P8" i="9"/>
  <c r="O8" i="9"/>
  <c r="Z8" i="9" s="1"/>
  <c r="T5" i="11"/>
  <c r="T2" i="11" s="1"/>
  <c r="H19" i="1" s="1"/>
  <c r="W5" i="11"/>
  <c r="V14" i="16"/>
  <c r="W36" i="3"/>
  <c r="U6" i="9"/>
  <c r="T6" i="9"/>
  <c r="S6" i="9"/>
  <c r="R6" i="9"/>
  <c r="O6" i="9"/>
  <c r="U8" i="9"/>
  <c r="P4" i="10"/>
  <c r="Q5" i="11"/>
  <c r="Z5" i="11" s="1"/>
  <c r="AF4" i="12"/>
  <c r="W4" i="12"/>
  <c r="AE4" i="12"/>
  <c r="AE2" i="12" s="1"/>
  <c r="AD4" i="12"/>
  <c r="AD2" i="12" s="1"/>
  <c r="AC4" i="12"/>
  <c r="AC2" i="12" s="1"/>
  <c r="L14" i="1" s="1"/>
  <c r="AB4" i="12"/>
  <c r="AB2" i="12" s="1"/>
  <c r="K14" i="1" s="1"/>
  <c r="Y4" i="12"/>
  <c r="V4" i="12"/>
  <c r="T22" i="19"/>
  <c r="AJ22" i="19" s="1"/>
  <c r="AG22" i="19"/>
  <c r="AB22" i="19"/>
  <c r="AA22" i="19"/>
  <c r="AE22" i="19"/>
  <c r="Z22" i="19"/>
  <c r="Y22" i="19"/>
  <c r="W22" i="19"/>
  <c r="AH22" i="19"/>
  <c r="AF22" i="19"/>
  <c r="AD22" i="19"/>
  <c r="AC22" i="19"/>
  <c r="X22" i="19"/>
  <c r="V22" i="19"/>
  <c r="U22" i="19"/>
  <c r="Z8" i="3"/>
  <c r="AJ8" i="3" s="1"/>
  <c r="X12" i="3"/>
  <c r="X20" i="3"/>
  <c r="AJ20" i="3" s="1"/>
  <c r="AD31" i="3"/>
  <c r="X31" i="3"/>
  <c r="X29" i="3" s="1"/>
  <c r="AC36" i="3"/>
  <c r="AC29" i="3" s="1"/>
  <c r="X9" i="4"/>
  <c r="AJ9" i="4" s="1"/>
  <c r="W6" i="9"/>
  <c r="T4" i="10"/>
  <c r="Z4" i="10" s="1"/>
  <c r="V5" i="11"/>
  <c r="V2" i="11" s="1"/>
  <c r="J19" i="1" s="1"/>
  <c r="AD18" i="13"/>
  <c r="X18" i="13"/>
  <c r="X14" i="13" s="1"/>
  <c r="AH18" i="13"/>
  <c r="AG18" i="13"/>
  <c r="AG14" i="13" s="1"/>
  <c r="AF18" i="13"/>
  <c r="AB18" i="13"/>
  <c r="AB14" i="13" s="1"/>
  <c r="Z18" i="13"/>
  <c r="T18" i="13"/>
  <c r="X4" i="10"/>
  <c r="P6" i="11"/>
  <c r="P2" i="11" s="1"/>
  <c r="D19" i="1" s="1"/>
  <c r="S6" i="11"/>
  <c r="S2" i="11" s="1"/>
  <c r="G19" i="1" s="1"/>
  <c r="R6" i="11"/>
  <c r="Q6" i="11"/>
  <c r="O6" i="11"/>
  <c r="O2" i="11" s="1"/>
  <c r="V10" i="13"/>
  <c r="AF10" i="13"/>
  <c r="Z10" i="13"/>
  <c r="AG10" i="13"/>
  <c r="AD10" i="13"/>
  <c r="AC10" i="13"/>
  <c r="AB10" i="13"/>
  <c r="AA10" i="13"/>
  <c r="W10" i="13"/>
  <c r="T10" i="13"/>
  <c r="AJ19" i="16"/>
  <c r="Z20" i="18"/>
  <c r="AC20" i="18"/>
  <c r="AH20" i="18"/>
  <c r="AG20" i="18"/>
  <c r="AD20" i="18"/>
  <c r="AD16" i="18" s="1"/>
  <c r="Y20" i="18"/>
  <c r="V20" i="18"/>
  <c r="AB20" i="18"/>
  <c r="X20" i="18"/>
  <c r="AF20" i="18"/>
  <c r="AF16" i="18" s="1"/>
  <c r="AA20" i="18"/>
  <c r="W20" i="18"/>
  <c r="U20" i="18"/>
  <c r="T20" i="18"/>
  <c r="AH15" i="19"/>
  <c r="AD15" i="19"/>
  <c r="U15" i="19"/>
  <c r="AA15" i="19"/>
  <c r="AF15" i="19"/>
  <c r="AE15" i="19"/>
  <c r="AC15" i="19"/>
  <c r="AB15" i="19"/>
  <c r="X15" i="19"/>
  <c r="T15" i="19"/>
  <c r="W15" i="19"/>
  <c r="V15" i="19"/>
  <c r="AG15" i="19"/>
  <c r="Z15" i="19"/>
  <c r="Y15" i="19"/>
  <c r="AC11" i="16"/>
  <c r="AG23" i="16"/>
  <c r="T23" i="16"/>
  <c r="AF23" i="16"/>
  <c r="AH23" i="16"/>
  <c r="U16" i="19"/>
  <c r="AF22" i="13"/>
  <c r="AA22" i="13"/>
  <c r="U22" i="13"/>
  <c r="AH24" i="13"/>
  <c r="X10" i="14"/>
  <c r="AH10" i="14"/>
  <c r="AB10" i="14"/>
  <c r="T10" i="16"/>
  <c r="AJ10" i="16" s="1"/>
  <c r="AF10" i="16"/>
  <c r="AC10" i="16"/>
  <c r="AA10" i="16"/>
  <c r="W10" i="16"/>
  <c r="AF11" i="16"/>
  <c r="W16" i="19"/>
  <c r="X8" i="26"/>
  <c r="Q8" i="26"/>
  <c r="T8" i="26"/>
  <c r="W8" i="26"/>
  <c r="V8" i="26"/>
  <c r="U8" i="26"/>
  <c r="S8" i="26"/>
  <c r="R8" i="26"/>
  <c r="P8" i="26"/>
  <c r="O8" i="26"/>
  <c r="AJ36" i="34"/>
  <c r="X16" i="19"/>
  <c r="T4" i="13"/>
  <c r="Y4" i="13"/>
  <c r="AE14" i="13"/>
  <c r="Y19" i="13"/>
  <c r="Y14" i="13" s="1"/>
  <c r="V22" i="13"/>
  <c r="AJ22" i="13" s="1"/>
  <c r="U10" i="14"/>
  <c r="AJ10" i="14" s="1"/>
  <c r="Y5" i="16"/>
  <c r="V10" i="16"/>
  <c r="AB21" i="16"/>
  <c r="X23" i="16"/>
  <c r="AA16" i="19"/>
  <c r="AE12" i="18"/>
  <c r="AB12" i="18"/>
  <c r="AC12" i="18"/>
  <c r="AA12" i="18"/>
  <c r="X12" i="18"/>
  <c r="U12" i="18"/>
  <c r="AH12" i="18"/>
  <c r="Z12" i="18"/>
  <c r="W12" i="18"/>
  <c r="AB19" i="19"/>
  <c r="AA19" i="19"/>
  <c r="AF19" i="19"/>
  <c r="AE19" i="19"/>
  <c r="AH19" i="19"/>
  <c r="AC19" i="19"/>
  <c r="X19" i="19"/>
  <c r="Z19" i="19"/>
  <c r="Y19" i="19"/>
  <c r="V19" i="19"/>
  <c r="U19" i="19"/>
  <c r="T19" i="19"/>
  <c r="V4" i="13"/>
  <c r="AF7" i="13"/>
  <c r="AF2" i="13" s="1"/>
  <c r="AH7" i="13"/>
  <c r="AA19" i="13"/>
  <c r="AA14" i="13" s="1"/>
  <c r="X22" i="13"/>
  <c r="W10" i="14"/>
  <c r="AJ8" i="15"/>
  <c r="Y10" i="16"/>
  <c r="T5" i="18"/>
  <c r="AH5" i="18"/>
  <c r="AH2" i="18" s="1"/>
  <c r="AE5" i="18"/>
  <c r="AB5" i="18"/>
  <c r="T12" i="18"/>
  <c r="W19" i="19"/>
  <c r="Y10" i="14"/>
  <c r="Z10" i="16"/>
  <c r="U5" i="18"/>
  <c r="V12" i="18"/>
  <c r="AB21" i="13"/>
  <c r="V21" i="13"/>
  <c r="Z22" i="13"/>
  <c r="Y4" i="15"/>
  <c r="U4" i="15"/>
  <c r="AE11" i="15"/>
  <c r="AA11" i="15"/>
  <c r="U11" i="15"/>
  <c r="AG11" i="15"/>
  <c r="AD4" i="16"/>
  <c r="AD2" i="16" s="1"/>
  <c r="AF4" i="16"/>
  <c r="AC4" i="16"/>
  <c r="Y4" i="16"/>
  <c r="AC5" i="16"/>
  <c r="AD7" i="16"/>
  <c r="Z7" i="16"/>
  <c r="Z2" i="16" s="1"/>
  <c r="I16" i="1" s="1"/>
  <c r="W7" i="16"/>
  <c r="T7" i="16"/>
  <c r="AE7" i="16"/>
  <c r="AB7" i="16"/>
  <c r="V7" i="16"/>
  <c r="AB10" i="16"/>
  <c r="AB23" i="16"/>
  <c r="V5" i="18"/>
  <c r="Y12" i="18"/>
  <c r="AG19" i="19"/>
  <c r="V16" i="20"/>
  <c r="AB16" i="20"/>
  <c r="AF16" i="20"/>
  <c r="AE16" i="20"/>
  <c r="AH16" i="20"/>
  <c r="AG16" i="20"/>
  <c r="AA16" i="20"/>
  <c r="X16" i="20"/>
  <c r="T16" i="20"/>
  <c r="Y16" i="20"/>
  <c r="U16" i="20"/>
  <c r="T21" i="13"/>
  <c r="AB22" i="13"/>
  <c r="AD6" i="14"/>
  <c r="T6" i="14"/>
  <c r="AH6" i="14"/>
  <c r="AA6" i="14"/>
  <c r="U20" i="16"/>
  <c r="AB20" i="16"/>
  <c r="X20" i="16"/>
  <c r="X14" i="16" s="1"/>
  <c r="T20" i="16"/>
  <c r="AF20" i="16"/>
  <c r="AA8" i="23"/>
  <c r="Z8" i="23"/>
  <c r="V8" i="23"/>
  <c r="X8" i="23"/>
  <c r="W8" i="23"/>
  <c r="AH8" i="23"/>
  <c r="T8" i="23"/>
  <c r="AG8" i="23"/>
  <c r="AF8" i="23"/>
  <c r="AD8" i="23"/>
  <c r="AC8" i="23"/>
  <c r="AB8" i="23"/>
  <c r="U8" i="23"/>
  <c r="U6" i="14"/>
  <c r="T9" i="14"/>
  <c r="AF9" i="14"/>
  <c r="AF2" i="14" s="1"/>
  <c r="AB9" i="14"/>
  <c r="V9" i="14"/>
  <c r="AC10" i="14"/>
  <c r="AG12" i="14"/>
  <c r="W12" i="14"/>
  <c r="AJ12" i="14" s="1"/>
  <c r="X12" i="14"/>
  <c r="V4" i="15"/>
  <c r="V2" i="15" s="1"/>
  <c r="E15" i="1" s="1"/>
  <c r="V11" i="15"/>
  <c r="AJ11" i="15" s="1"/>
  <c r="U4" i="16"/>
  <c r="U2" i="16" s="1"/>
  <c r="D16" i="1" s="1"/>
  <c r="AE5" i="16"/>
  <c r="X7" i="16"/>
  <c r="AE10" i="16"/>
  <c r="V20" i="16"/>
  <c r="AD23" i="16"/>
  <c r="X5" i="18"/>
  <c r="AF12" i="18"/>
  <c r="Z16" i="20"/>
  <c r="Y8" i="23"/>
  <c r="AB4" i="13"/>
  <c r="X7" i="13"/>
  <c r="AJ7" i="13" s="1"/>
  <c r="W21" i="13"/>
  <c r="W14" i="13" s="1"/>
  <c r="AD22" i="13"/>
  <c r="T24" i="13"/>
  <c r="AJ24" i="13" s="1"/>
  <c r="V6" i="14"/>
  <c r="AD10" i="14"/>
  <c r="W4" i="15"/>
  <c r="W2" i="15" s="1"/>
  <c r="F15" i="1" s="1"/>
  <c r="AA7" i="15"/>
  <c r="AA2" i="15" s="1"/>
  <c r="J15" i="1" s="1"/>
  <c r="AF7" i="15"/>
  <c r="W11" i="15"/>
  <c r="V4" i="16"/>
  <c r="Y7" i="16"/>
  <c r="AG10" i="16"/>
  <c r="AE17" i="16"/>
  <c r="AF17" i="16"/>
  <c r="AF14" i="16" s="1"/>
  <c r="AB17" i="16"/>
  <c r="Y17" i="16"/>
  <c r="AD17" i="16"/>
  <c r="W20" i="16"/>
  <c r="AC22" i="16"/>
  <c r="AH22" i="16"/>
  <c r="AE22" i="16"/>
  <c r="AA22" i="16"/>
  <c r="AF22" i="16"/>
  <c r="AB22" i="16"/>
  <c r="W22" i="16"/>
  <c r="AE23" i="16"/>
  <c r="Y5" i="18"/>
  <c r="AB7" i="18"/>
  <c r="AB2" i="18" s="1"/>
  <c r="K10" i="1" s="1"/>
  <c r="Y7" i="18"/>
  <c r="X7" i="18"/>
  <c r="X2" i="18" s="1"/>
  <c r="G10" i="1" s="1"/>
  <c r="U7" i="18"/>
  <c r="AE7" i="18"/>
  <c r="AC7" i="18"/>
  <c r="AG12" i="18"/>
  <c r="AC16" i="20"/>
  <c r="AE8" i="23"/>
  <c r="X4" i="15"/>
  <c r="X11" i="15"/>
  <c r="W4" i="16"/>
  <c r="AA7" i="16"/>
  <c r="AA2" i="16" s="1"/>
  <c r="J16" i="1" s="1"/>
  <c r="AH10" i="16"/>
  <c r="AJ17" i="16"/>
  <c r="Y20" i="16"/>
  <c r="Z5" i="18"/>
  <c r="AH9" i="18"/>
  <c r="AE9" i="18"/>
  <c r="AB9" i="18"/>
  <c r="Y9" i="18"/>
  <c r="AF9" i="18"/>
  <c r="AC9" i="18"/>
  <c r="W9" i="18"/>
  <c r="U9" i="18"/>
  <c r="AJ11" i="18"/>
  <c r="W8" i="20"/>
  <c r="AH8" i="20"/>
  <c r="AE8" i="20"/>
  <c r="AB8" i="20"/>
  <c r="Y8" i="20"/>
  <c r="Z8" i="20"/>
  <c r="V8" i="20"/>
  <c r="AD16" i="20"/>
  <c r="AD4" i="13"/>
  <c r="AB6" i="13"/>
  <c r="AC6" i="13"/>
  <c r="AC2" i="13" s="1"/>
  <c r="L12" i="1" s="1"/>
  <c r="Z7" i="13"/>
  <c r="Y21" i="13"/>
  <c r="AG22" i="13"/>
  <c r="V24" i="13"/>
  <c r="X6" i="14"/>
  <c r="AF10" i="14"/>
  <c r="Z4" i="15"/>
  <c r="Z2" i="15" s="1"/>
  <c r="I15" i="1" s="1"/>
  <c r="U7" i="15"/>
  <c r="Y11" i="15"/>
  <c r="X4" i="16"/>
  <c r="AC7" i="16"/>
  <c r="U17" i="16"/>
  <c r="U14" i="16" s="1"/>
  <c r="Z20" i="16"/>
  <c r="U22" i="16"/>
  <c r="Y24" i="16"/>
  <c r="U24" i="16"/>
  <c r="X24" i="16"/>
  <c r="V24" i="16"/>
  <c r="AA5" i="18"/>
  <c r="AA2" i="18" s="1"/>
  <c r="J10" i="1" s="1"/>
  <c r="T9" i="18"/>
  <c r="AG13" i="18"/>
  <c r="AH13" i="18"/>
  <c r="AD13" i="18"/>
  <c r="AA13" i="18"/>
  <c r="X13" i="18"/>
  <c r="AF38" i="18"/>
  <c r="AD38" i="18"/>
  <c r="AH38" i="18"/>
  <c r="AH31" i="18" s="1"/>
  <c r="AC38" i="18"/>
  <c r="Z38" i="18"/>
  <c r="W38" i="18"/>
  <c r="Y38" i="18"/>
  <c r="X38" i="18"/>
  <c r="U38" i="18"/>
  <c r="T38" i="18"/>
  <c r="T8" i="20"/>
  <c r="X11" i="16"/>
  <c r="T11" i="16"/>
  <c r="AJ11" i="16" s="1"/>
  <c r="AE11" i="16"/>
  <c r="AA20" i="16"/>
  <c r="AC5" i="18"/>
  <c r="U18" i="18"/>
  <c r="T18" i="18"/>
  <c r="AG18" i="18"/>
  <c r="AE18" i="18"/>
  <c r="AC18" i="18"/>
  <c r="U8" i="20"/>
  <c r="U10" i="9"/>
  <c r="W10" i="9"/>
  <c r="Q12" i="10"/>
  <c r="Q4" i="11"/>
  <c r="Q2" i="11" s="1"/>
  <c r="E19" i="1" s="1"/>
  <c r="W7" i="12"/>
  <c r="AJ7" i="12" s="1"/>
  <c r="AG4" i="13"/>
  <c r="V6" i="13"/>
  <c r="AJ6" i="13" s="1"/>
  <c r="AC7" i="13"/>
  <c r="AA9" i="13"/>
  <c r="U9" i="13"/>
  <c r="AD16" i="13"/>
  <c r="T16" i="13"/>
  <c r="AC21" i="13"/>
  <c r="Y24" i="13"/>
  <c r="Z5" i="14"/>
  <c r="AB5" i="14"/>
  <c r="U5" i="14"/>
  <c r="AB6" i="14"/>
  <c r="AB8" i="14"/>
  <c r="V8" i="14"/>
  <c r="AJ8" i="14" s="1"/>
  <c r="AB11" i="14"/>
  <c r="AH11" i="14"/>
  <c r="AB12" i="14"/>
  <c r="AC4" i="15"/>
  <c r="AC2" i="15" s="1"/>
  <c r="L15" i="1" s="1"/>
  <c r="AA10" i="15"/>
  <c r="W10" i="15"/>
  <c r="AF10" i="15"/>
  <c r="Y10" i="15"/>
  <c r="AC11" i="15"/>
  <c r="AB4" i="16"/>
  <c r="AH7" i="16"/>
  <c r="V11" i="16"/>
  <c r="AD20" i="16"/>
  <c r="S2" i="17"/>
  <c r="G17" i="1" s="1"/>
  <c r="AF5" i="18"/>
  <c r="Z9" i="18"/>
  <c r="W18" i="18"/>
  <c r="V4" i="20"/>
  <c r="Z4" i="20"/>
  <c r="AF4" i="20"/>
  <c r="AC4" i="20"/>
  <c r="AC2" i="20" s="1"/>
  <c r="L27" i="1" s="1"/>
  <c r="AB4" i="20"/>
  <c r="AA4" i="20"/>
  <c r="Y4" i="20"/>
  <c r="U4" i="20"/>
  <c r="AD4" i="20"/>
  <c r="W4" i="20"/>
  <c r="W2" i="20" s="1"/>
  <c r="F27" i="1" s="1"/>
  <c r="AA8" i="20"/>
  <c r="O10" i="9"/>
  <c r="R12" i="10"/>
  <c r="R4" i="11"/>
  <c r="X7" i="12"/>
  <c r="X2" i="12" s="1"/>
  <c r="G14" i="1" s="1"/>
  <c r="AH4" i="13"/>
  <c r="W6" i="13"/>
  <c r="AD7" i="13"/>
  <c r="AD21" i="13"/>
  <c r="AF23" i="13"/>
  <c r="Z23" i="13"/>
  <c r="Z24" i="13"/>
  <c r="T5" i="14"/>
  <c r="AJ5" i="14" s="1"/>
  <c r="AC6" i="14"/>
  <c r="AD4" i="15"/>
  <c r="AD11" i="15"/>
  <c r="AE4" i="16"/>
  <c r="W11" i="16"/>
  <c r="AE20" i="16"/>
  <c r="AG5" i="18"/>
  <c r="AA9" i="18"/>
  <c r="X18" i="18"/>
  <c r="V31" i="18"/>
  <c r="E11" i="1" s="1"/>
  <c r="AC8" i="20"/>
  <c r="AA5" i="22"/>
  <c r="W5" i="22"/>
  <c r="Z5" i="22"/>
  <c r="AE5" i="22"/>
  <c r="AE2" i="22" s="1"/>
  <c r="AB5" i="22"/>
  <c r="AB2" i="22" s="1"/>
  <c r="K29" i="1" s="1"/>
  <c r="AH5" i="22"/>
  <c r="AG5" i="22"/>
  <c r="AF5" i="22"/>
  <c r="AF2" i="22" s="1"/>
  <c r="Y5" i="22"/>
  <c r="V5" i="22"/>
  <c r="V2" i="22" s="1"/>
  <c r="E29" i="1" s="1"/>
  <c r="U5" i="22"/>
  <c r="T5" i="22"/>
  <c r="AJ5" i="22" s="1"/>
  <c r="O5" i="10"/>
  <c r="Z5" i="10" s="1"/>
  <c r="S5" i="10"/>
  <c r="S2" i="10" s="1"/>
  <c r="G18" i="1" s="1"/>
  <c r="AH10" i="12"/>
  <c r="AD10" i="12"/>
  <c r="X6" i="13"/>
  <c r="AE7" i="13"/>
  <c r="AE21" i="13"/>
  <c r="T23" i="13"/>
  <c r="AJ23" i="13" s="1"/>
  <c r="AA24" i="13"/>
  <c r="AE6" i="14"/>
  <c r="AE4" i="15"/>
  <c r="AF11" i="15"/>
  <c r="AG4" i="16"/>
  <c r="AG2" i="16" s="1"/>
  <c r="Y11" i="16"/>
  <c r="AG20" i="16"/>
  <c r="AD9" i="18"/>
  <c r="Y18" i="18"/>
  <c r="X2" i="20"/>
  <c r="G27" i="1" s="1"/>
  <c r="AD8" i="20"/>
  <c r="Q10" i="9"/>
  <c r="P5" i="10"/>
  <c r="U12" i="10"/>
  <c r="U2" i="10" s="1"/>
  <c r="I18" i="1" s="1"/>
  <c r="U4" i="11"/>
  <c r="U2" i="11" s="1"/>
  <c r="I19" i="1" s="1"/>
  <c r="T6" i="12"/>
  <c r="AJ6" i="12" s="1"/>
  <c r="Z7" i="12"/>
  <c r="Z2" i="12" s="1"/>
  <c r="I14" i="1" s="1"/>
  <c r="T10" i="12"/>
  <c r="Y6" i="13"/>
  <c r="AG7" i="13"/>
  <c r="AF21" i="13"/>
  <c r="AB24" i="13"/>
  <c r="AF6" i="14"/>
  <c r="T14" i="14"/>
  <c r="AJ14" i="14" s="1"/>
  <c r="AF14" i="14"/>
  <c r="AC14" i="14"/>
  <c r="AF4" i="15"/>
  <c r="AG6" i="15"/>
  <c r="AG2" i="15" s="1"/>
  <c r="W6" i="15"/>
  <c r="AJ6" i="15" s="1"/>
  <c r="AF6" i="15"/>
  <c r="Z6" i="15"/>
  <c r="AH11" i="15"/>
  <c r="AH4" i="16"/>
  <c r="AH8" i="16"/>
  <c r="AD8" i="16"/>
  <c r="AA8" i="16"/>
  <c r="X8" i="16"/>
  <c r="AJ8" i="16" s="1"/>
  <c r="AF8" i="16"/>
  <c r="Z11" i="16"/>
  <c r="AH20" i="16"/>
  <c r="AH14" i="16" s="1"/>
  <c r="V2" i="17"/>
  <c r="J17" i="1" s="1"/>
  <c r="AG4" i="18"/>
  <c r="AF4" i="18"/>
  <c r="AC4" i="18"/>
  <c r="Z4" i="18"/>
  <c r="W4" i="18"/>
  <c r="AE4" i="18"/>
  <c r="Y4" i="18"/>
  <c r="V4" i="18"/>
  <c r="AJ4" i="18" s="1"/>
  <c r="AG7" i="18"/>
  <c r="AG9" i="18"/>
  <c r="Z13" i="18"/>
  <c r="Z18" i="18"/>
  <c r="AE4" i="20"/>
  <c r="AF8" i="20"/>
  <c r="AC5" i="22"/>
  <c r="AC2" i="22" s="1"/>
  <c r="L29" i="1" s="1"/>
  <c r="Z16" i="19"/>
  <c r="AH16" i="19"/>
  <c r="AF16" i="19"/>
  <c r="AC16" i="19"/>
  <c r="Y16" i="19"/>
  <c r="AG16" i="19"/>
  <c r="AD16" i="19"/>
  <c r="AB16" i="19"/>
  <c r="AG8" i="20"/>
  <c r="AG2" i="20" s="1"/>
  <c r="U7" i="21"/>
  <c r="P7" i="21"/>
  <c r="Q7" i="21"/>
  <c r="X7" i="21"/>
  <c r="X2" i="21" s="1"/>
  <c r="L28" i="1" s="1"/>
  <c r="W7" i="21"/>
  <c r="S7" i="21"/>
  <c r="O7" i="21"/>
  <c r="T19" i="13"/>
  <c r="AJ19" i="13" s="1"/>
  <c r="AC19" i="13"/>
  <c r="AC14" i="13" s="1"/>
  <c r="AH21" i="13"/>
  <c r="AD24" i="13"/>
  <c r="AH4" i="15"/>
  <c r="AH2" i="15" s="1"/>
  <c r="V5" i="16"/>
  <c r="AJ5" i="16" s="1"/>
  <c r="AH5" i="16"/>
  <c r="AF5" i="16"/>
  <c r="AB11" i="16"/>
  <c r="Y21" i="16"/>
  <c r="Y14" i="16" s="1"/>
  <c r="AG21" i="16"/>
  <c r="AC21" i="16"/>
  <c r="Z21" i="16"/>
  <c r="V21" i="16"/>
  <c r="T21" i="16"/>
  <c r="Z9" i="17"/>
  <c r="AB18" i="18"/>
  <c r="AA35" i="18"/>
  <c r="W35" i="18"/>
  <c r="AJ35" i="18" s="1"/>
  <c r="AG35" i="18"/>
  <c r="AG31" i="18" s="1"/>
  <c r="AD35" i="18"/>
  <c r="Z35" i="18"/>
  <c r="V8" i="19"/>
  <c r="AB8" i="19"/>
  <c r="AC8" i="19"/>
  <c r="AC2" i="19" s="1"/>
  <c r="L26" i="1" s="1"/>
  <c r="AG8" i="19"/>
  <c r="AA8" i="19"/>
  <c r="Z8" i="19"/>
  <c r="Y8" i="19"/>
  <c r="U8" i="19"/>
  <c r="AF8" i="19"/>
  <c r="AE8" i="19"/>
  <c r="X8" i="19"/>
  <c r="W8" i="19"/>
  <c r="T8" i="19"/>
  <c r="T2" i="19" s="1"/>
  <c r="T16" i="19"/>
  <c r="AB21" i="19"/>
  <c r="U21" i="19"/>
  <c r="T21" i="19"/>
  <c r="AF21" i="19"/>
  <c r="AE21" i="19"/>
  <c r="AD21" i="19"/>
  <c r="AC21" i="19"/>
  <c r="Y21" i="19"/>
  <c r="V21" i="19"/>
  <c r="AH21" i="19"/>
  <c r="AG21" i="19"/>
  <c r="Z21" i="19"/>
  <c r="X21" i="19"/>
  <c r="W21" i="19"/>
  <c r="AH2" i="20"/>
  <c r="R7" i="21"/>
  <c r="X41" i="18"/>
  <c r="AH41" i="18"/>
  <c r="Y41" i="18"/>
  <c r="AG41" i="18"/>
  <c r="AF41" i="18"/>
  <c r="AE41" i="18"/>
  <c r="AB41" i="18"/>
  <c r="W41" i="18"/>
  <c r="T41" i="18"/>
  <c r="AJ41" i="18" s="1"/>
  <c r="AF5" i="29"/>
  <c r="AF2" i="29" s="1"/>
  <c r="L33" i="1" s="1"/>
  <c r="AA5" i="29"/>
  <c r="AI5" i="29"/>
  <c r="AH5" i="29"/>
  <c r="Z5" i="29"/>
  <c r="Y5" i="29"/>
  <c r="X5" i="29"/>
  <c r="AN5" i="29"/>
  <c r="AK5" i="29"/>
  <c r="AB5" i="29"/>
  <c r="AM5" i="29"/>
  <c r="AJ5" i="29"/>
  <c r="AG5" i="29"/>
  <c r="AE5" i="29"/>
  <c r="AE2" i="29" s="1"/>
  <c r="K33" i="1" s="1"/>
  <c r="AL5" i="29"/>
  <c r="AD5" i="29"/>
  <c r="AC5" i="29"/>
  <c r="U41" i="18"/>
  <c r="U9" i="22"/>
  <c r="AA9" i="22"/>
  <c r="AH9" i="22"/>
  <c r="AE9" i="22"/>
  <c r="T9" i="22"/>
  <c r="W9" i="22"/>
  <c r="V9" i="22"/>
  <c r="AD9" i="22"/>
  <c r="AG9" i="22"/>
  <c r="AF9" i="22"/>
  <c r="AC9" i="22"/>
  <c r="AB9" i="22"/>
  <c r="Z9" i="22"/>
  <c r="Y9" i="22"/>
  <c r="Y2" i="22" s="1"/>
  <c r="H29" i="1" s="1"/>
  <c r="AA16" i="16"/>
  <c r="AE16" i="16"/>
  <c r="Z16" i="16"/>
  <c r="W16" i="16"/>
  <c r="T16" i="16"/>
  <c r="Z41" i="18"/>
  <c r="AA6" i="19"/>
  <c r="AJ6" i="19" s="1"/>
  <c r="AH6" i="19"/>
  <c r="AE6" i="19"/>
  <c r="AB6" i="19"/>
  <c r="X6" i="19"/>
  <c r="Z5" i="21"/>
  <c r="AJ4" i="22"/>
  <c r="X9" i="22"/>
  <c r="Y10" i="22"/>
  <c r="AJ10" i="22" s="1"/>
  <c r="U10" i="22"/>
  <c r="AG10" i="22"/>
  <c r="AB10" i="22"/>
  <c r="AH10" i="22"/>
  <c r="AF10" i="22"/>
  <c r="AE10" i="22"/>
  <c r="AD10" i="22"/>
  <c r="AC10" i="22"/>
  <c r="Z10" i="22"/>
  <c r="AD41" i="18"/>
  <c r="V10" i="22"/>
  <c r="AE12" i="15"/>
  <c r="Y12" i="15"/>
  <c r="AH9" i="16"/>
  <c r="AE9" i="16"/>
  <c r="AB9" i="16"/>
  <c r="AG18" i="16"/>
  <c r="AG14" i="16" s="1"/>
  <c r="AD18" i="16"/>
  <c r="AD14" i="16" s="1"/>
  <c r="O2" i="17"/>
  <c r="U6" i="17"/>
  <c r="U2" i="17" s="1"/>
  <c r="I17" i="1" s="1"/>
  <c r="X6" i="17"/>
  <c r="X2" i="17" s="1"/>
  <c r="L17" i="1" s="1"/>
  <c r="Q8" i="17"/>
  <c r="X8" i="17"/>
  <c r="U8" i="17"/>
  <c r="V19" i="18"/>
  <c r="V16" i="18" s="1"/>
  <c r="E9" i="1" s="1"/>
  <c r="W19" i="18"/>
  <c r="AA19" i="18"/>
  <c r="AA16" i="18" s="1"/>
  <c r="J9" i="1" s="1"/>
  <c r="Z19" i="18"/>
  <c r="U19" i="18"/>
  <c r="AJ19" i="18" s="1"/>
  <c r="U31" i="18"/>
  <c r="D11" i="1" s="1"/>
  <c r="W6" i="19"/>
  <c r="W10" i="22"/>
  <c r="U12" i="15"/>
  <c r="U9" i="16"/>
  <c r="AJ9" i="16" s="1"/>
  <c r="AC16" i="16"/>
  <c r="AC14" i="16" s="1"/>
  <c r="U18" i="16"/>
  <c r="AJ18" i="16" s="1"/>
  <c r="P6" i="17"/>
  <c r="P8" i="17"/>
  <c r="Z8" i="17" s="1"/>
  <c r="AF8" i="18"/>
  <c r="AD8" i="18"/>
  <c r="AD2" i="18" s="1"/>
  <c r="AC8" i="18"/>
  <c r="Z8" i="18"/>
  <c r="W8" i="18"/>
  <c r="T8" i="18"/>
  <c r="X19" i="18"/>
  <c r="Z6" i="19"/>
  <c r="AC23" i="20"/>
  <c r="Y23" i="20"/>
  <c r="Z10" i="20"/>
  <c r="AG23" i="20"/>
  <c r="AD23" i="20"/>
  <c r="Y10" i="20"/>
  <c r="AH10" i="20"/>
  <c r="AG10" i="20"/>
  <c r="AH23" i="20"/>
  <c r="AF10" i="20"/>
  <c r="AF23" i="20"/>
  <c r="AE10" i="20"/>
  <c r="AE23" i="20"/>
  <c r="AD10" i="20"/>
  <c r="AB23" i="20"/>
  <c r="AC10" i="20"/>
  <c r="X23" i="20"/>
  <c r="X10" i="20"/>
  <c r="V23" i="20"/>
  <c r="AJ23" i="20" s="1"/>
  <c r="U23" i="20"/>
  <c r="U10" i="20"/>
  <c r="AJ10" i="20" s="1"/>
  <c r="AA10" i="22"/>
  <c r="Z10" i="26"/>
  <c r="T2" i="26"/>
  <c r="H22" i="1" s="1"/>
  <c r="AA8" i="25"/>
  <c r="Z8" i="25"/>
  <c r="Y8" i="25"/>
  <c r="U8" i="25"/>
  <c r="AE8" i="25"/>
  <c r="X8" i="25"/>
  <c r="W8" i="25"/>
  <c r="AD8" i="25"/>
  <c r="AH8" i="25"/>
  <c r="V8" i="25"/>
  <c r="T8" i="25"/>
  <c r="Q2" i="27"/>
  <c r="E31" i="1" s="1"/>
  <c r="AD23" i="29"/>
  <c r="Y23" i="29"/>
  <c r="AJ23" i="29"/>
  <c r="AI23" i="29"/>
  <c r="AE23" i="29"/>
  <c r="AA23" i="29"/>
  <c r="AC23" i="29"/>
  <c r="AH23" i="29"/>
  <c r="AF23" i="29"/>
  <c r="AB23" i="29"/>
  <c r="W23" i="29"/>
  <c r="AK23" i="29"/>
  <c r="R11" i="28"/>
  <c r="X11" i="28"/>
  <c r="Q11" i="28"/>
  <c r="P11" i="28"/>
  <c r="Z11" i="28" s="1"/>
  <c r="V11" i="28"/>
  <c r="X33" i="29"/>
  <c r="W33" i="29"/>
  <c r="AG33" i="29"/>
  <c r="AA33" i="29"/>
  <c r="Z33" i="29"/>
  <c r="AI33" i="29"/>
  <c r="AB33" i="29"/>
  <c r="AJ33" i="29"/>
  <c r="AC33" i="29"/>
  <c r="AK33" i="29"/>
  <c r="AH33" i="29"/>
  <c r="AB14" i="24"/>
  <c r="W14" i="24"/>
  <c r="V14" i="24"/>
  <c r="AF14" i="24"/>
  <c r="AA14" i="24"/>
  <c r="X14" i="24"/>
  <c r="U14" i="24"/>
  <c r="AG8" i="25"/>
  <c r="S11" i="28"/>
  <c r="Y33" i="29"/>
  <c r="AG6" i="18"/>
  <c r="AC23" i="18"/>
  <c r="W23" i="18"/>
  <c r="AJ23" i="18" s="1"/>
  <c r="AG25" i="18"/>
  <c r="Z28" i="18"/>
  <c r="AE10" i="19"/>
  <c r="AB11" i="20"/>
  <c r="Z19" i="20"/>
  <c r="AE24" i="20"/>
  <c r="AE11" i="24"/>
  <c r="AD11" i="24"/>
  <c r="Z11" i="24"/>
  <c r="AH11" i="24"/>
  <c r="AA11" i="24"/>
  <c r="V11" i="24"/>
  <c r="T14" i="24"/>
  <c r="AJ14" i="24" s="1"/>
  <c r="T11" i="28"/>
  <c r="AD33" i="29"/>
  <c r="V12" i="25"/>
  <c r="AA12" i="25"/>
  <c r="Z12" i="25"/>
  <c r="U12" i="25"/>
  <c r="AH12" i="25"/>
  <c r="AE12" i="25"/>
  <c r="AB12" i="25"/>
  <c r="AG12" i="25"/>
  <c r="AF12" i="25"/>
  <c r="U11" i="28"/>
  <c r="AE33" i="29"/>
  <c r="AB2" i="30"/>
  <c r="K42" i="1" s="1"/>
  <c r="AA5" i="24"/>
  <c r="Z5" i="24"/>
  <c r="Z2" i="24" s="1"/>
  <c r="I20" i="1" s="1"/>
  <c r="V5" i="24"/>
  <c r="AH5" i="24"/>
  <c r="W5" i="24"/>
  <c r="AB5" i="24"/>
  <c r="Y5" i="24"/>
  <c r="U11" i="24"/>
  <c r="Z14" i="24"/>
  <c r="T12" i="25"/>
  <c r="AJ12" i="25" s="1"/>
  <c r="W11" i="28"/>
  <c r="AF33" i="29"/>
  <c r="AF23" i="30"/>
  <c r="Y23" i="30"/>
  <c r="U23" i="30"/>
  <c r="AG23" i="30"/>
  <c r="AE23" i="30"/>
  <c r="W23" i="30"/>
  <c r="T23" i="30"/>
  <c r="Z23" i="30"/>
  <c r="X23" i="30"/>
  <c r="AH23" i="30"/>
  <c r="AA23" i="30"/>
  <c r="AC23" i="30"/>
  <c r="AB23" i="30"/>
  <c r="V23" i="30"/>
  <c r="AD23" i="30"/>
  <c r="AE28" i="18"/>
  <c r="AF5" i="19"/>
  <c r="V5" i="19"/>
  <c r="V2" i="19" s="1"/>
  <c r="E26" i="1" s="1"/>
  <c r="AE5" i="19"/>
  <c r="X18" i="19"/>
  <c r="V18" i="19"/>
  <c r="AJ18" i="19" s="1"/>
  <c r="Y18" i="19"/>
  <c r="AH7" i="20"/>
  <c r="AE7" i="20"/>
  <c r="AC19" i="20"/>
  <c r="O10" i="21"/>
  <c r="Z10" i="21" s="1"/>
  <c r="AE7" i="22"/>
  <c r="T7" i="22"/>
  <c r="AD7" i="22"/>
  <c r="AD2" i="22" s="1"/>
  <c r="AB7" i="22"/>
  <c r="AA7" i="22"/>
  <c r="AF5" i="23"/>
  <c r="AB5" i="23"/>
  <c r="Z5" i="23"/>
  <c r="AG5" i="23"/>
  <c r="U5" i="23"/>
  <c r="U2" i="23" s="1"/>
  <c r="D30" i="1" s="1"/>
  <c r="T5" i="24"/>
  <c r="AB9" i="24"/>
  <c r="U9" i="24"/>
  <c r="T9" i="24"/>
  <c r="V9" i="24"/>
  <c r="W9" i="24"/>
  <c r="AH9" i="24"/>
  <c r="Z9" i="24"/>
  <c r="W11" i="24"/>
  <c r="AC14" i="24"/>
  <c r="W12" i="25"/>
  <c r="AD18" i="20"/>
  <c r="Z18" i="20"/>
  <c r="AB18" i="20"/>
  <c r="AG18" i="20"/>
  <c r="W18" i="20"/>
  <c r="V18" i="20"/>
  <c r="Q10" i="21"/>
  <c r="U7" i="22"/>
  <c r="T5" i="23"/>
  <c r="U5" i="24"/>
  <c r="X9" i="24"/>
  <c r="X11" i="24"/>
  <c r="AD14" i="24"/>
  <c r="X12" i="25"/>
  <c r="Z9" i="26"/>
  <c r="Z27" i="29"/>
  <c r="AH16" i="30"/>
  <c r="AD16" i="30"/>
  <c r="AC16" i="30"/>
  <c r="AB16" i="30"/>
  <c r="Y16" i="30"/>
  <c r="X16" i="30"/>
  <c r="U16" i="30"/>
  <c r="T16" i="30"/>
  <c r="AG16" i="30"/>
  <c r="AE16" i="30"/>
  <c r="V16" i="30"/>
  <c r="AF16" i="30"/>
  <c r="AF14" i="30" s="1"/>
  <c r="AA16" i="30"/>
  <c r="V6" i="16"/>
  <c r="AJ6" i="16" s="1"/>
  <c r="T5" i="17"/>
  <c r="T2" i="17" s="1"/>
  <c r="H17" i="1" s="1"/>
  <c r="Q7" i="17"/>
  <c r="Q2" i="17" s="1"/>
  <c r="E17" i="1" s="1"/>
  <c r="AH22" i="18"/>
  <c r="AH16" i="18" s="1"/>
  <c r="Y22" i="18"/>
  <c r="Z23" i="18"/>
  <c r="Z34" i="18"/>
  <c r="AJ34" i="18" s="1"/>
  <c r="V37" i="18"/>
  <c r="AJ37" i="18" s="1"/>
  <c r="W5" i="19"/>
  <c r="W2" i="19" s="1"/>
  <c r="F26" i="1" s="1"/>
  <c r="W18" i="19"/>
  <c r="V7" i="20"/>
  <c r="U18" i="20"/>
  <c r="AJ18" i="20" s="1"/>
  <c r="AH20" i="20"/>
  <c r="AE20" i="20"/>
  <c r="V20" i="20"/>
  <c r="S10" i="21"/>
  <c r="W2" i="22"/>
  <c r="F29" i="1" s="1"/>
  <c r="W7" i="22"/>
  <c r="W5" i="23"/>
  <c r="W2" i="23" s="1"/>
  <c r="F30" i="1" s="1"/>
  <c r="AC5" i="24"/>
  <c r="AC2" i="24" s="1"/>
  <c r="L20" i="1" s="1"/>
  <c r="AA9" i="24"/>
  <c r="AA2" i="24" s="1"/>
  <c r="J20" i="1" s="1"/>
  <c r="AB11" i="24"/>
  <c r="AG14" i="24"/>
  <c r="AC12" i="25"/>
  <c r="W16" i="30"/>
  <c r="AC11" i="22"/>
  <c r="Y11" i="22"/>
  <c r="W11" i="22"/>
  <c r="T11" i="22"/>
  <c r="AJ11" i="22" s="1"/>
  <c r="X11" i="22"/>
  <c r="X5" i="23"/>
  <c r="AD5" i="24"/>
  <c r="AC9" i="24"/>
  <c r="AC11" i="24"/>
  <c r="AJ11" i="24" s="1"/>
  <c r="AH14" i="24"/>
  <c r="AH5" i="25"/>
  <c r="AD5" i="25"/>
  <c r="AF5" i="25"/>
  <c r="AF2" i="25" s="1"/>
  <c r="AA5" i="25"/>
  <c r="AA2" i="25" s="1"/>
  <c r="J21" i="1" s="1"/>
  <c r="W5" i="25"/>
  <c r="Z5" i="25"/>
  <c r="Z2" i="25" s="1"/>
  <c r="I21" i="1" s="1"/>
  <c r="X5" i="25"/>
  <c r="X2" i="25" s="1"/>
  <c r="G21" i="1" s="1"/>
  <c r="V5" i="25"/>
  <c r="AJ5" i="25" s="1"/>
  <c r="U5" i="25"/>
  <c r="U2" i="25" s="1"/>
  <c r="D21" i="1" s="1"/>
  <c r="AG5" i="25"/>
  <c r="AD12" i="25"/>
  <c r="Z16" i="30"/>
  <c r="W7" i="25"/>
  <c r="U7" i="25"/>
  <c r="T7" i="25"/>
  <c r="T2" i="25" s="1"/>
  <c r="V7" i="25"/>
  <c r="AH7" i="25"/>
  <c r="AG7" i="25"/>
  <c r="AD7" i="25"/>
  <c r="AA7" i="25"/>
  <c r="Z7" i="25"/>
  <c r="R6" i="27"/>
  <c r="V6" i="27"/>
  <c r="U6" i="27"/>
  <c r="P6" i="27"/>
  <c r="Q6" i="27"/>
  <c r="W6" i="27"/>
  <c r="S6" i="27"/>
  <c r="O6" i="27"/>
  <c r="Y37" i="18"/>
  <c r="T17" i="19"/>
  <c r="AE17" i="19"/>
  <c r="AF20" i="19"/>
  <c r="AG20" i="19"/>
  <c r="W20" i="19"/>
  <c r="Y7" i="20"/>
  <c r="AA18" i="20"/>
  <c r="V10" i="21"/>
  <c r="Z7" i="22"/>
  <c r="V11" i="22"/>
  <c r="AE9" i="23"/>
  <c r="AD9" i="23"/>
  <c r="Z9" i="23"/>
  <c r="AG9" i="23"/>
  <c r="T9" i="23"/>
  <c r="AH9" i="23"/>
  <c r="AH2" i="23" s="1"/>
  <c r="Y9" i="23"/>
  <c r="X9" i="23"/>
  <c r="AF5" i="24"/>
  <c r="AF2" i="24" s="1"/>
  <c r="AG11" i="24"/>
  <c r="X7" i="25"/>
  <c r="AC10" i="25"/>
  <c r="AG10" i="25"/>
  <c r="V10" i="25"/>
  <c r="T10" i="25"/>
  <c r="AE10" i="25"/>
  <c r="X10" i="25"/>
  <c r="AA10" i="25"/>
  <c r="Z10" i="25"/>
  <c r="T6" i="18"/>
  <c r="W22" i="18"/>
  <c r="AJ22" i="18" s="1"/>
  <c r="AE23" i="18"/>
  <c r="T25" i="18"/>
  <c r="AJ25" i="18" s="1"/>
  <c r="AD34" i="18"/>
  <c r="AD31" i="18" s="1"/>
  <c r="AE36" i="18"/>
  <c r="AE31" i="18" s="1"/>
  <c r="V36" i="18"/>
  <c r="AC36" i="18"/>
  <c r="AC31" i="18" s="1"/>
  <c r="L11" i="1" s="1"/>
  <c r="AA37" i="18"/>
  <c r="AA31" i="18" s="1"/>
  <c r="J11" i="1" s="1"/>
  <c r="AB4" i="19"/>
  <c r="AB2" i="19" s="1"/>
  <c r="K26" i="1" s="1"/>
  <c r="AE4" i="19"/>
  <c r="AE2" i="19" s="1"/>
  <c r="X4" i="19"/>
  <c r="X2" i="19" s="1"/>
  <c r="G26" i="1" s="1"/>
  <c r="AA5" i="19"/>
  <c r="AA2" i="19" s="1"/>
  <c r="J26" i="1" s="1"/>
  <c r="U17" i="19"/>
  <c r="AC18" i="19"/>
  <c r="T20" i="19"/>
  <c r="Z7" i="20"/>
  <c r="AJ7" i="20" s="1"/>
  <c r="AC18" i="20"/>
  <c r="X20" i="20"/>
  <c r="T8" i="21"/>
  <c r="Z8" i="21" s="1"/>
  <c r="W10" i="21"/>
  <c r="AC7" i="22"/>
  <c r="Z11" i="22"/>
  <c r="AC5" i="23"/>
  <c r="W7" i="23"/>
  <c r="V7" i="23"/>
  <c r="AD7" i="23"/>
  <c r="AA7" i="23"/>
  <c r="AA2" i="23" s="1"/>
  <c r="J30" i="1" s="1"/>
  <c r="AF7" i="23"/>
  <c r="AE7" i="23"/>
  <c r="U7" i="23"/>
  <c r="U9" i="23"/>
  <c r="AG5" i="24"/>
  <c r="AG2" i="24" s="1"/>
  <c r="AF9" i="24"/>
  <c r="Y7" i="25"/>
  <c r="U10" i="25"/>
  <c r="U27" i="30"/>
  <c r="X39" i="18"/>
  <c r="AJ39" i="18" s="1"/>
  <c r="AA39" i="18"/>
  <c r="AF7" i="19"/>
  <c r="W7" i="19"/>
  <c r="U7" i="19"/>
  <c r="U2" i="19" s="1"/>
  <c r="D26" i="1" s="1"/>
  <c r="V17" i="19"/>
  <c r="AF9" i="20"/>
  <c r="U9" i="20"/>
  <c r="AC9" i="20"/>
  <c r="Z9" i="20"/>
  <c r="Y9" i="20"/>
  <c r="AE18" i="20"/>
  <c r="Y22" i="20"/>
  <c r="U22" i="20"/>
  <c r="AD22" i="20"/>
  <c r="V22" i="20"/>
  <c r="P6" i="21"/>
  <c r="Q6" i="21"/>
  <c r="W6" i="21"/>
  <c r="V6" i="21"/>
  <c r="U8" i="21"/>
  <c r="X10" i="21"/>
  <c r="AF7" i="22"/>
  <c r="AA11" i="22"/>
  <c r="AD5" i="23"/>
  <c r="V9" i="23"/>
  <c r="AG9" i="24"/>
  <c r="AB7" i="25"/>
  <c r="W10" i="25"/>
  <c r="Z10" i="28"/>
  <c r="AD10" i="19"/>
  <c r="AD2" i="19" s="1"/>
  <c r="X10" i="19"/>
  <c r="W17" i="19"/>
  <c r="AE18" i="19"/>
  <c r="V20" i="19"/>
  <c r="AD6" i="20"/>
  <c r="Z6" i="20"/>
  <c r="AB6" i="20"/>
  <c r="AA6" i="20"/>
  <c r="AB7" i="20"/>
  <c r="V9" i="20"/>
  <c r="AF18" i="20"/>
  <c r="Z20" i="20"/>
  <c r="T22" i="20"/>
  <c r="O6" i="21"/>
  <c r="V8" i="21"/>
  <c r="Z2" i="22"/>
  <c r="I29" i="1" s="1"/>
  <c r="AE6" i="22"/>
  <c r="AA6" i="22"/>
  <c r="AG6" i="22"/>
  <c r="W6" i="22"/>
  <c r="AG7" i="22"/>
  <c r="AB11" i="22"/>
  <c r="AE5" i="23"/>
  <c r="W9" i="23"/>
  <c r="AJ12" i="24"/>
  <c r="AC7" i="25"/>
  <c r="Y10" i="25"/>
  <c r="Q7" i="27"/>
  <c r="V7" i="27"/>
  <c r="R7" i="27"/>
  <c r="W7" i="27"/>
  <c r="S7" i="27"/>
  <c r="X7" i="27"/>
  <c r="U7" i="27"/>
  <c r="AI21" i="29"/>
  <c r="AB21" i="29"/>
  <c r="Y21" i="29"/>
  <c r="X21" i="29"/>
  <c r="AK21" i="29"/>
  <c r="AG21" i="29"/>
  <c r="Z21" i="29"/>
  <c r="W21" i="29"/>
  <c r="AD21" i="29"/>
  <c r="AE21" i="29"/>
  <c r="AJ21" i="29"/>
  <c r="AF21" i="29"/>
  <c r="AC21" i="29"/>
  <c r="AA21" i="29"/>
  <c r="AG24" i="20"/>
  <c r="AC24" i="20"/>
  <c r="AE11" i="20"/>
  <c r="Z24" i="20"/>
  <c r="AF11" i="20"/>
  <c r="AB24" i="20"/>
  <c r="AA24" i="20"/>
  <c r="Z17" i="20"/>
  <c r="V17" i="20"/>
  <c r="U17" i="20"/>
  <c r="AJ17" i="20" s="1"/>
  <c r="Y17" i="20"/>
  <c r="AH18" i="20"/>
  <c r="AA20" i="20"/>
  <c r="W22" i="20"/>
  <c r="R6" i="21"/>
  <c r="W8" i="21"/>
  <c r="T6" i="22"/>
  <c r="AH7" i="22"/>
  <c r="AD11" i="22"/>
  <c r="AH5" i="23"/>
  <c r="Y7" i="23"/>
  <c r="Y2" i="23" s="1"/>
  <c r="H30" i="1" s="1"/>
  <c r="AA9" i="23"/>
  <c r="AE7" i="25"/>
  <c r="AE2" i="25" s="1"/>
  <c r="AB10" i="25"/>
  <c r="AB2" i="25" s="1"/>
  <c r="K21" i="1" s="1"/>
  <c r="O7" i="27"/>
  <c r="AH21" i="29"/>
  <c r="T4" i="21"/>
  <c r="T2" i="21" s="1"/>
  <c r="H28" i="1" s="1"/>
  <c r="P4" i="21"/>
  <c r="P2" i="21" s="1"/>
  <c r="D28" i="1" s="1"/>
  <c r="Q4" i="21"/>
  <c r="W4" i="21"/>
  <c r="V4" i="21"/>
  <c r="S6" i="21"/>
  <c r="S2" i="21" s="1"/>
  <c r="G28" i="1" s="1"/>
  <c r="X8" i="21"/>
  <c r="U6" i="22"/>
  <c r="AE11" i="22"/>
  <c r="Z7" i="23"/>
  <c r="Z2" i="23" s="1"/>
  <c r="I30" i="1" s="1"/>
  <c r="AB9" i="23"/>
  <c r="W4" i="24"/>
  <c r="V4" i="24"/>
  <c r="AH4" i="24"/>
  <c r="AD4" i="24"/>
  <c r="AB4" i="24"/>
  <c r="Y4" i="24"/>
  <c r="Y2" i="24" s="1"/>
  <c r="H20" i="1" s="1"/>
  <c r="T4" i="24"/>
  <c r="AH8" i="24"/>
  <c r="AG8" i="24"/>
  <c r="X8" i="24"/>
  <c r="AE8" i="24"/>
  <c r="AD8" i="24"/>
  <c r="W8" i="24"/>
  <c r="AF7" i="25"/>
  <c r="AD10" i="25"/>
  <c r="P7" i="27"/>
  <c r="AF16" i="29"/>
  <c r="AA16" i="29"/>
  <c r="AG16" i="29"/>
  <c r="AE16" i="29"/>
  <c r="X16" i="29"/>
  <c r="W16" i="29"/>
  <c r="AH16" i="29"/>
  <c r="AJ16" i="29"/>
  <c r="AB16" i="29"/>
  <c r="AI16" i="29"/>
  <c r="AD16" i="29"/>
  <c r="Y16" i="29"/>
  <c r="AK16" i="29"/>
  <c r="AC16" i="29"/>
  <c r="AE27" i="29"/>
  <c r="AB28" i="18"/>
  <c r="AA28" i="18"/>
  <c r="Y36" i="18"/>
  <c r="Y31" i="18" s="1"/>
  <c r="H11" i="1" s="1"/>
  <c r="AF37" i="18"/>
  <c r="AF31" i="18" s="1"/>
  <c r="Y39" i="18"/>
  <c r="Y4" i="19"/>
  <c r="AH5" i="19"/>
  <c r="Y7" i="19"/>
  <c r="V10" i="19"/>
  <c r="Z17" i="19"/>
  <c r="AH18" i="19"/>
  <c r="Z20" i="19"/>
  <c r="V6" i="20"/>
  <c r="AJ6" i="20" s="1"/>
  <c r="AF7" i="20"/>
  <c r="AA9" i="20"/>
  <c r="U11" i="20"/>
  <c r="W17" i="20"/>
  <c r="W14" i="20" s="1"/>
  <c r="AC20" i="20"/>
  <c r="AJ20" i="20" s="1"/>
  <c r="Z22" i="20"/>
  <c r="O4" i="21"/>
  <c r="T6" i="21"/>
  <c r="V6" i="22"/>
  <c r="AF11" i="22"/>
  <c r="AB7" i="23"/>
  <c r="AC9" i="23"/>
  <c r="U4" i="24"/>
  <c r="T8" i="24"/>
  <c r="AF10" i="25"/>
  <c r="T7" i="27"/>
  <c r="T2" i="27" s="1"/>
  <c r="H31" i="1" s="1"/>
  <c r="Z16" i="29"/>
  <c r="AH19" i="20"/>
  <c r="AD19" i="20"/>
  <c r="X19" i="20"/>
  <c r="AJ19" i="20" s="1"/>
  <c r="AG19" i="20"/>
  <c r="AF19" i="20"/>
  <c r="AD20" i="20"/>
  <c r="AA22" i="20"/>
  <c r="U24" i="20"/>
  <c r="R4" i="21"/>
  <c r="R2" i="21" s="1"/>
  <c r="F28" i="1" s="1"/>
  <c r="U6" i="21"/>
  <c r="U2" i="21" s="1"/>
  <c r="I28" i="1" s="1"/>
  <c r="X6" i="22"/>
  <c r="AG11" i="22"/>
  <c r="AC7" i="23"/>
  <c r="AF9" i="23"/>
  <c r="X4" i="24"/>
  <c r="U8" i="24"/>
  <c r="AH10" i="25"/>
  <c r="V4" i="27"/>
  <c r="X4" i="27"/>
  <c r="W4" i="27"/>
  <c r="R4" i="27"/>
  <c r="O4" i="27"/>
  <c r="P4" i="27"/>
  <c r="U4" i="27"/>
  <c r="U2" i="27" s="1"/>
  <c r="I31" i="1" s="1"/>
  <c r="V2" i="26"/>
  <c r="J22" i="1" s="1"/>
  <c r="O7" i="26"/>
  <c r="U7" i="26"/>
  <c r="U2" i="26" s="1"/>
  <c r="I22" i="1" s="1"/>
  <c r="W7" i="26"/>
  <c r="R7" i="26"/>
  <c r="X7" i="26"/>
  <c r="X2" i="26" s="1"/>
  <c r="L22" i="1" s="1"/>
  <c r="V7" i="26"/>
  <c r="Q7" i="26"/>
  <c r="W9" i="27"/>
  <c r="X9" i="27"/>
  <c r="U9" i="27"/>
  <c r="Q9" i="27"/>
  <c r="T9" i="27"/>
  <c r="X15" i="31"/>
  <c r="AA15" i="31"/>
  <c r="AC15" i="31"/>
  <c r="AB15" i="31"/>
  <c r="Z15" i="31"/>
  <c r="W15" i="31"/>
  <c r="U15" i="31"/>
  <c r="T15" i="31"/>
  <c r="V15" i="31"/>
  <c r="Y15" i="31"/>
  <c r="U8" i="22"/>
  <c r="AA8" i="22"/>
  <c r="X8" i="22"/>
  <c r="AE10" i="23"/>
  <c r="AC10" i="23"/>
  <c r="Z10" i="23"/>
  <c r="AJ10" i="23" s="1"/>
  <c r="P7" i="26"/>
  <c r="O9" i="27"/>
  <c r="AF17" i="30"/>
  <c r="AE17" i="30"/>
  <c r="X17" i="30"/>
  <c r="V17" i="30"/>
  <c r="T17" i="30"/>
  <c r="AC17" i="30"/>
  <c r="AB17" i="30"/>
  <c r="Y17" i="30"/>
  <c r="W17" i="30"/>
  <c r="U17" i="30"/>
  <c r="AH17" i="30"/>
  <c r="AG17" i="30"/>
  <c r="AD17" i="30"/>
  <c r="AA17" i="30"/>
  <c r="AC54" i="29"/>
  <c r="AB54" i="29"/>
  <c r="AA54" i="29"/>
  <c r="X54" i="29"/>
  <c r="W54" i="29"/>
  <c r="AG54" i="29"/>
  <c r="AF54" i="29"/>
  <c r="AH54" i="29"/>
  <c r="AI54" i="29"/>
  <c r="Y54" i="29"/>
  <c r="AK54" i="29"/>
  <c r="AD54" i="29"/>
  <c r="AE54" i="29"/>
  <c r="X29" i="30"/>
  <c r="X27" i="30" s="1"/>
  <c r="AH29" i="30"/>
  <c r="AE29" i="30"/>
  <c r="AD29" i="30"/>
  <c r="V29" i="30"/>
  <c r="T29" i="30"/>
  <c r="AF29" i="30"/>
  <c r="AC29" i="30"/>
  <c r="AC27" i="30" s="1"/>
  <c r="Z29" i="30"/>
  <c r="Z27" i="30" s="1"/>
  <c r="W29" i="30"/>
  <c r="W27" i="30" s="1"/>
  <c r="AA29" i="30"/>
  <c r="AB29" i="30"/>
  <c r="AB27" i="30" s="1"/>
  <c r="Y29" i="30"/>
  <c r="Y43" i="31"/>
  <c r="X43" i="31"/>
  <c r="AD43" i="31"/>
  <c r="AA43" i="31"/>
  <c r="AG43" i="31"/>
  <c r="AE43" i="31"/>
  <c r="AC43" i="31"/>
  <c r="AB43" i="31"/>
  <c r="Z43" i="31"/>
  <c r="Z36" i="31" s="1"/>
  <c r="I48" i="1" s="1"/>
  <c r="V43" i="31"/>
  <c r="T43" i="31"/>
  <c r="AH43" i="31"/>
  <c r="U43" i="31"/>
  <c r="AF43" i="31"/>
  <c r="W43" i="31"/>
  <c r="T9" i="28"/>
  <c r="T2" i="28" s="1"/>
  <c r="H32" i="1" s="1"/>
  <c r="R9" i="28"/>
  <c r="Q9" i="28"/>
  <c r="Q2" i="28" s="1"/>
  <c r="E32" i="1" s="1"/>
  <c r="U9" i="28"/>
  <c r="O9" i="28"/>
  <c r="Z9" i="28" s="1"/>
  <c r="V9" i="28"/>
  <c r="P9" i="28"/>
  <c r="AK36" i="29"/>
  <c r="AD36" i="29"/>
  <c r="AG36" i="29"/>
  <c r="AF36" i="29"/>
  <c r="Y36" i="29"/>
  <c r="X36" i="29"/>
  <c r="AH36" i="29"/>
  <c r="AI36" i="29"/>
  <c r="AB36" i="29"/>
  <c r="Z36" i="29"/>
  <c r="AE36" i="29"/>
  <c r="W36" i="29"/>
  <c r="Y20" i="30"/>
  <c r="AH20" i="30"/>
  <c r="AE20" i="30"/>
  <c r="AD20" i="30"/>
  <c r="V20" i="30"/>
  <c r="T20" i="30"/>
  <c r="AF20" i="30"/>
  <c r="AC20" i="30"/>
  <c r="Z20" i="30"/>
  <c r="W20" i="30"/>
  <c r="X20" i="30"/>
  <c r="AB20" i="30"/>
  <c r="AB12" i="31"/>
  <c r="X12" i="31"/>
  <c r="W12" i="31"/>
  <c r="V12" i="31"/>
  <c r="U12" i="31"/>
  <c r="U2" i="31" s="1"/>
  <c r="D47" i="1" s="1"/>
  <c r="AA12" i="31"/>
  <c r="Y12" i="31"/>
  <c r="T12" i="31"/>
  <c r="AF10" i="24"/>
  <c r="Z10" i="24"/>
  <c r="Y10" i="24"/>
  <c r="U10" i="24"/>
  <c r="AD10" i="24"/>
  <c r="X10" i="24"/>
  <c r="AH10" i="24"/>
  <c r="AC10" i="24"/>
  <c r="S4" i="28"/>
  <c r="P4" i="28"/>
  <c r="X4" i="28"/>
  <c r="X2" i="28" s="1"/>
  <c r="L32" i="1" s="1"/>
  <c r="R4" i="28"/>
  <c r="V4" i="28"/>
  <c r="Z7" i="28"/>
  <c r="S9" i="28"/>
  <c r="AG17" i="29"/>
  <c r="Z17" i="29"/>
  <c r="AH17" i="29"/>
  <c r="AF17" i="29"/>
  <c r="AB17" i="29"/>
  <c r="X17" i="29"/>
  <c r="AE17" i="29"/>
  <c r="AK17" i="29"/>
  <c r="AC17" i="29"/>
  <c r="AJ17" i="29"/>
  <c r="AB19" i="29"/>
  <c r="W19" i="29"/>
  <c r="AG19" i="29"/>
  <c r="AF19" i="29"/>
  <c r="Y19" i="29"/>
  <c r="X19" i="29"/>
  <c r="AH19" i="29"/>
  <c r="AA19" i="29"/>
  <c r="AE19" i="29"/>
  <c r="AC19" i="29"/>
  <c r="AJ19" i="29"/>
  <c r="AA36" i="29"/>
  <c r="Z10" i="30"/>
  <c r="Y10" i="30"/>
  <c r="X10" i="30"/>
  <c r="U10" i="30"/>
  <c r="T10" i="30"/>
  <c r="AB10" i="30"/>
  <c r="AA10" i="30"/>
  <c r="AA2" i="30" s="1"/>
  <c r="J42" i="1" s="1"/>
  <c r="AC10" i="30"/>
  <c r="W10" i="30"/>
  <c r="U20" i="30"/>
  <c r="Z12" i="31"/>
  <c r="AF34" i="30"/>
  <c r="Y34" i="30"/>
  <c r="U34" i="30"/>
  <c r="AE34" i="30"/>
  <c r="AD34" i="30"/>
  <c r="AC34" i="30"/>
  <c r="Z34" i="30"/>
  <c r="X34" i="30"/>
  <c r="AB34" i="30"/>
  <c r="AA34" i="30"/>
  <c r="AG34" i="30"/>
  <c r="AH34" i="30"/>
  <c r="V34" i="30"/>
  <c r="T34" i="30"/>
  <c r="AC12" i="31"/>
  <c r="X9" i="28"/>
  <c r="X22" i="29"/>
  <c r="AH22" i="29"/>
  <c r="AI22" i="29"/>
  <c r="AG22" i="29"/>
  <c r="AA22" i="29"/>
  <c r="Z22" i="29"/>
  <c r="AJ22" i="29"/>
  <c r="AE22" i="29"/>
  <c r="Y22" i="29"/>
  <c r="AF22" i="29"/>
  <c r="AJ36" i="29"/>
  <c r="AG20" i="30"/>
  <c r="W34" i="30"/>
  <c r="AG11" i="25"/>
  <c r="U11" i="25"/>
  <c r="T11" i="25"/>
  <c r="AE11" i="25"/>
  <c r="AA11" i="25"/>
  <c r="AF11" i="25"/>
  <c r="X11" i="25"/>
  <c r="W11" i="25"/>
  <c r="W4" i="28"/>
  <c r="W2" i="28" s="1"/>
  <c r="K32" i="1" s="1"/>
  <c r="AI17" i="29"/>
  <c r="AC22" i="29"/>
  <c r="Z5" i="20"/>
  <c r="AE5" i="20"/>
  <c r="U5" i="20"/>
  <c r="AE10" i="24"/>
  <c r="V11" i="25"/>
  <c r="R5" i="28"/>
  <c r="U5" i="28"/>
  <c r="U2" i="28" s="1"/>
  <c r="I32" i="1" s="1"/>
  <c r="T5" i="28"/>
  <c r="O5" i="28"/>
  <c r="S5" i="28"/>
  <c r="W5" i="28"/>
  <c r="AD22" i="29"/>
  <c r="Y48" i="29"/>
  <c r="AG48" i="29"/>
  <c r="AF48" i="29"/>
  <c r="AE48" i="29"/>
  <c r="AB48" i="29"/>
  <c r="AA48" i="29"/>
  <c r="AK48" i="29"/>
  <c r="AJ48" i="29"/>
  <c r="X48" i="29"/>
  <c r="W48" i="29"/>
  <c r="AD48" i="29"/>
  <c r="AH48" i="29"/>
  <c r="T5" i="20"/>
  <c r="T2" i="20" s="1"/>
  <c r="V9" i="21"/>
  <c r="R9" i="21"/>
  <c r="O9" i="21"/>
  <c r="Q9" i="21"/>
  <c r="AH7" i="24"/>
  <c r="AD7" i="24"/>
  <c r="AE7" i="24"/>
  <c r="Z7" i="24"/>
  <c r="AB7" i="24"/>
  <c r="X7" i="24"/>
  <c r="AJ7" i="24" s="1"/>
  <c r="AG10" i="24"/>
  <c r="Y11" i="25"/>
  <c r="Q4" i="26"/>
  <c r="P4" i="26"/>
  <c r="P2" i="26" s="1"/>
  <c r="D22" i="1" s="1"/>
  <c r="W4" i="26"/>
  <c r="O4" i="26"/>
  <c r="P5" i="28"/>
  <c r="AK22" i="29"/>
  <c r="Z48" i="29"/>
  <c r="AG9" i="19"/>
  <c r="AJ9" i="19" s="1"/>
  <c r="AF4" i="23"/>
  <c r="AF2" i="23" s="1"/>
  <c r="AB4" i="23"/>
  <c r="AB2" i="23" s="1"/>
  <c r="K30" i="1" s="1"/>
  <c r="V4" i="23"/>
  <c r="AJ13" i="24"/>
  <c r="X24" i="31"/>
  <c r="AA24" i="31"/>
  <c r="AB24" i="31"/>
  <c r="Z24" i="31"/>
  <c r="Y24" i="31"/>
  <c r="U24" i="31"/>
  <c r="T24" i="31"/>
  <c r="AC24" i="31"/>
  <c r="AE9" i="25"/>
  <c r="AF9" i="25"/>
  <c r="AD9" i="25"/>
  <c r="Z9" i="25"/>
  <c r="AK27" i="29"/>
  <c r="W24" i="31"/>
  <c r="AD4" i="23"/>
  <c r="AD2" i="23" s="1"/>
  <c r="AJ6" i="23"/>
  <c r="V9" i="25"/>
  <c r="S5" i="26"/>
  <c r="S2" i="26" s="1"/>
  <c r="G22" i="1" s="1"/>
  <c r="W5" i="26"/>
  <c r="V5" i="26"/>
  <c r="Q5" i="26"/>
  <c r="Z5" i="26" s="1"/>
  <c r="Z8" i="28"/>
  <c r="AC4" i="29"/>
  <c r="X4" i="29"/>
  <c r="AM4" i="29"/>
  <c r="AB4" i="29"/>
  <c r="AB2" i="29" s="1"/>
  <c r="H33" i="1" s="1"/>
  <c r="AA4" i="29"/>
  <c r="AA2" i="29" s="1"/>
  <c r="G33" i="1" s="1"/>
  <c r="AN4" i="29"/>
  <c r="AN2" i="29" s="1"/>
  <c r="AJ4" i="29"/>
  <c r="AK4" i="29"/>
  <c r="AK2" i="29" s="1"/>
  <c r="X2" i="22"/>
  <c r="G29" i="1" s="1"/>
  <c r="Y9" i="25"/>
  <c r="AJ9" i="25" s="1"/>
  <c r="AA9" i="25"/>
  <c r="AJ8" i="29"/>
  <c r="AC8" i="29"/>
  <c r="AB8" i="29"/>
  <c r="AA8" i="29"/>
  <c r="AN8" i="29"/>
  <c r="AK8" i="29"/>
  <c r="AF8" i="29"/>
  <c r="Y8" i="29"/>
  <c r="U7" i="30"/>
  <c r="W7" i="30"/>
  <c r="T7" i="30"/>
  <c r="X7" i="30"/>
  <c r="X2" i="30" s="1"/>
  <c r="G42" i="1" s="1"/>
  <c r="V7" i="30"/>
  <c r="Z7" i="30"/>
  <c r="AC7" i="30"/>
  <c r="AC36" i="31"/>
  <c r="L48" i="1" s="1"/>
  <c r="Y10" i="29"/>
  <c r="Y2" i="29" s="1"/>
  <c r="E33" i="1" s="1"/>
  <c r="AI10" i="29"/>
  <c r="AN10" i="29"/>
  <c r="AM10" i="29"/>
  <c r="AF10" i="29"/>
  <c r="AE10" i="29"/>
  <c r="AA10" i="29"/>
  <c r="W10" i="29"/>
  <c r="AH10" i="29"/>
  <c r="AL10" i="29"/>
  <c r="AL2" i="29" s="1"/>
  <c r="AI6" i="29"/>
  <c r="AI2" i="29" s="1"/>
  <c r="AD6" i="29"/>
  <c r="AD2" i="29" s="1"/>
  <c r="J33" i="1" s="1"/>
  <c r="W6" i="29"/>
  <c r="AN6" i="29"/>
  <c r="AG6" i="29"/>
  <c r="AF6" i="29"/>
  <c r="AA6" i="29"/>
  <c r="X6" i="29"/>
  <c r="Y38" i="29"/>
  <c r="Y27" i="29" s="1"/>
  <c r="AE51" i="29"/>
  <c r="AD51" i="29"/>
  <c r="AC51" i="29"/>
  <c r="Z51" i="29"/>
  <c r="Y51" i="29"/>
  <c r="AI51" i="29"/>
  <c r="AH51" i="29"/>
  <c r="AB51" i="29"/>
  <c r="X51" i="29"/>
  <c r="U11" i="30"/>
  <c r="Y11" i="30"/>
  <c r="W11" i="30"/>
  <c r="T11" i="30"/>
  <c r="T2" i="30" s="1"/>
  <c r="C42" i="1" s="1"/>
  <c r="AB11" i="30"/>
  <c r="Z11" i="30"/>
  <c r="AJ24" i="29"/>
  <c r="AE24" i="29"/>
  <c r="X24" i="29"/>
  <c r="AB24" i="29"/>
  <c r="AA24" i="29"/>
  <c r="AK24" i="29"/>
  <c r="AC24" i="29"/>
  <c r="AH32" i="29"/>
  <c r="AA32" i="29"/>
  <c r="AG32" i="29"/>
  <c r="AF32" i="29"/>
  <c r="AB32" i="29"/>
  <c r="X32" i="29"/>
  <c r="AA51" i="29"/>
  <c r="V11" i="30"/>
  <c r="V39" i="31"/>
  <c r="V36" i="31" s="1"/>
  <c r="E48" i="1" s="1"/>
  <c r="AG39" i="31"/>
  <c r="AG36" i="31" s="1"/>
  <c r="AB39" i="31"/>
  <c r="Y39" i="31"/>
  <c r="Y36" i="31" s="1"/>
  <c r="H48" i="1" s="1"/>
  <c r="W39" i="31"/>
  <c r="U39" i="31"/>
  <c r="U36" i="31" s="1"/>
  <c r="D48" i="1" s="1"/>
  <c r="T39" i="31"/>
  <c r="AH39" i="31"/>
  <c r="AH36" i="31" s="1"/>
  <c r="AF39" i="31"/>
  <c r="AF36" i="31" s="1"/>
  <c r="AD39" i="31"/>
  <c r="AD36" i="31" s="1"/>
  <c r="AA39" i="31"/>
  <c r="Z39" i="31"/>
  <c r="X39" i="31"/>
  <c r="X36" i="31" s="1"/>
  <c r="G48" i="1" s="1"/>
  <c r="AE24" i="30"/>
  <c r="AA24" i="30"/>
  <c r="V24" i="30"/>
  <c r="U24" i="30"/>
  <c r="T24" i="30"/>
  <c r="AG24" i="30"/>
  <c r="AD24" i="30"/>
  <c r="AB24" i="30"/>
  <c r="AC24" i="30"/>
  <c r="Z24" i="30"/>
  <c r="W24" i="30"/>
  <c r="AC11" i="30"/>
  <c r="X24" i="30"/>
  <c r="AE6" i="24"/>
  <c r="AE2" i="24" s="1"/>
  <c r="AD6" i="24"/>
  <c r="Z6" i="24"/>
  <c r="AJ6" i="24" s="1"/>
  <c r="AG4" i="25"/>
  <c r="AG2" i="25" s="1"/>
  <c r="AD4" i="25"/>
  <c r="AD2" i="25" s="1"/>
  <c r="AC4" i="25"/>
  <c r="Y4" i="25"/>
  <c r="AJ6" i="29"/>
  <c r="AF24" i="29"/>
  <c r="AD32" i="29"/>
  <c r="AD27" i="29" s="1"/>
  <c r="AF24" i="30"/>
  <c r="W6" i="24"/>
  <c r="W4" i="25"/>
  <c r="AJ4" i="25" s="1"/>
  <c r="S5" i="27"/>
  <c r="Z5" i="27" s="1"/>
  <c r="AC27" i="29"/>
  <c r="AK32" i="29"/>
  <c r="AB14" i="31"/>
  <c r="X14" i="31"/>
  <c r="AC14" i="31"/>
  <c r="AA14" i="31"/>
  <c r="Z14" i="31"/>
  <c r="V14" i="31"/>
  <c r="U14" i="31"/>
  <c r="AF38" i="29"/>
  <c r="AI38" i="29"/>
  <c r="AH38" i="29"/>
  <c r="AC38" i="29"/>
  <c r="AB38" i="29"/>
  <c r="AD38" i="29"/>
  <c r="AA38" i="29"/>
  <c r="AE38" i="29"/>
  <c r="W14" i="31"/>
  <c r="X26" i="31"/>
  <c r="AA26" i="31"/>
  <c r="Z26" i="31"/>
  <c r="Y26" i="31"/>
  <c r="T26" i="31"/>
  <c r="W26" i="31"/>
  <c r="U26" i="31"/>
  <c r="AB11" i="29"/>
  <c r="W11" i="29"/>
  <c r="W2" i="29" s="1"/>
  <c r="C33" i="1" s="1"/>
  <c r="AL11" i="29"/>
  <c r="AJ35" i="29"/>
  <c r="AJ27" i="29" s="1"/>
  <c r="AK35" i="29"/>
  <c r="AI35" i="29"/>
  <c r="AI27" i="29" s="1"/>
  <c r="AD35" i="29"/>
  <c r="W35" i="29"/>
  <c r="AC45" i="29"/>
  <c r="AI45" i="29"/>
  <c r="AH45" i="29"/>
  <c r="AG45" i="29"/>
  <c r="AD45" i="29"/>
  <c r="AD42" i="29" s="1"/>
  <c r="AB45" i="29"/>
  <c r="Z47" i="29"/>
  <c r="Y47" i="29"/>
  <c r="X47" i="29"/>
  <c r="AI47" i="29"/>
  <c r="AE49" i="29"/>
  <c r="AI49" i="29"/>
  <c r="AH49" i="29"/>
  <c r="Z49" i="29"/>
  <c r="AB8" i="31"/>
  <c r="X8" i="31"/>
  <c r="AC8" i="31"/>
  <c r="Y8" i="31"/>
  <c r="W8" i="31"/>
  <c r="V8" i="31"/>
  <c r="T8" i="31"/>
  <c r="AJ39" i="29"/>
  <c r="AI39" i="29"/>
  <c r="AB39" i="29"/>
  <c r="Z45" i="29"/>
  <c r="AC47" i="29"/>
  <c r="AA49" i="29"/>
  <c r="AC31" i="30"/>
  <c r="Y31" i="30"/>
  <c r="AD31" i="30"/>
  <c r="AB31" i="30"/>
  <c r="AA31" i="30"/>
  <c r="W31" i="30"/>
  <c r="V31" i="30"/>
  <c r="X9" i="31"/>
  <c r="AA9" i="31"/>
  <c r="AC9" i="31"/>
  <c r="AB9" i="31"/>
  <c r="W9" i="31"/>
  <c r="V9" i="31"/>
  <c r="W11" i="27"/>
  <c r="AD11" i="29"/>
  <c r="AC35" i="29"/>
  <c r="X39" i="29"/>
  <c r="AE45" i="29"/>
  <c r="AE42" i="29" s="1"/>
  <c r="R11" i="26"/>
  <c r="Z8" i="27"/>
  <c r="AG11" i="29"/>
  <c r="AD34" i="29"/>
  <c r="AC34" i="29"/>
  <c r="X34" i="29"/>
  <c r="X27" i="29" s="1"/>
  <c r="AG35" i="29"/>
  <c r="AA39" i="29"/>
  <c r="AK45" i="29"/>
  <c r="AH47" i="29"/>
  <c r="AG49" i="29"/>
  <c r="AE31" i="30"/>
  <c r="AI46" i="29"/>
  <c r="AK46" i="29"/>
  <c r="AJ46" i="29"/>
  <c r="AB46" i="29"/>
  <c r="W4" i="30"/>
  <c r="V4" i="30"/>
  <c r="U4" i="30"/>
  <c r="V11" i="26"/>
  <c r="AK11" i="29"/>
  <c r="AH31" i="29"/>
  <c r="AG31" i="29"/>
  <c r="AB31" i="29"/>
  <c r="AB27" i="29" s="1"/>
  <c r="AF39" i="29"/>
  <c r="Y46" i="29"/>
  <c r="Y42" i="29" s="1"/>
  <c r="AA52" i="29"/>
  <c r="AK52" i="29"/>
  <c r="AJ52" i="29"/>
  <c r="AJ42" i="29" s="1"/>
  <c r="AG52" i="29"/>
  <c r="AF52" i="29"/>
  <c r="AF42" i="29" s="1"/>
  <c r="X52" i="29"/>
  <c r="Y4" i="30"/>
  <c r="AB23" i="31"/>
  <c r="AB21" i="31" s="1"/>
  <c r="K54" i="1" s="1"/>
  <c r="X23" i="31"/>
  <c r="Z23" i="31"/>
  <c r="W23" i="31"/>
  <c r="V23" i="31"/>
  <c r="U23" i="31"/>
  <c r="T23" i="31"/>
  <c r="AJ4" i="34"/>
  <c r="O6" i="26"/>
  <c r="Z6" i="26" s="1"/>
  <c r="W11" i="26"/>
  <c r="AM11" i="29"/>
  <c r="W31" i="29"/>
  <c r="W27" i="29" s="1"/>
  <c r="AG39" i="29"/>
  <c r="Z46" i="29"/>
  <c r="Z42" i="29" s="1"/>
  <c r="W52" i="29"/>
  <c r="Z4" i="30"/>
  <c r="Y23" i="31"/>
  <c r="Y21" i="31" s="1"/>
  <c r="H54" i="1" s="1"/>
  <c r="V6" i="28"/>
  <c r="O6" i="28"/>
  <c r="AG46" i="29"/>
  <c r="Y6" i="33"/>
  <c r="P6" i="28"/>
  <c r="W8" i="28"/>
  <c r="R8" i="28"/>
  <c r="AL7" i="29"/>
  <c r="AG7" i="29"/>
  <c r="AG2" i="29" s="1"/>
  <c r="Z7" i="29"/>
  <c r="Z2" i="29" s="1"/>
  <c r="F33" i="1" s="1"/>
  <c r="AE31" i="29"/>
  <c r="AK34" i="29"/>
  <c r="AH46" i="29"/>
  <c r="AH52" i="29"/>
  <c r="Z2" i="31"/>
  <c r="I47" i="1" s="1"/>
  <c r="AB25" i="31"/>
  <c r="X25" i="31"/>
  <c r="AC25" i="31"/>
  <c r="AC21" i="31" s="1"/>
  <c r="L54" i="1" s="1"/>
  <c r="AA25" i="31"/>
  <c r="Z25" i="31"/>
  <c r="Y25" i="31"/>
  <c r="V25" i="31"/>
  <c r="AA5" i="34"/>
  <c r="Y5" i="34"/>
  <c r="Y2" i="34" s="1"/>
  <c r="H35" i="1" s="1"/>
  <c r="W5" i="34"/>
  <c r="U5" i="34"/>
  <c r="U2" i="34" s="1"/>
  <c r="D35" i="1" s="1"/>
  <c r="AC5" i="34"/>
  <c r="AC2" i="34" s="1"/>
  <c r="L35" i="1" s="1"/>
  <c r="AB5" i="34"/>
  <c r="T5" i="34"/>
  <c r="W25" i="34"/>
  <c r="V25" i="34"/>
  <c r="U25" i="34"/>
  <c r="T25" i="34"/>
  <c r="AA25" i="34"/>
  <c r="X25" i="34"/>
  <c r="AC25" i="34"/>
  <c r="AB25" i="34"/>
  <c r="Z25" i="34"/>
  <c r="Y30" i="31"/>
  <c r="AB30" i="31"/>
  <c r="X21" i="34"/>
  <c r="V21" i="34"/>
  <c r="U21" i="34"/>
  <c r="T21" i="34"/>
  <c r="T18" i="34" s="1"/>
  <c r="AA14" i="34"/>
  <c r="Z14" i="34"/>
  <c r="Y14" i="34"/>
  <c r="X14" i="34"/>
  <c r="AB14" i="34"/>
  <c r="T32" i="30"/>
  <c r="AE32" i="30"/>
  <c r="X13" i="31"/>
  <c r="AA13" i="31"/>
  <c r="V30" i="31"/>
  <c r="AA2" i="34"/>
  <c r="J35" i="1" s="1"/>
  <c r="T14" i="34"/>
  <c r="AJ14" i="34" s="1"/>
  <c r="V9" i="30"/>
  <c r="V32" i="30"/>
  <c r="X28" i="31"/>
  <c r="AA28" i="31"/>
  <c r="X30" i="31"/>
  <c r="R2" i="33"/>
  <c r="F53" i="1" s="1"/>
  <c r="F52" i="1" s="1"/>
  <c r="V14" i="34"/>
  <c r="AA21" i="34"/>
  <c r="AB37" i="30"/>
  <c r="U37" i="30"/>
  <c r="AE37" i="30"/>
  <c r="AB6" i="31"/>
  <c r="X6" i="31"/>
  <c r="T28" i="31"/>
  <c r="Z30" i="31"/>
  <c r="Z9" i="34"/>
  <c r="Y9" i="34"/>
  <c r="X9" i="34"/>
  <c r="AA9" i="34"/>
  <c r="W14" i="34"/>
  <c r="AB21" i="34"/>
  <c r="AF9" i="29"/>
  <c r="AK37" i="29"/>
  <c r="AK44" i="29"/>
  <c r="AG50" i="29"/>
  <c r="AE53" i="29"/>
  <c r="V5" i="30"/>
  <c r="X9" i="30"/>
  <c r="X32" i="30"/>
  <c r="T37" i="30"/>
  <c r="T6" i="31"/>
  <c r="T2" i="31" s="1"/>
  <c r="X11" i="31"/>
  <c r="AA11" i="31"/>
  <c r="W13" i="31"/>
  <c r="U28" i="31"/>
  <c r="AA30" i="31"/>
  <c r="AB40" i="31"/>
  <c r="AB36" i="31" s="1"/>
  <c r="K48" i="1" s="1"/>
  <c r="U40" i="31"/>
  <c r="AH40" i="31"/>
  <c r="AE40" i="31"/>
  <c r="AE36" i="31" s="1"/>
  <c r="T9" i="34"/>
  <c r="AC14" i="34"/>
  <c r="AC21" i="34"/>
  <c r="AB16" i="31"/>
  <c r="X16" i="31"/>
  <c r="V28" i="31"/>
  <c r="AC30" i="31"/>
  <c r="T40" i="31"/>
  <c r="U9" i="34"/>
  <c r="AG39" i="30"/>
  <c r="AC39" i="30"/>
  <c r="U39" i="30"/>
  <c r="AB4" i="31"/>
  <c r="X4" i="31"/>
  <c r="W6" i="31"/>
  <c r="V11" i="31"/>
  <c r="AB13" i="31"/>
  <c r="U16" i="31"/>
  <c r="Y28" i="31"/>
  <c r="W40" i="31"/>
  <c r="W9" i="34"/>
  <c r="X30" i="34"/>
  <c r="W30" i="34"/>
  <c r="V30" i="34"/>
  <c r="U30" i="34"/>
  <c r="AB30" i="34"/>
  <c r="Y30" i="34"/>
  <c r="AC20" i="29"/>
  <c r="AC5" i="30"/>
  <c r="AC2" i="30" s="1"/>
  <c r="L42" i="1" s="1"/>
  <c r="AF32" i="30"/>
  <c r="AC37" i="30"/>
  <c r="X39" i="30"/>
  <c r="W4" i="31"/>
  <c r="AC6" i="31"/>
  <c r="AB11" i="31"/>
  <c r="Z16" i="31"/>
  <c r="AA40" i="31"/>
  <c r="Z10" i="34"/>
  <c r="X10" i="34"/>
  <c r="V10" i="34"/>
  <c r="V2" i="34" s="1"/>
  <c r="E35" i="1" s="1"/>
  <c r="T10" i="34"/>
  <c r="Z30" i="34"/>
  <c r="AG32" i="30"/>
  <c r="AG27" i="30" s="1"/>
  <c r="V36" i="30"/>
  <c r="AG36" i="30"/>
  <c r="Y36" i="30"/>
  <c r="AD37" i="30"/>
  <c r="Y39" i="30"/>
  <c r="Y4" i="31"/>
  <c r="X7" i="31"/>
  <c r="AA7" i="31"/>
  <c r="AC11" i="31"/>
  <c r="AA16" i="31"/>
  <c r="AC40" i="31"/>
  <c r="U10" i="34"/>
  <c r="AJ13" i="34"/>
  <c r="Y20" i="34"/>
  <c r="X20" i="34"/>
  <c r="W20" i="34"/>
  <c r="W18" i="34" s="1"/>
  <c r="F36" i="1" s="1"/>
  <c r="V20" i="34"/>
  <c r="AC20" i="34"/>
  <c r="AC18" i="34" s="1"/>
  <c r="L36" i="1" s="1"/>
  <c r="Z20" i="34"/>
  <c r="AA30" i="34"/>
  <c r="V6" i="30"/>
  <c r="W36" i="30"/>
  <c r="AH37" i="30"/>
  <c r="AB39" i="30"/>
  <c r="AC4" i="31"/>
  <c r="V7" i="31"/>
  <c r="V2" i="31" s="1"/>
  <c r="E47" i="1" s="1"/>
  <c r="AB27" i="31"/>
  <c r="X27" i="31"/>
  <c r="AG40" i="31"/>
  <c r="X31" i="34"/>
  <c r="V31" i="34"/>
  <c r="U31" i="34"/>
  <c r="T31" i="34"/>
  <c r="AA37" i="29"/>
  <c r="AA44" i="29"/>
  <c r="W50" i="29"/>
  <c r="W42" i="29" s="1"/>
  <c r="W6" i="30"/>
  <c r="T18" i="30"/>
  <c r="T21" i="30"/>
  <c r="AE21" i="30"/>
  <c r="X36" i="30"/>
  <c r="AH38" i="30"/>
  <c r="AA38" i="30"/>
  <c r="W38" i="30"/>
  <c r="AD39" i="30"/>
  <c r="X5" i="31"/>
  <c r="AA5" i="31"/>
  <c r="AA2" i="31" s="1"/>
  <c r="J47" i="1" s="1"/>
  <c r="W7" i="31"/>
  <c r="T27" i="31"/>
  <c r="AH41" i="31"/>
  <c r="AA41" i="31"/>
  <c r="W41" i="31"/>
  <c r="AB10" i="34"/>
  <c r="AB20" i="34"/>
  <c r="W31" i="34"/>
  <c r="AB37" i="29"/>
  <c r="AB44" i="29"/>
  <c r="AB42" i="29" s="1"/>
  <c r="X50" i="29"/>
  <c r="U18" i="30"/>
  <c r="U21" i="30"/>
  <c r="Z36" i="30"/>
  <c r="AE39" i="30"/>
  <c r="Y7" i="31"/>
  <c r="AB10" i="31"/>
  <c r="X10" i="31"/>
  <c r="U27" i="31"/>
  <c r="AA24" i="34"/>
  <c r="Y24" i="34"/>
  <c r="AB8" i="34"/>
  <c r="X24" i="34"/>
  <c r="W24" i="34"/>
  <c r="Z8" i="34"/>
  <c r="Z2" i="34" s="1"/>
  <c r="I35" i="1" s="1"/>
  <c r="U24" i="34"/>
  <c r="AJ24" i="34" s="1"/>
  <c r="X8" i="34"/>
  <c r="X2" i="34" s="1"/>
  <c r="G35" i="1" s="1"/>
  <c r="U8" i="34"/>
  <c r="AJ8" i="34" s="1"/>
  <c r="AC10" i="34"/>
  <c r="Y31" i="34"/>
  <c r="U42" i="31"/>
  <c r="AG44" i="31"/>
  <c r="W11" i="34"/>
  <c r="AB23" i="34"/>
  <c r="AJ23" i="34" s="1"/>
  <c r="T27" i="34"/>
  <c r="AC28" i="34"/>
  <c r="Z37" i="34"/>
  <c r="AD38" i="34"/>
  <c r="AD34" i="34" s="1"/>
  <c r="AH39" i="34"/>
  <c r="T41" i="34"/>
  <c r="X42" i="34"/>
  <c r="AB43" i="34"/>
  <c r="AF44" i="34"/>
  <c r="W51" i="34"/>
  <c r="AA52" i="34"/>
  <c r="AE53" i="34"/>
  <c r="AE49" i="34" s="1"/>
  <c r="U56" i="34"/>
  <c r="AJ56" i="34" s="1"/>
  <c r="Y57" i="34"/>
  <c r="AC58" i="34"/>
  <c r="AG59" i="34"/>
  <c r="X51" i="34"/>
  <c r="AB52" i="34"/>
  <c r="AF53" i="34"/>
  <c r="V56" i="34"/>
  <c r="Z57" i="34"/>
  <c r="AD58" i="34"/>
  <c r="AH59" i="34"/>
  <c r="W56" i="34"/>
  <c r="AA57" i="34"/>
  <c r="AE58" i="34"/>
  <c r="X42" i="31"/>
  <c r="Z11" i="34"/>
  <c r="W27" i="34"/>
  <c r="AC37" i="34"/>
  <c r="AG38" i="34"/>
  <c r="W41" i="34"/>
  <c r="AA42" i="34"/>
  <c r="AE43" i="34"/>
  <c r="U46" i="34"/>
  <c r="Z51" i="34"/>
  <c r="AD52" i="34"/>
  <c r="AH53" i="34"/>
  <c r="T55" i="34"/>
  <c r="X56" i="34"/>
  <c r="AB57" i="34"/>
  <c r="AF58" i="34"/>
  <c r="W46" i="34"/>
  <c r="AB51" i="34"/>
  <c r="AB49" i="34" s="1"/>
  <c r="K38" i="1" s="1"/>
  <c r="AF52" i="34"/>
  <c r="V55" i="34"/>
  <c r="Z56" i="34"/>
  <c r="AD57" i="34"/>
  <c r="AH58" i="34"/>
  <c r="T60" i="34"/>
  <c r="AJ60" i="34" s="1"/>
  <c r="AC11" i="34"/>
  <c r="Z27" i="34"/>
  <c r="V29" i="34"/>
  <c r="AJ29" i="34" s="1"/>
  <c r="AF37" i="34"/>
  <c r="Z41" i="34"/>
  <c r="AD42" i="34"/>
  <c r="AH43" i="34"/>
  <c r="T45" i="34"/>
  <c r="X46" i="34"/>
  <c r="AG52" i="34"/>
  <c r="W55" i="34"/>
  <c r="AA56" i="34"/>
  <c r="AE57" i="34"/>
  <c r="U60" i="34"/>
  <c r="W40" i="34"/>
  <c r="AJ40" i="34" s="1"/>
  <c r="AA41" i="34"/>
  <c r="AE42" i="34"/>
  <c r="U45" i="34"/>
  <c r="Y46" i="34"/>
  <c r="AD51" i="34"/>
  <c r="AH52" i="34"/>
  <c r="T54" i="34"/>
  <c r="X55" i="34"/>
  <c r="AB56" i="34"/>
  <c r="AF57" i="34"/>
  <c r="V60" i="34"/>
  <c r="AA35" i="30"/>
  <c r="X29" i="31"/>
  <c r="AA38" i="31"/>
  <c r="AC42" i="31"/>
  <c r="P4" i="33"/>
  <c r="AA13" i="34"/>
  <c r="AB27" i="34"/>
  <c r="X29" i="34"/>
  <c r="AH37" i="34"/>
  <c r="T39" i="34"/>
  <c r="T34" i="34" s="1"/>
  <c r="X40" i="34"/>
  <c r="AB41" i="34"/>
  <c r="AF42" i="34"/>
  <c r="V45" i="34"/>
  <c r="Z46" i="34"/>
  <c r="U54" i="34"/>
  <c r="U49" i="34" s="1"/>
  <c r="D38" i="1" s="1"/>
  <c r="Y55" i="34"/>
  <c r="AC56" i="34"/>
  <c r="AG57" i="34"/>
  <c r="W60" i="34"/>
  <c r="U39" i="34"/>
  <c r="AC41" i="34"/>
  <c r="AG42" i="34"/>
  <c r="AG34" i="34" s="1"/>
  <c r="W45" i="34"/>
  <c r="AA46" i="34"/>
  <c r="AF51" i="34"/>
  <c r="V54" i="34"/>
  <c r="Z55" i="34"/>
  <c r="AD56" i="34"/>
  <c r="AH57" i="34"/>
  <c r="T59" i="34"/>
  <c r="X60" i="34"/>
  <c r="T12" i="34"/>
  <c r="U26" i="34"/>
  <c r="AJ26" i="34" s="1"/>
  <c r="Z29" i="34"/>
  <c r="V39" i="34"/>
  <c r="Z40" i="34"/>
  <c r="AD41" i="34"/>
  <c r="AH42" i="34"/>
  <c r="T44" i="34"/>
  <c r="X45" i="34"/>
  <c r="AB46" i="34"/>
  <c r="W54" i="34"/>
  <c r="AA55" i="34"/>
  <c r="AE56" i="34"/>
  <c r="U59" i="34"/>
  <c r="Y60" i="34"/>
  <c r="W39" i="34"/>
  <c r="AA40" i="34"/>
  <c r="AE41" i="34"/>
  <c r="U44" i="34"/>
  <c r="Y45" i="34"/>
  <c r="AC46" i="34"/>
  <c r="AH51" i="34"/>
  <c r="AH49" i="34" s="1"/>
  <c r="T53" i="34"/>
  <c r="X54" i="34"/>
  <c r="AB55" i="34"/>
  <c r="AF56" i="34"/>
  <c r="V59" i="34"/>
  <c r="Z60" i="34"/>
  <c r="W30" i="30"/>
  <c r="W44" i="31"/>
  <c r="P6" i="33"/>
  <c r="V12" i="34"/>
  <c r="W26" i="34"/>
  <c r="T38" i="34"/>
  <c r="X39" i="34"/>
  <c r="AB40" i="34"/>
  <c r="AB34" i="34" s="1"/>
  <c r="K37" i="1" s="1"/>
  <c r="V44" i="34"/>
  <c r="Z45" i="34"/>
  <c r="AD46" i="34"/>
  <c r="Y54" i="34"/>
  <c r="AC55" i="34"/>
  <c r="AC49" i="34" s="1"/>
  <c r="L38" i="1" s="1"/>
  <c r="AG56" i="34"/>
  <c r="W59" i="34"/>
  <c r="AA60" i="34"/>
  <c r="W44" i="34"/>
  <c r="AA45" i="34"/>
  <c r="AE46" i="34"/>
  <c r="V53" i="34"/>
  <c r="Z54" i="34"/>
  <c r="AD55" i="34"/>
  <c r="AH56" i="34"/>
  <c r="T58" i="34"/>
  <c r="X59" i="34"/>
  <c r="AB60" i="34"/>
  <c r="W53" i="34"/>
  <c r="AA54" i="34"/>
  <c r="AE55" i="34"/>
  <c r="U58" i="34"/>
  <c r="Y59" i="34"/>
  <c r="AC60" i="34"/>
  <c r="W38" i="34"/>
  <c r="AA39" i="34"/>
  <c r="AE40" i="34"/>
  <c r="U43" i="34"/>
  <c r="Y44" i="34"/>
  <c r="AC45" i="34"/>
  <c r="AC34" i="34" s="1"/>
  <c r="L37" i="1" s="1"/>
  <c r="T52" i="34"/>
  <c r="AJ52" i="34" s="1"/>
  <c r="X53" i="34"/>
  <c r="AB54" i="34"/>
  <c r="AF55" i="34"/>
  <c r="V58" i="34"/>
  <c r="Z59" i="34"/>
  <c r="AD60" i="34"/>
  <c r="W58" i="34"/>
  <c r="AA59" i="34"/>
  <c r="AE60" i="34"/>
  <c r="U37" i="34"/>
  <c r="Y38" i="34"/>
  <c r="Y34" i="34" s="1"/>
  <c r="H37" i="1" s="1"/>
  <c r="AC39" i="34"/>
  <c r="W43" i="34"/>
  <c r="AA44" i="34"/>
  <c r="AE45" i="34"/>
  <c r="V52" i="34"/>
  <c r="V49" i="34" s="1"/>
  <c r="E38" i="1" s="1"/>
  <c r="Z53" i="34"/>
  <c r="AD54" i="34"/>
  <c r="T57" i="34"/>
  <c r="X58" i="34"/>
  <c r="AB59" i="34"/>
  <c r="AF60" i="34"/>
  <c r="AB12" i="34"/>
  <c r="X23" i="34"/>
  <c r="Y28" i="34"/>
  <c r="AJ28" i="34" s="1"/>
  <c r="V37" i="34"/>
  <c r="V34" i="34" s="1"/>
  <c r="E37" i="1" s="1"/>
  <c r="Z38" i="34"/>
  <c r="AD39" i="34"/>
  <c r="T42" i="34"/>
  <c r="X43" i="34"/>
  <c r="AJ43" i="34" s="1"/>
  <c r="AB44" i="34"/>
  <c r="AF45" i="34"/>
  <c r="W52" i="34"/>
  <c r="AA53" i="34"/>
  <c r="AE54" i="34"/>
  <c r="U57" i="34"/>
  <c r="Y58" i="34"/>
  <c r="AC59" i="34"/>
  <c r="AG60" i="34"/>
  <c r="W6" i="33"/>
  <c r="W2" i="33" s="1"/>
  <c r="K53" i="1" s="1"/>
  <c r="K52" i="1" s="1"/>
  <c r="AB7" i="34"/>
  <c r="AJ7" i="34" s="1"/>
  <c r="T11" i="34"/>
  <c r="W37" i="34"/>
  <c r="W34" i="34" s="1"/>
  <c r="F37" i="1" s="1"/>
  <c r="AA38" i="34"/>
  <c r="AA34" i="34" s="1"/>
  <c r="J37" i="1" s="1"/>
  <c r="AE39" i="34"/>
  <c r="AE34" i="34" s="1"/>
  <c r="U42" i="34"/>
  <c r="Y43" i="34"/>
  <c r="AC44" i="34"/>
  <c r="AG45" i="34"/>
  <c r="T51" i="34"/>
  <c r="X52" i="34"/>
  <c r="AB53" i="34"/>
  <c r="AF54" i="34"/>
  <c r="V57" i="34"/>
  <c r="Z58" i="34"/>
  <c r="AD59" i="34"/>
  <c r="U11" i="34"/>
  <c r="X37" i="34"/>
  <c r="X34" i="34" s="1"/>
  <c r="G37" i="1" s="1"/>
  <c r="AB38" i="34"/>
  <c r="AF39" i="34"/>
  <c r="V42" i="34"/>
  <c r="Z43" i="34"/>
  <c r="Y52" i="34"/>
  <c r="W57" i="34"/>
  <c r="AA58" i="34"/>
  <c r="AE59" i="34"/>
  <c r="AI2" i="20" l="1"/>
  <c r="C27" i="1"/>
  <c r="AI2" i="19"/>
  <c r="AI10" i="19" s="1"/>
  <c r="C26" i="1"/>
  <c r="AI9" i="19"/>
  <c r="AI6" i="19"/>
  <c r="M42" i="1"/>
  <c r="N42" i="1"/>
  <c r="AI18" i="20"/>
  <c r="N33" i="1"/>
  <c r="M33" i="1"/>
  <c r="AI18" i="19"/>
  <c r="AI20" i="20"/>
  <c r="Y2" i="11"/>
  <c r="Y7" i="11" s="1"/>
  <c r="C19" i="1"/>
  <c r="Y5" i="11"/>
  <c r="AI2" i="25"/>
  <c r="AI6" i="25" s="1"/>
  <c r="C21" i="1"/>
  <c r="AI10" i="20"/>
  <c r="AI23" i="20"/>
  <c r="AI18" i="34"/>
  <c r="C36" i="1"/>
  <c r="AI19" i="20"/>
  <c r="AI7" i="20"/>
  <c r="AI17" i="20"/>
  <c r="AI6" i="20"/>
  <c r="AI34" i="34"/>
  <c r="C37" i="1"/>
  <c r="AF27" i="29"/>
  <c r="Z9" i="27"/>
  <c r="AJ8" i="24"/>
  <c r="W2" i="21"/>
  <c r="K28" i="1" s="1"/>
  <c r="Z14" i="16"/>
  <c r="AJ21" i="16"/>
  <c r="W2" i="18"/>
  <c r="F10" i="1" s="1"/>
  <c r="U2" i="18"/>
  <c r="D10" i="1" s="1"/>
  <c r="AB13" i="19"/>
  <c r="Z14" i="13"/>
  <c r="AJ36" i="3"/>
  <c r="Z11" i="10"/>
  <c r="Z9" i="11"/>
  <c r="Y9" i="11" s="1"/>
  <c r="AB20" i="32"/>
  <c r="K46" i="1" s="1"/>
  <c r="Z12" i="8"/>
  <c r="Y33" i="32"/>
  <c r="H45" i="1" s="1"/>
  <c r="Y15" i="2"/>
  <c r="Z9" i="21"/>
  <c r="V2" i="28"/>
  <c r="J32" i="1" s="1"/>
  <c r="AJ42" i="34"/>
  <c r="AJ58" i="34"/>
  <c r="AJ44" i="34"/>
  <c r="AJ54" i="34"/>
  <c r="AJ41" i="34"/>
  <c r="AK42" i="29"/>
  <c r="AJ37" i="34"/>
  <c r="Y2" i="30"/>
  <c r="H42" i="1" s="1"/>
  <c r="V2" i="23"/>
  <c r="E30" i="1" s="1"/>
  <c r="AJ4" i="23"/>
  <c r="R2" i="28"/>
  <c r="F32" i="1" s="1"/>
  <c r="U2" i="24"/>
  <c r="D20" i="1" s="1"/>
  <c r="Q2" i="21"/>
  <c r="E28" i="1" s="1"/>
  <c r="Z14" i="30"/>
  <c r="I43" i="1" s="1"/>
  <c r="W14" i="30"/>
  <c r="F43" i="1" s="1"/>
  <c r="AJ5" i="24"/>
  <c r="AE14" i="16"/>
  <c r="AJ16" i="19"/>
  <c r="Z2" i="18"/>
  <c r="I10" i="1" s="1"/>
  <c r="Z10" i="9"/>
  <c r="AG2" i="13"/>
  <c r="AJ5" i="19"/>
  <c r="AI5" i="19" s="1"/>
  <c r="AC14" i="20"/>
  <c r="AB14" i="16"/>
  <c r="AJ21" i="13"/>
  <c r="AJ7" i="16"/>
  <c r="T2" i="16"/>
  <c r="AJ19" i="19"/>
  <c r="AI19" i="19" s="1"/>
  <c r="AC13" i="19"/>
  <c r="Z6" i="9"/>
  <c r="R2" i="7"/>
  <c r="F6" i="1" s="1"/>
  <c r="AJ31" i="3"/>
  <c r="Z4" i="8"/>
  <c r="O2" i="8"/>
  <c r="V29" i="3"/>
  <c r="AJ5" i="3"/>
  <c r="AA2" i="2"/>
  <c r="J23" i="1" s="1"/>
  <c r="AJ21" i="18"/>
  <c r="AC15" i="2"/>
  <c r="AA36" i="31"/>
  <c r="J48" i="1" s="1"/>
  <c r="X2" i="24"/>
  <c r="G20" i="1" s="1"/>
  <c r="Z6" i="21"/>
  <c r="AJ10" i="25"/>
  <c r="AA14" i="16"/>
  <c r="AJ8" i="19"/>
  <c r="AI8" i="19" s="1"/>
  <c r="AC2" i="18"/>
  <c r="L10" i="1" s="1"/>
  <c r="AJ38" i="18"/>
  <c r="AJ22" i="16"/>
  <c r="AJ7" i="19"/>
  <c r="AI7" i="19" s="1"/>
  <c r="AE13" i="19"/>
  <c r="AF14" i="13"/>
  <c r="T2" i="7"/>
  <c r="H6" i="1" s="1"/>
  <c r="AI21" i="20"/>
  <c r="AA2" i="3"/>
  <c r="J24" i="1" s="1"/>
  <c r="Q2" i="8"/>
  <c r="E7" i="1" s="1"/>
  <c r="AB2" i="2"/>
  <c r="K23" i="1" s="1"/>
  <c r="AG15" i="2"/>
  <c r="AD49" i="34"/>
  <c r="AJ5" i="20"/>
  <c r="AI5" i="20" s="1"/>
  <c r="P2" i="28"/>
  <c r="D32" i="1" s="1"/>
  <c r="AJ22" i="20"/>
  <c r="AI22" i="20" s="1"/>
  <c r="AJ5" i="23"/>
  <c r="T2" i="23"/>
  <c r="AG2" i="23"/>
  <c r="AF2" i="18"/>
  <c r="X16" i="18"/>
  <c r="G9" i="1" s="1"/>
  <c r="AJ10" i="15"/>
  <c r="AJ4" i="19"/>
  <c r="AI4" i="19" s="1"/>
  <c r="AI3" i="19" s="1"/>
  <c r="AJ8" i="23"/>
  <c r="U14" i="20"/>
  <c r="AF13" i="19"/>
  <c r="AJ10" i="13"/>
  <c r="Z6" i="10"/>
  <c r="AJ35" i="3"/>
  <c r="W2" i="7"/>
  <c r="K6" i="1" s="1"/>
  <c r="AJ8" i="2"/>
  <c r="T2" i="12"/>
  <c r="Z11" i="11"/>
  <c r="Y11" i="11" s="1"/>
  <c r="P2" i="8"/>
  <c r="D7" i="1" s="1"/>
  <c r="AJ36" i="32"/>
  <c r="AH2" i="2"/>
  <c r="AJ37" i="3"/>
  <c r="AA20" i="32"/>
  <c r="J46" i="1" s="1"/>
  <c r="AC2" i="2"/>
  <c r="L23" i="1" s="1"/>
  <c r="AJ6" i="32"/>
  <c r="W15" i="2"/>
  <c r="T49" i="34"/>
  <c r="AJ51" i="34"/>
  <c r="AA27" i="29"/>
  <c r="Z34" i="34"/>
  <c r="I37" i="1" s="1"/>
  <c r="Z18" i="34"/>
  <c r="I36" i="1" s="1"/>
  <c r="AJ10" i="34"/>
  <c r="U18" i="34"/>
  <c r="D36" i="1" s="1"/>
  <c r="S2" i="28"/>
  <c r="G32" i="1" s="1"/>
  <c r="Y27" i="30"/>
  <c r="AJ20" i="19"/>
  <c r="AJ17" i="19"/>
  <c r="AA14" i="30"/>
  <c r="J43" i="1" s="1"/>
  <c r="Y2" i="17"/>
  <c r="Y10" i="17" s="1"/>
  <c r="C17" i="1"/>
  <c r="AG2" i="18"/>
  <c r="X31" i="18"/>
  <c r="G11" i="1" s="1"/>
  <c r="Y14" i="20"/>
  <c r="AA13" i="19"/>
  <c r="AH14" i="13"/>
  <c r="AJ20" i="2"/>
  <c r="AJ28" i="32"/>
  <c r="U2" i="8"/>
  <c r="I7" i="1" s="1"/>
  <c r="U29" i="3"/>
  <c r="O2" i="10"/>
  <c r="Y2" i="2"/>
  <c r="H23" i="1" s="1"/>
  <c r="Z15" i="2"/>
  <c r="AJ16" i="20"/>
  <c r="AI16" i="20" s="1"/>
  <c r="AI15" i="20" s="1"/>
  <c r="T14" i="20"/>
  <c r="AI14" i="20" s="1"/>
  <c r="U13" i="19"/>
  <c r="T2" i="14"/>
  <c r="AJ4" i="14"/>
  <c r="Z4" i="7"/>
  <c r="Z7" i="8"/>
  <c r="AB2" i="4"/>
  <c r="K25" i="1" s="1"/>
  <c r="T2" i="2"/>
  <c r="AJ4" i="2"/>
  <c r="T31" i="18"/>
  <c r="AJ17" i="3"/>
  <c r="AH15" i="2"/>
  <c r="AD15" i="2"/>
  <c r="AD2" i="20"/>
  <c r="AJ27" i="34"/>
  <c r="V18" i="34"/>
  <c r="E36" i="1" s="1"/>
  <c r="AJ20" i="34"/>
  <c r="AJ9" i="34"/>
  <c r="Z2" i="30"/>
  <c r="I42" i="1" s="1"/>
  <c r="Y2" i="25"/>
  <c r="H21" i="1" s="1"/>
  <c r="AA27" i="30"/>
  <c r="R2" i="26"/>
  <c r="F22" i="1" s="1"/>
  <c r="AC14" i="29"/>
  <c r="I34" i="1" s="1"/>
  <c r="Z4" i="28"/>
  <c r="Z6" i="27"/>
  <c r="V14" i="30"/>
  <c r="E43" i="1" s="1"/>
  <c r="Z6" i="17"/>
  <c r="AJ10" i="12"/>
  <c r="U2" i="20"/>
  <c r="D27" i="1" s="1"/>
  <c r="AJ4" i="20"/>
  <c r="AI4" i="20" s="1"/>
  <c r="AI3" i="20" s="1"/>
  <c r="X2" i="16"/>
  <c r="G16" i="1" s="1"/>
  <c r="V2" i="16"/>
  <c r="E16" i="1" s="1"/>
  <c r="X14" i="20"/>
  <c r="Y2" i="16"/>
  <c r="H16" i="1" s="1"/>
  <c r="AJ12" i="18"/>
  <c r="AD13" i="19"/>
  <c r="X2" i="14"/>
  <c r="G13" i="1" s="1"/>
  <c r="O2" i="7"/>
  <c r="Y12" i="11"/>
  <c r="Y8" i="11"/>
  <c r="Y10" i="11"/>
  <c r="AJ19" i="3"/>
  <c r="W2" i="8"/>
  <c r="K7" i="1" s="1"/>
  <c r="Z2" i="4"/>
  <c r="I25" i="1" s="1"/>
  <c r="AA2" i="4"/>
  <c r="J25" i="1" s="1"/>
  <c r="AD2" i="2"/>
  <c r="P2" i="6"/>
  <c r="D5" i="1" s="1"/>
  <c r="AF2" i="3"/>
  <c r="U15" i="2"/>
  <c r="O2" i="21"/>
  <c r="Z4" i="21"/>
  <c r="AK14" i="29"/>
  <c r="Z7" i="27"/>
  <c r="AE14" i="30"/>
  <c r="Y2" i="20"/>
  <c r="H27" i="1" s="1"/>
  <c r="AJ7" i="18"/>
  <c r="AA14" i="20"/>
  <c r="AC2" i="16"/>
  <c r="L16" i="1" s="1"/>
  <c r="AH13" i="19"/>
  <c r="Z2" i="14"/>
  <c r="I13" i="1" s="1"/>
  <c r="AI2" i="15"/>
  <c r="C15" i="1"/>
  <c r="X2" i="8"/>
  <c r="L7" i="1" s="1"/>
  <c r="AE2" i="4"/>
  <c r="AG2" i="2"/>
  <c r="AJ4" i="3"/>
  <c r="T2" i="3"/>
  <c r="S2" i="6"/>
  <c r="G5" i="1" s="1"/>
  <c r="O2" i="28"/>
  <c r="AC2" i="25"/>
  <c r="L21" i="1" s="1"/>
  <c r="AJ8" i="22"/>
  <c r="Y14" i="29"/>
  <c r="E34" i="1" s="1"/>
  <c r="T2" i="24"/>
  <c r="AJ4" i="24"/>
  <c r="AG14" i="30"/>
  <c r="AE2" i="16"/>
  <c r="AA2" i="20"/>
  <c r="J27" i="1" s="1"/>
  <c r="AJ7" i="15"/>
  <c r="AI7" i="15" s="1"/>
  <c r="AG14" i="20"/>
  <c r="AF2" i="16"/>
  <c r="AJ20" i="18"/>
  <c r="T2" i="10"/>
  <c r="H18" i="1" s="1"/>
  <c r="AA2" i="14"/>
  <c r="J13" i="1" s="1"/>
  <c r="Z8" i="10"/>
  <c r="AJ25" i="3"/>
  <c r="X2" i="4"/>
  <c r="G25" i="1" s="1"/>
  <c r="U2" i="4"/>
  <c r="D25" i="1" s="1"/>
  <c r="AG2" i="4"/>
  <c r="Z8" i="6"/>
  <c r="Z2" i="32"/>
  <c r="I44" i="1" s="1"/>
  <c r="V2" i="32"/>
  <c r="E44" i="1" s="1"/>
  <c r="W20" i="32"/>
  <c r="F46" i="1" s="1"/>
  <c r="U2" i="3"/>
  <c r="D24" i="1" s="1"/>
  <c r="U2" i="6"/>
  <c r="I5" i="1" s="1"/>
  <c r="T14" i="30"/>
  <c r="C43" i="1" s="1"/>
  <c r="AB2" i="20"/>
  <c r="K27" i="1" s="1"/>
  <c r="AC16" i="18"/>
  <c r="L9" i="1" s="1"/>
  <c r="AH14" i="20"/>
  <c r="AB2" i="14"/>
  <c r="K13" i="1" s="1"/>
  <c r="X2" i="5"/>
  <c r="L4" i="1" s="1"/>
  <c r="Y2" i="4"/>
  <c r="H25" i="1" s="1"/>
  <c r="AJ8" i="32"/>
  <c r="W2" i="2"/>
  <c r="F23" i="1" s="1"/>
  <c r="AB2" i="3"/>
  <c r="K24" i="1" s="1"/>
  <c r="O2" i="5"/>
  <c r="AJ12" i="34"/>
  <c r="AF27" i="30"/>
  <c r="AI14" i="29"/>
  <c r="AB2" i="24"/>
  <c r="K20" i="1" s="1"/>
  <c r="U14" i="30"/>
  <c r="D43" i="1" s="1"/>
  <c r="AJ7" i="22"/>
  <c r="U2" i="22"/>
  <c r="D29" i="1" s="1"/>
  <c r="AD2" i="15"/>
  <c r="AE16" i="18"/>
  <c r="AE14" i="20"/>
  <c r="AJ5" i="18"/>
  <c r="AI22" i="19"/>
  <c r="R2" i="9"/>
  <c r="F8" i="1" s="1"/>
  <c r="AJ6" i="3"/>
  <c r="Q2" i="10"/>
  <c r="E18" i="1" s="1"/>
  <c r="AJ23" i="2"/>
  <c r="AJ9" i="3"/>
  <c r="W2" i="32"/>
  <c r="F44" i="1" s="1"/>
  <c r="AD2" i="3"/>
  <c r="AJ13" i="32"/>
  <c r="Z10" i="6"/>
  <c r="AF15" i="2"/>
  <c r="Z5" i="6"/>
  <c r="O2" i="6"/>
  <c r="AJ2" i="29"/>
  <c r="O2" i="26"/>
  <c r="Z4" i="26"/>
  <c r="Z7" i="26"/>
  <c r="AD14" i="29"/>
  <c r="J34" i="1" s="1"/>
  <c r="AJ11" i="34"/>
  <c r="AJ59" i="34"/>
  <c r="AH34" i="34"/>
  <c r="AA42" i="29"/>
  <c r="T36" i="31"/>
  <c r="C48" i="1" s="1"/>
  <c r="T27" i="30"/>
  <c r="AB14" i="29"/>
  <c r="H34" i="1" s="1"/>
  <c r="AD2" i="24"/>
  <c r="AJ7" i="23"/>
  <c r="X14" i="30"/>
  <c r="G43" i="1" s="1"/>
  <c r="AG2" i="19"/>
  <c r="AF2" i="20"/>
  <c r="AG16" i="18"/>
  <c r="AF14" i="20"/>
  <c r="AJ23" i="16"/>
  <c r="AD2" i="14"/>
  <c r="AJ22" i="32"/>
  <c r="AJ19" i="2"/>
  <c r="X2" i="9"/>
  <c r="L8" i="1" s="1"/>
  <c r="AD2" i="4"/>
  <c r="AJ24" i="32"/>
  <c r="X2" i="32"/>
  <c r="G44" i="1" s="1"/>
  <c r="AJ17" i="2"/>
  <c r="T15" i="2"/>
  <c r="AI15" i="2" s="1"/>
  <c r="AE2" i="3"/>
  <c r="T20" i="32"/>
  <c r="Y18" i="34"/>
  <c r="H36" i="1" s="1"/>
  <c r="AJ25" i="34"/>
  <c r="AJ10" i="24"/>
  <c r="X42" i="29"/>
  <c r="Q2" i="26"/>
  <c r="E22" i="1" s="1"/>
  <c r="V27" i="30"/>
  <c r="AH2" i="25"/>
  <c r="AJ18" i="18"/>
  <c r="T16" i="18"/>
  <c r="AB14" i="20"/>
  <c r="AI8" i="15"/>
  <c r="AJ4" i="12"/>
  <c r="V2" i="12"/>
  <c r="E14" i="1" s="1"/>
  <c r="AE2" i="14"/>
  <c r="AJ24" i="18"/>
  <c r="Z4" i="9"/>
  <c r="O2" i="9"/>
  <c r="AC2" i="4"/>
  <c r="L25" i="1" s="1"/>
  <c r="Z7" i="6"/>
  <c r="Y2" i="32"/>
  <c r="H44" i="1" s="1"/>
  <c r="T33" i="32"/>
  <c r="AJ5" i="32"/>
  <c r="Z4" i="11"/>
  <c r="Y4" i="11" s="1"/>
  <c r="Z2" i="3"/>
  <c r="I24" i="1" s="1"/>
  <c r="AJ39" i="34"/>
  <c r="W2" i="26"/>
  <c r="K22" i="1" s="1"/>
  <c r="Y49" i="34"/>
  <c r="H38" i="1" s="1"/>
  <c r="AJ57" i="34"/>
  <c r="AJ55" i="34"/>
  <c r="X49" i="34"/>
  <c r="G38" i="1" s="1"/>
  <c r="AJ31" i="34"/>
  <c r="W2" i="31"/>
  <c r="F47" i="1" s="1"/>
  <c r="X2" i="31"/>
  <c r="G47" i="1" s="1"/>
  <c r="AG27" i="29"/>
  <c r="AJ14" i="29"/>
  <c r="AH2" i="24"/>
  <c r="AJ9" i="23"/>
  <c r="Y14" i="30"/>
  <c r="H43" i="1" s="1"/>
  <c r="AH2" i="29"/>
  <c r="Z2" i="20"/>
  <c r="I27" i="1" s="1"/>
  <c r="AG49" i="34"/>
  <c r="AB18" i="34"/>
  <c r="K36" i="1" s="1"/>
  <c r="AB2" i="31"/>
  <c r="K47" i="1" s="1"/>
  <c r="AJ5" i="34"/>
  <c r="T2" i="34"/>
  <c r="AH27" i="29"/>
  <c r="W36" i="31"/>
  <c r="F48" i="1" s="1"/>
  <c r="AM2" i="29"/>
  <c r="AD27" i="30"/>
  <c r="AH14" i="29"/>
  <c r="V2" i="24"/>
  <c r="E20" i="1" s="1"/>
  <c r="AJ36" i="18"/>
  <c r="AB14" i="30"/>
  <c r="K43" i="1" s="1"/>
  <c r="AE2" i="20"/>
  <c r="AH2" i="16"/>
  <c r="V2" i="20"/>
  <c r="E27" i="1" s="1"/>
  <c r="U16" i="18"/>
  <c r="D9" i="1" s="1"/>
  <c r="AJ20" i="16"/>
  <c r="V14" i="20"/>
  <c r="Y2" i="13"/>
  <c r="H12" i="1" s="1"/>
  <c r="Z6" i="11"/>
  <c r="Y6" i="11" s="1"/>
  <c r="AD29" i="3"/>
  <c r="Y2" i="12"/>
  <c r="H14" i="1" s="1"/>
  <c r="AG2" i="14"/>
  <c r="AH2" i="12"/>
  <c r="Z9" i="5"/>
  <c r="AJ12" i="32"/>
  <c r="Q2" i="9"/>
  <c r="E8" i="1" s="1"/>
  <c r="Z7" i="17"/>
  <c r="Y7" i="17" s="1"/>
  <c r="AF2" i="4"/>
  <c r="AG2" i="32"/>
  <c r="AJ35" i="32"/>
  <c r="AG2" i="3"/>
  <c r="AB2" i="34"/>
  <c r="K35" i="1" s="1"/>
  <c r="X2" i="29"/>
  <c r="D33" i="1" s="1"/>
  <c r="W14" i="29"/>
  <c r="C34" i="1" s="1"/>
  <c r="W2" i="24"/>
  <c r="F20" i="1" s="1"/>
  <c r="AC14" i="30"/>
  <c r="L43" i="1" s="1"/>
  <c r="AJ9" i="22"/>
  <c r="W16" i="18"/>
  <c r="F9" i="1" s="1"/>
  <c r="U2" i="15"/>
  <c r="D15" i="1" s="1"/>
  <c r="AJ4" i="15"/>
  <c r="AI4" i="15" s="1"/>
  <c r="AJ4" i="13"/>
  <c r="T2" i="13"/>
  <c r="U2" i="14"/>
  <c r="D13" i="1" s="1"/>
  <c r="AA2" i="13"/>
  <c r="J12" i="1" s="1"/>
  <c r="AJ7" i="2"/>
  <c r="T2" i="4"/>
  <c r="AJ4" i="4"/>
  <c r="AH2" i="32"/>
  <c r="V2" i="3"/>
  <c r="E24" i="1" s="1"/>
  <c r="P2" i="33"/>
  <c r="D53" i="1" s="1"/>
  <c r="D52" i="1" s="1"/>
  <c r="Z4" i="33"/>
  <c r="Y4" i="33" s="1"/>
  <c r="AE27" i="30"/>
  <c r="AF49" i="34"/>
  <c r="AJ45" i="34"/>
  <c r="Z49" i="34"/>
  <c r="I38" i="1" s="1"/>
  <c r="AC2" i="29"/>
  <c r="I33" i="1" s="1"/>
  <c r="AJ11" i="25"/>
  <c r="AI11" i="25" s="1"/>
  <c r="AH27" i="30"/>
  <c r="P2" i="27"/>
  <c r="D31" i="1" s="1"/>
  <c r="X14" i="29"/>
  <c r="D34" i="1" s="1"/>
  <c r="AE2" i="23"/>
  <c r="AD14" i="30"/>
  <c r="Z7" i="21"/>
  <c r="Z16" i="18"/>
  <c r="I9" i="1" s="1"/>
  <c r="Y16" i="18"/>
  <c r="H9" i="1" s="1"/>
  <c r="AG2" i="22"/>
  <c r="AJ9" i="14"/>
  <c r="Y2" i="15"/>
  <c r="H15" i="1" s="1"/>
  <c r="Y13" i="19"/>
  <c r="AH2" i="14"/>
  <c r="T2" i="18"/>
  <c r="P2" i="7"/>
  <c r="D6" i="1" s="1"/>
  <c r="U2" i="9"/>
  <c r="I8" i="1" s="1"/>
  <c r="W2" i="4"/>
  <c r="F25" i="1" s="1"/>
  <c r="AJ21" i="3"/>
  <c r="T2" i="32"/>
  <c r="AJ4" i="32"/>
  <c r="Y2" i="3"/>
  <c r="H24" i="1" s="1"/>
  <c r="AJ33" i="3"/>
  <c r="AD2" i="31"/>
  <c r="C47" i="1"/>
  <c r="V2" i="25"/>
  <c r="E21" i="1" s="1"/>
  <c r="AH2" i="22"/>
  <c r="Z13" i="19"/>
  <c r="V2" i="14"/>
  <c r="E13" i="1" s="1"/>
  <c r="X15" i="3"/>
  <c r="AJ26" i="32"/>
  <c r="V2" i="2"/>
  <c r="E23" i="1" s="1"/>
  <c r="U2" i="32"/>
  <c r="D44" i="1" s="1"/>
  <c r="AC2" i="3"/>
  <c r="L24" i="1" s="1"/>
  <c r="O2" i="27"/>
  <c r="Z4" i="27"/>
  <c r="AE14" i="29"/>
  <c r="K34" i="1" s="1"/>
  <c r="Y2" i="31"/>
  <c r="H47" i="1" s="1"/>
  <c r="U21" i="31"/>
  <c r="D54" i="1" s="1"/>
  <c r="R2" i="27"/>
  <c r="F31" i="1" s="1"/>
  <c r="AG14" i="29"/>
  <c r="X2" i="23"/>
  <c r="G30" i="1" s="1"/>
  <c r="AJ8" i="25"/>
  <c r="T14" i="13"/>
  <c r="AI14" i="13" s="1"/>
  <c r="AJ16" i="13"/>
  <c r="AJ9" i="18"/>
  <c r="AB2" i="13"/>
  <c r="K12" i="1" s="1"/>
  <c r="AJ4" i="16"/>
  <c r="AG13" i="19"/>
  <c r="W2" i="13"/>
  <c r="F12" i="1" s="1"/>
  <c r="W2" i="9"/>
  <c r="K8" i="1" s="1"/>
  <c r="AB15" i="3"/>
  <c r="AC2" i="32"/>
  <c r="L44" i="1" s="1"/>
  <c r="AJ11" i="32"/>
  <c r="AH2" i="3"/>
  <c r="V15" i="2"/>
  <c r="AJ53" i="34"/>
  <c r="X18" i="34"/>
  <c r="G36" i="1" s="1"/>
  <c r="AH14" i="30"/>
  <c r="AG42" i="29"/>
  <c r="W2" i="27"/>
  <c r="K31" i="1" s="1"/>
  <c r="Z14" i="29"/>
  <c r="F34" i="1" s="1"/>
  <c r="AA14" i="29"/>
  <c r="G34" i="1" s="1"/>
  <c r="AC2" i="23"/>
  <c r="L30" i="1" s="1"/>
  <c r="W31" i="18"/>
  <c r="F11" i="1" s="1"/>
  <c r="AD14" i="13"/>
  <c r="AD2" i="13"/>
  <c r="V2" i="13"/>
  <c r="E12" i="1" s="1"/>
  <c r="Z8" i="26"/>
  <c r="V13" i="19"/>
  <c r="X2" i="10"/>
  <c r="L18" i="1" s="1"/>
  <c r="W2" i="12"/>
  <c r="F14" i="1" s="1"/>
  <c r="AJ7" i="4"/>
  <c r="AG15" i="3"/>
  <c r="AA2" i="32"/>
  <c r="J44" i="1" s="1"/>
  <c r="AE2" i="32"/>
  <c r="AA15" i="2"/>
  <c r="AJ6" i="22"/>
  <c r="AA18" i="34"/>
  <c r="J36" i="1" s="1"/>
  <c r="W2" i="34"/>
  <c r="F35" i="1" s="1"/>
  <c r="V21" i="31"/>
  <c r="E54" i="1" s="1"/>
  <c r="AJ38" i="34"/>
  <c r="AF34" i="34"/>
  <c r="W21" i="31"/>
  <c r="F54" i="1" s="1"/>
  <c r="U2" i="30"/>
  <c r="D42" i="1" s="1"/>
  <c r="AI42" i="29"/>
  <c r="W2" i="25"/>
  <c r="F21" i="1" s="1"/>
  <c r="AA21" i="31"/>
  <c r="J54" i="1" s="1"/>
  <c r="X2" i="27"/>
  <c r="L31" i="1" s="1"/>
  <c r="AF14" i="29"/>
  <c r="L34" i="1" s="1"/>
  <c r="AJ9" i="20"/>
  <c r="AI9" i="20" s="1"/>
  <c r="AJ6" i="18"/>
  <c r="Z31" i="18"/>
  <c r="I11" i="1" s="1"/>
  <c r="AI12" i="25"/>
  <c r="Z2" i="19"/>
  <c r="I26" i="1" s="1"/>
  <c r="S2" i="27"/>
  <c r="G31" i="1" s="1"/>
  <c r="V2" i="18"/>
  <c r="E10" i="1" s="1"/>
  <c r="AF2" i="15"/>
  <c r="AH2" i="13"/>
  <c r="AJ9" i="13"/>
  <c r="P2" i="17"/>
  <c r="D17" i="1" s="1"/>
  <c r="AD14" i="20"/>
  <c r="W2" i="16"/>
  <c r="F16" i="1" s="1"/>
  <c r="Z14" i="20"/>
  <c r="W13" i="19"/>
  <c r="AF2" i="12"/>
  <c r="AJ8" i="12"/>
  <c r="X2" i="13"/>
  <c r="G12" i="1" s="1"/>
  <c r="Z5" i="17"/>
  <c r="Y5" i="17" s="1"/>
  <c r="AJ10" i="3"/>
  <c r="V2" i="8"/>
  <c r="J7" i="1" s="1"/>
  <c r="Y11" i="17"/>
  <c r="W15" i="3"/>
  <c r="AB33" i="32"/>
  <c r="K45" i="1" s="1"/>
  <c r="AJ32" i="3"/>
  <c r="AJ16" i="32"/>
  <c r="X2" i="3"/>
  <c r="G24" i="1" s="1"/>
  <c r="AF2" i="32"/>
  <c r="U2" i="13"/>
  <c r="D12" i="1" s="1"/>
  <c r="AB15" i="2"/>
  <c r="T21" i="31"/>
  <c r="W49" i="34"/>
  <c r="F38" i="1" s="1"/>
  <c r="U34" i="34"/>
  <c r="D37" i="1" s="1"/>
  <c r="AC2" i="31"/>
  <c r="L47" i="1" s="1"/>
  <c r="AJ7" i="25"/>
  <c r="AI7" i="25" s="1"/>
  <c r="AJ9" i="24"/>
  <c r="AJ16" i="16"/>
  <c r="T14" i="16"/>
  <c r="AI14" i="16" s="1"/>
  <c r="AJ21" i="19"/>
  <c r="AI21" i="19" s="1"/>
  <c r="AB16" i="18"/>
  <c r="K9" i="1" s="1"/>
  <c r="Y2" i="18"/>
  <c r="H10" i="1" s="1"/>
  <c r="AJ6" i="14"/>
  <c r="AJ15" i="19"/>
  <c r="AI15" i="19" s="1"/>
  <c r="AI14" i="19" s="1"/>
  <c r="T13" i="19"/>
  <c r="AI13" i="19" s="1"/>
  <c r="V2" i="7"/>
  <c r="J6" i="1" s="1"/>
  <c r="AJ34" i="3"/>
  <c r="AJ10" i="18"/>
  <c r="AJ25" i="2"/>
  <c r="AJ25" i="32"/>
  <c r="Z4" i="5"/>
  <c r="Z15" i="3"/>
  <c r="AC33" i="32"/>
  <c r="L45" i="1" s="1"/>
  <c r="AF2" i="2"/>
  <c r="AD2" i="32"/>
  <c r="AJ10" i="32"/>
  <c r="AE15" i="2"/>
  <c r="AA49" i="34"/>
  <c r="J38" i="1" s="1"/>
  <c r="AH42" i="29"/>
  <c r="AJ21" i="34"/>
  <c r="Z21" i="31"/>
  <c r="I54" i="1" s="1"/>
  <c r="V2" i="30"/>
  <c r="E42" i="1" s="1"/>
  <c r="AC42" i="29"/>
  <c r="Z5" i="28"/>
  <c r="V2" i="27"/>
  <c r="J31" i="1" s="1"/>
  <c r="AH2" i="19"/>
  <c r="Z6" i="28"/>
  <c r="X21" i="31"/>
  <c r="G54" i="1" s="1"/>
  <c r="W2" i="30"/>
  <c r="F42" i="1" s="1"/>
  <c r="T2" i="22"/>
  <c r="Y2" i="19"/>
  <c r="H26" i="1" s="1"/>
  <c r="V2" i="21"/>
  <c r="J28" i="1" s="1"/>
  <c r="AF2" i="19"/>
  <c r="AJ8" i="18"/>
  <c r="W14" i="16"/>
  <c r="Y9" i="17"/>
  <c r="AE2" i="18"/>
  <c r="AE2" i="15"/>
  <c r="AA2" i="22"/>
  <c r="J29" i="1" s="1"/>
  <c r="R2" i="11"/>
  <c r="F19" i="1" s="1"/>
  <c r="AB2" i="16"/>
  <c r="K16" i="1" s="1"/>
  <c r="AJ8" i="20"/>
  <c r="AI8" i="20" s="1"/>
  <c r="X2" i="15"/>
  <c r="G15" i="1" s="1"/>
  <c r="X13" i="19"/>
  <c r="AJ18" i="13"/>
  <c r="P2" i="10"/>
  <c r="D18" i="1" s="1"/>
  <c r="AI5" i="15"/>
  <c r="Z12" i="5"/>
  <c r="AE15" i="3"/>
  <c r="X2" i="2"/>
  <c r="G23" i="1" s="1"/>
  <c r="AJ27" i="32"/>
  <c r="X15" i="2"/>
  <c r="AI2" i="34" l="1"/>
  <c r="C35" i="1"/>
  <c r="AI2" i="22"/>
  <c r="AI9" i="22" s="1"/>
  <c r="C29" i="1"/>
  <c r="AI25" i="2"/>
  <c r="Y4" i="26"/>
  <c r="AI19" i="3"/>
  <c r="AI2" i="14"/>
  <c r="C13" i="1"/>
  <c r="AI5" i="24"/>
  <c r="N37" i="1"/>
  <c r="M37" i="1"/>
  <c r="AI9" i="14"/>
  <c r="AI55" i="34"/>
  <c r="Y2" i="26"/>
  <c r="C22" i="1"/>
  <c r="N15" i="1"/>
  <c r="M15" i="1"/>
  <c r="AI10" i="13"/>
  <c r="Y12" i="8"/>
  <c r="N19" i="1"/>
  <c r="M19" i="1"/>
  <c r="AI34" i="3"/>
  <c r="AI53" i="34"/>
  <c r="AI57" i="34"/>
  <c r="AI16" i="18"/>
  <c r="C9" i="1"/>
  <c r="AI12" i="15"/>
  <c r="AI9" i="15"/>
  <c r="AI21" i="34"/>
  <c r="AI2" i="4"/>
  <c r="C25" i="1"/>
  <c r="AI10" i="34"/>
  <c r="Y2" i="8"/>
  <c r="Y4" i="8" s="1"/>
  <c r="C7" i="1"/>
  <c r="AI7" i="4"/>
  <c r="Y2" i="6"/>
  <c r="Y10" i="6" s="1"/>
  <c r="C5" i="1"/>
  <c r="AI7" i="22"/>
  <c r="AI9" i="34"/>
  <c r="Y8" i="26"/>
  <c r="AI39" i="34"/>
  <c r="C6" i="1"/>
  <c r="Y2" i="7"/>
  <c r="AI20" i="34"/>
  <c r="M43" i="1"/>
  <c r="N43" i="1"/>
  <c r="AI10" i="15"/>
  <c r="AI4" i="23"/>
  <c r="AI3" i="23" s="1"/>
  <c r="AI36" i="3"/>
  <c r="AI4" i="24"/>
  <c r="AI27" i="34"/>
  <c r="Y2" i="10"/>
  <c r="Y6" i="10" s="1"/>
  <c r="C18" i="1"/>
  <c r="AI51" i="34"/>
  <c r="AI22" i="16"/>
  <c r="Y2" i="27"/>
  <c r="C31" i="1"/>
  <c r="C12" i="1"/>
  <c r="AI2" i="13"/>
  <c r="AI5" i="34"/>
  <c r="AI2" i="24"/>
  <c r="AI10" i="24" s="1"/>
  <c r="C20" i="1"/>
  <c r="AI49" i="34"/>
  <c r="C38" i="1"/>
  <c r="M47" i="1"/>
  <c r="N47" i="1"/>
  <c r="AI4" i="13"/>
  <c r="AI3" i="13" s="1"/>
  <c r="AI12" i="34"/>
  <c r="C4" i="1"/>
  <c r="Y2" i="5"/>
  <c r="Y9" i="5" s="1"/>
  <c r="AI8" i="22"/>
  <c r="AI2" i="23"/>
  <c r="C30" i="1"/>
  <c r="AI37" i="34"/>
  <c r="AI11" i="15"/>
  <c r="AI5" i="23"/>
  <c r="C16" i="1"/>
  <c r="AI2" i="16"/>
  <c r="AI7" i="16" s="1"/>
  <c r="M21" i="1"/>
  <c r="N21" i="1"/>
  <c r="AI25" i="34"/>
  <c r="AI9" i="24"/>
  <c r="AI23" i="2"/>
  <c r="AI41" i="34"/>
  <c r="AI21" i="16"/>
  <c r="AI20" i="16"/>
  <c r="C46" i="1"/>
  <c r="AI20" i="32"/>
  <c r="Y8" i="6"/>
  <c r="AI31" i="18"/>
  <c r="C11" i="1"/>
  <c r="AI21" i="13"/>
  <c r="Y2" i="28"/>
  <c r="Y5" i="28" s="1"/>
  <c r="C32" i="1"/>
  <c r="AI17" i="3"/>
  <c r="C44" i="1"/>
  <c r="AI2" i="32"/>
  <c r="AI24" i="32" s="1"/>
  <c r="M48" i="1"/>
  <c r="N48" i="1"/>
  <c r="Y2" i="21"/>
  <c r="Y6" i="21" s="1"/>
  <c r="C28" i="1"/>
  <c r="AI54" i="34"/>
  <c r="AI4" i="25"/>
  <c r="AI38" i="34"/>
  <c r="AI45" i="34"/>
  <c r="C8" i="1"/>
  <c r="Y2" i="9"/>
  <c r="Y6" i="9" s="1"/>
  <c r="AI2" i="3"/>
  <c r="AI5" i="3" s="1"/>
  <c r="C24" i="1"/>
  <c r="AI10" i="12"/>
  <c r="AI2" i="2"/>
  <c r="AI7" i="2" s="1"/>
  <c r="C23" i="1"/>
  <c r="AI10" i="25"/>
  <c r="AI44" i="34"/>
  <c r="Y4" i="9"/>
  <c r="Y6" i="17"/>
  <c r="AI58" i="34"/>
  <c r="AI8" i="24"/>
  <c r="N26" i="1"/>
  <c r="M26" i="1"/>
  <c r="M17" i="1"/>
  <c r="N17" i="1"/>
  <c r="AI42" i="34"/>
  <c r="Y9" i="27"/>
  <c r="N36" i="1"/>
  <c r="M36" i="1"/>
  <c r="AI16" i="13"/>
  <c r="AI15" i="13" s="1"/>
  <c r="Y6" i="27"/>
  <c r="Y7" i="8"/>
  <c r="C14" i="1"/>
  <c r="AI2" i="12"/>
  <c r="Y10" i="9"/>
  <c r="AI10" i="3"/>
  <c r="AI8" i="12"/>
  <c r="C45" i="1"/>
  <c r="AI33" i="32"/>
  <c r="AI37" i="32" s="1"/>
  <c r="N34" i="1"/>
  <c r="M34" i="1"/>
  <c r="Y4" i="7"/>
  <c r="AI18" i="13"/>
  <c r="AI2" i="18"/>
  <c r="AI7" i="18" s="1"/>
  <c r="C10" i="1"/>
  <c r="AI11" i="34"/>
  <c r="AI8" i="2"/>
  <c r="Y4" i="5"/>
  <c r="AI6" i="22"/>
  <c r="AI8" i="25"/>
  <c r="AI36" i="18"/>
  <c r="AI17" i="19"/>
  <c r="AI21" i="18"/>
  <c r="AI16" i="19"/>
  <c r="N27" i="1"/>
  <c r="M27" i="1"/>
  <c r="AI6" i="14"/>
  <c r="AD21" i="31"/>
  <c r="C54" i="1"/>
  <c r="AI59" i="34"/>
  <c r="AI6" i="15"/>
  <c r="Y8" i="17"/>
  <c r="AI35" i="32"/>
  <c r="AI31" i="34"/>
  <c r="AI4" i="12"/>
  <c r="AI3" i="12" s="1"/>
  <c r="Y7" i="26"/>
  <c r="AI20" i="18"/>
  <c r="Y4" i="17"/>
  <c r="AI4" i="14"/>
  <c r="AI3" i="14" s="1"/>
  <c r="AI20" i="19"/>
  <c r="AI5" i="25"/>
  <c r="AI11" i="20"/>
  <c r="AI24" i="20"/>
  <c r="N6" i="1" l="1"/>
  <c r="M6" i="1"/>
  <c r="AI11" i="4"/>
  <c r="AI8" i="4"/>
  <c r="AI6" i="4"/>
  <c r="AI10" i="4"/>
  <c r="AI5" i="4"/>
  <c r="AI12" i="4"/>
  <c r="AI9" i="4"/>
  <c r="N54" i="1"/>
  <c r="M54" i="1"/>
  <c r="AI22" i="13"/>
  <c r="AI5" i="13"/>
  <c r="AI11" i="13"/>
  <c r="AI8" i="13"/>
  <c r="AI17" i="13"/>
  <c r="AI20" i="13"/>
  <c r="AI24" i="13"/>
  <c r="AI19" i="13"/>
  <c r="AI7" i="13"/>
  <c r="AI23" i="13"/>
  <c r="AI6" i="13"/>
  <c r="AI9" i="13"/>
  <c r="M12" i="1"/>
  <c r="N12" i="1"/>
  <c r="Y5" i="6"/>
  <c r="Y6" i="28"/>
  <c r="AI32" i="3"/>
  <c r="AI8" i="32"/>
  <c r="N30" i="1"/>
  <c r="M30" i="1"/>
  <c r="AI8" i="18"/>
  <c r="AI4" i="2"/>
  <c r="AI11" i="23"/>
  <c r="AI10" i="23"/>
  <c r="AI6" i="23"/>
  <c r="M31" i="1"/>
  <c r="N31" i="1"/>
  <c r="Y12" i="5"/>
  <c r="AI10" i="18"/>
  <c r="N28" i="1"/>
  <c r="M28" i="1"/>
  <c r="AI6" i="32"/>
  <c r="Y10" i="27"/>
  <c r="Y11" i="27"/>
  <c r="Y8" i="27"/>
  <c r="Y5" i="27"/>
  <c r="AI11" i="32"/>
  <c r="N45" i="1"/>
  <c r="M45" i="1"/>
  <c r="Y4" i="27"/>
  <c r="Y5" i="21"/>
  <c r="Y10" i="21"/>
  <c r="Y8" i="21"/>
  <c r="AI35" i="3"/>
  <c r="AI4" i="3"/>
  <c r="AI6" i="3"/>
  <c r="AI9" i="3"/>
  <c r="Y13" i="5"/>
  <c r="Y11" i="5"/>
  <c r="Y6" i="5"/>
  <c r="Y8" i="5"/>
  <c r="Y7" i="5"/>
  <c r="Y10" i="5"/>
  <c r="Y5" i="5"/>
  <c r="Y7" i="21"/>
  <c r="N4" i="1"/>
  <c r="M4" i="1"/>
  <c r="AI6" i="18"/>
  <c r="M9" i="1"/>
  <c r="N9" i="1"/>
  <c r="AI7" i="23"/>
  <c r="AI27" i="18"/>
  <c r="AI26" i="18"/>
  <c r="AI28" i="18"/>
  <c r="AI25" i="18"/>
  <c r="AI22" i="18"/>
  <c r="AI23" i="18"/>
  <c r="AI19" i="18"/>
  <c r="AI5" i="18"/>
  <c r="AI11" i="12"/>
  <c r="AI5" i="12"/>
  <c r="AI9" i="12"/>
  <c r="AI7" i="12"/>
  <c r="AI6" i="12"/>
  <c r="N18" i="1"/>
  <c r="M18" i="1"/>
  <c r="N14" i="1"/>
  <c r="M14" i="1"/>
  <c r="Y7" i="10"/>
  <c r="Y10" i="10"/>
  <c r="Y9" i="10"/>
  <c r="Y12" i="10"/>
  <c r="Y4" i="10"/>
  <c r="Y5" i="10"/>
  <c r="AI8" i="23"/>
  <c r="AI4" i="4"/>
  <c r="M13" i="1"/>
  <c r="N13" i="1"/>
  <c r="AI36" i="32"/>
  <c r="M44" i="1"/>
  <c r="N44" i="1"/>
  <c r="AI26" i="32"/>
  <c r="AI5" i="32"/>
  <c r="AI12" i="14"/>
  <c r="AI11" i="14"/>
  <c r="AI13" i="14"/>
  <c r="AI7" i="14"/>
  <c r="AI14" i="14"/>
  <c r="AI10" i="14"/>
  <c r="AI5" i="14"/>
  <c r="AI8" i="14"/>
  <c r="Y8" i="10"/>
  <c r="AI5" i="2"/>
  <c r="AI24" i="2"/>
  <c r="AI9" i="2"/>
  <c r="AI21" i="2"/>
  <c r="AI12" i="2"/>
  <c r="AI22" i="2"/>
  <c r="AI26" i="2"/>
  <c r="AI6" i="2"/>
  <c r="AI11" i="2"/>
  <c r="AI10" i="2"/>
  <c r="AI18" i="2"/>
  <c r="AI4" i="32"/>
  <c r="Y7" i="27"/>
  <c r="M5" i="1"/>
  <c r="N5" i="1"/>
  <c r="Y6" i="6"/>
  <c r="Y9" i="6"/>
  <c r="Y11" i="6"/>
  <c r="Y4" i="6"/>
  <c r="AI19" i="2"/>
  <c r="AI25" i="32"/>
  <c r="N24" i="1"/>
  <c r="M24" i="1"/>
  <c r="M32" i="1"/>
  <c r="N32" i="1"/>
  <c r="N38" i="1"/>
  <c r="M38" i="1"/>
  <c r="AI12" i="32"/>
  <c r="AI16" i="32"/>
  <c r="Y11" i="9"/>
  <c r="Y9" i="9"/>
  <c r="Y8" i="9"/>
  <c r="Y5" i="9"/>
  <c r="Y7" i="9"/>
  <c r="Y7" i="6"/>
  <c r="AI24" i="16"/>
  <c r="AI11" i="16"/>
  <c r="AI18" i="16"/>
  <c r="AI5" i="16"/>
  <c r="AI6" i="16"/>
  <c r="AI19" i="16"/>
  <c r="AI9" i="16"/>
  <c r="AI17" i="16"/>
  <c r="AI10" i="16"/>
  <c r="AI8" i="16"/>
  <c r="AI12" i="18"/>
  <c r="M7" i="1"/>
  <c r="N7" i="1"/>
  <c r="M29" i="1"/>
  <c r="N29" i="1"/>
  <c r="M23" i="1"/>
  <c r="N23" i="1"/>
  <c r="Y9" i="21"/>
  <c r="N16" i="1"/>
  <c r="M16" i="1"/>
  <c r="Y10" i="8"/>
  <c r="Y8" i="8"/>
  <c r="Y5" i="8"/>
  <c r="Y9" i="8"/>
  <c r="Y11" i="8"/>
  <c r="Y6" i="8"/>
  <c r="Y13" i="8"/>
  <c r="AI11" i="22"/>
  <c r="AI4" i="22"/>
  <c r="AI3" i="22" s="1"/>
  <c r="AI10" i="22"/>
  <c r="AI5" i="22"/>
  <c r="AI12" i="3"/>
  <c r="AI26" i="3"/>
  <c r="AI7" i="3"/>
  <c r="AI38" i="3"/>
  <c r="AI24" i="3"/>
  <c r="AI11" i="3"/>
  <c r="AI18" i="3"/>
  <c r="AI22" i="3"/>
  <c r="AI20" i="3"/>
  <c r="AI23" i="3"/>
  <c r="AI39" i="3"/>
  <c r="AI8" i="3"/>
  <c r="Y7" i="28"/>
  <c r="Y10" i="28"/>
  <c r="Y9" i="28"/>
  <c r="Y11" i="28"/>
  <c r="Y8" i="28"/>
  <c r="AI37" i="3"/>
  <c r="M22" i="1"/>
  <c r="N22" i="1"/>
  <c r="AI27" i="32"/>
  <c r="AI10" i="32"/>
  <c r="N10" i="1"/>
  <c r="M10" i="1"/>
  <c r="N8" i="1"/>
  <c r="M8" i="1"/>
  <c r="AI21" i="3"/>
  <c r="AI13" i="18"/>
  <c r="AI40" i="18"/>
  <c r="AI41" i="18"/>
  <c r="AI34" i="18"/>
  <c r="AI35" i="18"/>
  <c r="AI37" i="18"/>
  <c r="AI11" i="18"/>
  <c r="AI39" i="18"/>
  <c r="AI4" i="18"/>
  <c r="AI33" i="18"/>
  <c r="AI32" i="18" s="1"/>
  <c r="Y4" i="28"/>
  <c r="M20" i="1"/>
  <c r="N20" i="1"/>
  <c r="Y11" i="10"/>
  <c r="AI9" i="18"/>
  <c r="N35" i="1"/>
  <c r="M35" i="1"/>
  <c r="AI7" i="32"/>
  <c r="AI15" i="32"/>
  <c r="AI30" i="32"/>
  <c r="AI9" i="32"/>
  <c r="AI17" i="32"/>
  <c r="AI29" i="32"/>
  <c r="AI23" i="32"/>
  <c r="AI14" i="32"/>
  <c r="M11" i="1"/>
  <c r="N11" i="1"/>
  <c r="AI20" i="2"/>
  <c r="AI12" i="24"/>
  <c r="AI13" i="24"/>
  <c r="AI7" i="24"/>
  <c r="AI14" i="24"/>
  <c r="AI6" i="24"/>
  <c r="AI31" i="3"/>
  <c r="AI23" i="16"/>
  <c r="Y11" i="26"/>
  <c r="Y9" i="26"/>
  <c r="Y6" i="26"/>
  <c r="Y10" i="26"/>
  <c r="Y5" i="26"/>
  <c r="AI16" i="16"/>
  <c r="AI25" i="3"/>
  <c r="AI24" i="18"/>
  <c r="AI4" i="16"/>
  <c r="AI33" i="3"/>
  <c r="AI13" i="32"/>
  <c r="AI18" i="18"/>
  <c r="AI22" i="32"/>
  <c r="AI17" i="2"/>
  <c r="Y4" i="21"/>
  <c r="Y3" i="21" s="1"/>
  <c r="Y11" i="7"/>
  <c r="Y7" i="7"/>
  <c r="Y6" i="7"/>
  <c r="Y8" i="7"/>
  <c r="Y9" i="7"/>
  <c r="Y10" i="7"/>
  <c r="Y5" i="7"/>
  <c r="N25" i="1"/>
  <c r="M25" i="1"/>
  <c r="AI22" i="34"/>
  <c r="AI46" i="34"/>
  <c r="AI30" i="34"/>
  <c r="AI6" i="34"/>
  <c r="AI23" i="34"/>
  <c r="AI4" i="34"/>
  <c r="AI56" i="34"/>
  <c r="AI7" i="34"/>
  <c r="AI13" i="34"/>
  <c r="AI8" i="34"/>
  <c r="AI60" i="34"/>
  <c r="AI43" i="34"/>
  <c r="AI29" i="34"/>
  <c r="AI24" i="34"/>
  <c r="AI28" i="34"/>
  <c r="AI36" i="34"/>
  <c r="AI26" i="34"/>
  <c r="AI14" i="34"/>
  <c r="AI52" i="34"/>
  <c r="AI40" i="34"/>
</calcChain>
</file>

<file path=xl/sharedStrings.xml><?xml version="1.0" encoding="utf-8"?>
<sst xmlns="http://schemas.openxmlformats.org/spreadsheetml/2006/main" count="2189" uniqueCount="354">
  <si>
    <t>SCUDO</t>
  </si>
  <si>
    <t>PLANO DE MANUTENÇÃO</t>
  </si>
  <si>
    <t>CUSTOS DE MANUTENÇÃO [R$]</t>
  </si>
  <si>
    <t>Total</t>
  </si>
  <si>
    <t>Voltar Capa</t>
  </si>
  <si>
    <t>Nº</t>
  </si>
  <si>
    <t>ITENS DE SUBSTITUIÇÃO OBRIGATÓRIA</t>
  </si>
  <si>
    <t>PN</t>
  </si>
  <si>
    <t>P. PUB.</t>
  </si>
  <si>
    <t>1ª</t>
  </si>
  <si>
    <t>2ª</t>
  </si>
  <si>
    <t>3ª</t>
  </si>
  <si>
    <t>4ª</t>
  </si>
  <si>
    <t>5ª</t>
  </si>
  <si>
    <t>6ª</t>
  </si>
  <si>
    <t>7ª</t>
  </si>
  <si>
    <t>8ª</t>
  </si>
  <si>
    <t>9ª</t>
  </si>
  <si>
    <t>10ª</t>
  </si>
  <si>
    <t>11a</t>
  </si>
  <si>
    <t>12a</t>
  </si>
  <si>
    <t>13a</t>
  </si>
  <si>
    <t>14a</t>
  </si>
  <si>
    <t>15a</t>
  </si>
  <si>
    <t>% 100</t>
  </si>
  <si>
    <t>TTL 100</t>
  </si>
  <si>
    <t>ANEL DO BUJÃO</t>
  </si>
  <si>
    <t>9400164889</t>
  </si>
  <si>
    <t>FILTRO DE ÓLEO DO MOTOR</t>
  </si>
  <si>
    <t>155254505</t>
  </si>
  <si>
    <t>FILTRO COMBUSTIVEL</t>
  </si>
  <si>
    <t>155253599</t>
  </si>
  <si>
    <t>ELEMENTO DE FILTRO DE AR</t>
  </si>
  <si>
    <t>9813908880</t>
  </si>
  <si>
    <t>FILTRO DE PÓLEN</t>
  </si>
  <si>
    <t>6000655015</t>
  </si>
  <si>
    <t>CORREIA DE DISTRIBUIÇÃO</t>
  </si>
  <si>
    <t>155253981</t>
  </si>
  <si>
    <t>TENSOR CORREIA DE DISTRIBUIÇÃO</t>
  </si>
  <si>
    <t>155253938</t>
  </si>
  <si>
    <t>BOMBA D´AGUA</t>
  </si>
  <si>
    <t>155254522</t>
  </si>
  <si>
    <t>CORREIA DOS ÓRGÃOS AUXILIARES</t>
  </si>
  <si>
    <t>9813908180</t>
  </si>
  <si>
    <t>TENSOR CORREIA DOS ÓRGÃOS AUXILIARES</t>
  </si>
  <si>
    <t>155253564</t>
  </si>
  <si>
    <t>Fluído de Freio DOT4 (2 Anos)</t>
  </si>
  <si>
    <t>155255303</t>
  </si>
  <si>
    <t>Liquido de Arrefecimento Diluido -35° (DFS)</t>
  </si>
  <si>
    <t>7094488</t>
  </si>
  <si>
    <t>(80.000 ou 3 Anos o que ocorrer primeiro)</t>
  </si>
  <si>
    <t>OLEO MOTOR SAE 0W30 ACEA C1/C2 (1L)</t>
  </si>
  <si>
    <t>7094487</t>
  </si>
  <si>
    <t>TOTAL DE MÃO DE OBRA</t>
  </si>
  <si>
    <t>MO FIAT</t>
  </si>
  <si>
    <t>SCUDO 2.2D</t>
  </si>
  <si>
    <t xml:space="preserve">Elemento do filtro de óleo do motor </t>
  </si>
  <si>
    <t>46356228</t>
  </si>
  <si>
    <t>Elemento do filtor de Combustível</t>
  </si>
  <si>
    <t>9878309480</t>
  </si>
  <si>
    <t>Elemento do filtro de ar do motor</t>
  </si>
  <si>
    <t>9853098280</t>
  </si>
  <si>
    <t>Correia dos órgão auxiliares
(a cada 60.000 km ou 4 anos, o que ocorrer primeiro)</t>
  </si>
  <si>
    <t>46357071</t>
  </si>
  <si>
    <t>Correia dentada do comando da distribuição do motor
(a cada 120.000 km ou 4 anos, o que ocorrer primeiro)</t>
  </si>
  <si>
    <t>46356229</t>
  </si>
  <si>
    <t>Fluído de freio
(a cada 40.000 km ou 2 anos, o que ocorrer primeiro)</t>
  </si>
  <si>
    <t>155255304</t>
  </si>
  <si>
    <t>Substituição do líquido de arrefecimento do motor (a cada 240.000 km ou 10 anos, o que ocorrer primeiro)</t>
  </si>
  <si>
    <t>K68163849LA</t>
  </si>
  <si>
    <t>Mopar Maxpro Syntetic Diesel DPF C2 5W30</t>
  </si>
  <si>
    <t>K68231015LA_F</t>
  </si>
  <si>
    <t>e-SCUDO</t>
  </si>
  <si>
    <t>PREÇO PARA PUBLICAÇÃO - MAR.26</t>
  </si>
  <si>
    <t>a cada 10.000 Km ou 1 ano</t>
  </si>
  <si>
    <t>Ano / Modelo</t>
  </si>
  <si>
    <t>1ª revisão</t>
  </si>
  <si>
    <t>2ª revisão</t>
  </si>
  <si>
    <t>3ª revisão</t>
  </si>
  <si>
    <t>4ª revisão</t>
  </si>
  <si>
    <t>5ª revisão</t>
  </si>
  <si>
    <t>6ª revisão</t>
  </si>
  <si>
    <t>7ª revisão</t>
  </si>
  <si>
    <t>8ª revisão</t>
  </si>
  <si>
    <t>9ª revisão</t>
  </si>
  <si>
    <t>10ª revisão</t>
  </si>
  <si>
    <t>TITANO MANUAL</t>
  </si>
  <si>
    <t>TITANO AUTOMÁTICO</t>
  </si>
  <si>
    <t>a cada 20.000 Km ou 1 ano</t>
  </si>
  <si>
    <t>Modelo e Motorização</t>
  </si>
  <si>
    <t>1a revisão</t>
  </si>
  <si>
    <t>2a revisão</t>
  </si>
  <si>
    <t>3a revisão</t>
  </si>
  <si>
    <t>4a revisão</t>
  </si>
  <si>
    <t>5a revisão</t>
  </si>
  <si>
    <t>6a revisão</t>
  </si>
  <si>
    <t>7a revisão</t>
  </si>
  <si>
    <t>8a revisão</t>
  </si>
  <si>
    <t>9a revisão</t>
  </si>
  <si>
    <t>10a revisão</t>
  </si>
  <si>
    <t>a cada 15.000 Km ou 1 ano</t>
  </si>
  <si>
    <t>CRONOS 1.0 até MY26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</si>
  <si>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</si>
  <si>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</si>
  <si>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</si>
  <si>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</si>
  <si>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</si>
  <si>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</si>
  <si>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</si>
  <si>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</si>
  <si>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</si>
  <si>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</si>
  <si>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Filtro de Óleo do Motor</t>
  </si>
  <si>
    <t>7094709</t>
  </si>
  <si>
    <t>Filtro de Combustível</t>
  </si>
  <si>
    <t>52162685</t>
  </si>
  <si>
    <t>Filtro de Ar</t>
  </si>
  <si>
    <t>52046268</t>
  </si>
  <si>
    <t>Velas de Ignição</t>
  </si>
  <si>
    <t>55267995</t>
  </si>
  <si>
    <t>Correia dos Órgãos Auxiliares</t>
  </si>
  <si>
    <t>55267966</t>
  </si>
  <si>
    <t>Óleo da caixa de cambio mecanica - SAE 75W – API GL4</t>
  </si>
  <si>
    <t>7095576</t>
  </si>
  <si>
    <t>MOPAR BRAKE FLUID DOT 4 - A cada 2 anos</t>
  </si>
  <si>
    <t>K04549625LA_F</t>
  </si>
  <si>
    <t>MOPAR MAXPRO SYNTHETIC 0W20 (SP/GF-6A)</t>
  </si>
  <si>
    <t>K68218951LA_F</t>
  </si>
  <si>
    <t>Tempo Padrão de Mão-De-Obra [horas]</t>
  </si>
  <si>
    <t>CRONOS 1.0 MY27</t>
  </si>
  <si>
    <t xml:space="preserve">Filtro de óleo do motor </t>
  </si>
  <si>
    <t>Filtro de ar limpo do canister</t>
  </si>
  <si>
    <t>7096883</t>
  </si>
  <si>
    <t>Velas de ignição do motor (a cada 40.000 km, independente do tempo)</t>
  </si>
  <si>
    <t>Correia dos órgão auxiliares (a cada 60.000 km ou 4 anos, o que ocorrer primeiro)</t>
  </si>
  <si>
    <t>Substituição do óleo da caixa de cambio mecanica</t>
  </si>
  <si>
    <t>Fluído de freio (a cada 40.000 km ou 2 anos, ou que ocurrer primeiro)</t>
  </si>
  <si>
    <t>Óleo do motor - MOPAR MAXPRO SYNTHETIC 0W20 (SP/GF-6A)</t>
  </si>
  <si>
    <t>CRONOS 1.3 até MY26</t>
  </si>
  <si>
    <t xml:space="preserve">8a </t>
  </si>
  <si>
    <t xml:space="preserve">9a </t>
  </si>
  <si>
    <t>CRONOS 1.3 MY27 MT</t>
  </si>
  <si>
    <t>CRONOS 1.3 MY27 AT</t>
  </si>
  <si>
    <t>CRONOS 1.8</t>
  </si>
  <si>
    <t>7087808</t>
  </si>
  <si>
    <t>Filtro Combustível</t>
  </si>
  <si>
    <t>52062431</t>
  </si>
  <si>
    <t>Vela Ignição</t>
  </si>
  <si>
    <t>46348847</t>
  </si>
  <si>
    <t>Correia dos Orgãos Auxiliares</t>
  </si>
  <si>
    <t>55258359</t>
  </si>
  <si>
    <t>MOPAR MAXPRO 5W30 (SN/GF-5)</t>
  </si>
  <si>
    <t>K68218921LA_F</t>
  </si>
  <si>
    <t>UNO 1.0 FIRE</t>
  </si>
  <si>
    <t>VELA IGNICAO</t>
  </si>
  <si>
    <t>46480362</t>
  </si>
  <si>
    <t>CORREIA DISTRIBUICAO</t>
  </si>
  <si>
    <t>46337687</t>
  </si>
  <si>
    <t>FILTRO OLEO</t>
  </si>
  <si>
    <t>46751179</t>
  </si>
  <si>
    <t>ELEMENTO FILTRANTE</t>
  </si>
  <si>
    <t>51854598</t>
  </si>
  <si>
    <t>CORREIA TRANSMISSAO C/ AC</t>
  </si>
  <si>
    <t>55236185</t>
  </si>
  <si>
    <t>CORREIA TRANSMISSAO DH</t>
  </si>
  <si>
    <t>46744566</t>
  </si>
  <si>
    <t>UNO 1.0 FIREFLY</t>
  </si>
  <si>
    <t>Vela de Ignição</t>
  </si>
  <si>
    <t>UNO 1.3 FIREFLY</t>
  </si>
  <si>
    <t>PALIO WEEKEND 1.4</t>
  </si>
  <si>
    <t>7082141</t>
  </si>
  <si>
    <t>PALIO WEEKEND 1.8</t>
  </si>
  <si>
    <t>55267121</t>
  </si>
  <si>
    <t>51857956</t>
  </si>
  <si>
    <t>55244798</t>
  </si>
  <si>
    <t>GRAND SIENA 1.0</t>
  </si>
  <si>
    <t>Elemento Filtrante do Óleo</t>
  </si>
  <si>
    <t>Elemento Filtrante do Ar</t>
  </si>
  <si>
    <t>Correia Árvore Motor/Alternador/Compressor</t>
  </si>
  <si>
    <t>55258482</t>
  </si>
  <si>
    <t>CORREIA DISTRIBUIÇÃO</t>
  </si>
  <si>
    <t>GRAND SIENA 1.4</t>
  </si>
  <si>
    <t>55226520</t>
  </si>
  <si>
    <t>NOVA STRADA 1.0T</t>
  </si>
  <si>
    <t>46347605</t>
  </si>
  <si>
    <t>53489525</t>
  </si>
  <si>
    <t>52079874</t>
  </si>
  <si>
    <t>46336161</t>
  </si>
  <si>
    <t>MOPAR MAXPRO SYNTHETIC 0W30</t>
  </si>
  <si>
    <t>K68444160LA_F</t>
  </si>
  <si>
    <t>NOVA STRADA 1.3 AT</t>
  </si>
  <si>
    <t>]</t>
  </si>
  <si>
    <t>NOVA STRADA 1.3 MT</t>
  </si>
  <si>
    <t>Sustitucao do óleo da caixa de cambio mecanica
SAE 75W – API GL4 (Mopar Dual Dry Clutch Transmission Fluid)</t>
  </si>
  <si>
    <t>NOVA STRADA 1.4</t>
  </si>
  <si>
    <t>Correia Transmissão c/ AC</t>
  </si>
  <si>
    <t>Correia Transmissão DH</t>
  </si>
  <si>
    <t>55211240</t>
  </si>
  <si>
    <t>Correia Distribuição</t>
  </si>
  <si>
    <t>ARGO 1.0</t>
  </si>
  <si>
    <t>ARGO 1.3</t>
  </si>
  <si>
    <t>ARGO 1.8</t>
  </si>
  <si>
    <t>FIORINO 1.4 (21/21)</t>
  </si>
  <si>
    <t>11ª</t>
  </si>
  <si>
    <t>12ª</t>
  </si>
  <si>
    <t>13ª</t>
  </si>
  <si>
    <t>14ª</t>
  </si>
  <si>
    <t>15ª</t>
  </si>
  <si>
    <t>0,95</t>
  </si>
  <si>
    <t>1,20</t>
  </si>
  <si>
    <t>2,30</t>
  </si>
  <si>
    <t>FIORINO 1.4 (21/22)</t>
  </si>
  <si>
    <t>Correia dos órgão auxiliares DH (a cada 60.000 km ou 4 anos, o que ocorrer primeiro)</t>
  </si>
  <si>
    <t>FIORINO 1.3</t>
  </si>
  <si>
    <t>Velas de Ignição (a cada 40.000 km, independente do tempo)</t>
  </si>
  <si>
    <t>Mopar Maxpro Syntetic 0W20 (SP/GF-6A)</t>
  </si>
  <si>
    <t>PULSE 1.0T AT</t>
  </si>
  <si>
    <t>PULSE 1.0T MT</t>
  </si>
  <si>
    <t>PULSE 1.3 AT</t>
  </si>
  <si>
    <t>PULSE 1.3 MT</t>
  </si>
  <si>
    <t>PULSE ABARTH 1.3T</t>
  </si>
  <si>
    <t>52080841</t>
  </si>
  <si>
    <t>FASTBACK 1.0T</t>
  </si>
  <si>
    <t>Correia dos órgão auxiliares (a cada 120.000 km ou 6 anos, o que ocorrer primeiro)</t>
  </si>
  <si>
    <t>46349670</t>
  </si>
  <si>
    <t>FASTBACK ABARTH 1.3T</t>
  </si>
  <si>
    <t>46348571</t>
  </si>
  <si>
    <t>MOBI 1.0 FIRE</t>
  </si>
  <si>
    <t xml:space="preserve">Elemento Filtrante do Filtro Óleo  </t>
  </si>
  <si>
    <t>Elemento Filtrante Ar</t>
  </si>
  <si>
    <t>Correia Dentada</t>
  </si>
  <si>
    <t>MOBI FIREFLY</t>
  </si>
  <si>
    <t>DOBLO 1.8</t>
  </si>
  <si>
    <t>TORO 1.8</t>
  </si>
  <si>
    <t>ELEMENTO FILTRANTE DO FILTRO ÓLEO</t>
  </si>
  <si>
    <t>ELEMENTO FILTRANTE FILTRO AR</t>
  </si>
  <si>
    <t>51977574</t>
  </si>
  <si>
    <t>VELA IGNIÇÃO</t>
  </si>
  <si>
    <t>CORREIAS DOS ÓRGÃOS AUXILIARES DO MOTOR</t>
  </si>
  <si>
    <t>MOPAR BRAKE FLUID DOT 4S - A cada 2 anos</t>
  </si>
  <si>
    <t>K04549626LA_F</t>
  </si>
  <si>
    <t>TORO 2.4</t>
  </si>
  <si>
    <t>50055447</t>
  </si>
  <si>
    <t>KSP148183AD</t>
  </si>
  <si>
    <t>50048146</t>
  </si>
  <si>
    <t>TORO 1.3T MY25</t>
  </si>
  <si>
    <t>16ª</t>
  </si>
  <si>
    <t>17ª</t>
  </si>
  <si>
    <t>18ª</t>
  </si>
  <si>
    <t>Elemento Filtrante do Filtro Óleo </t>
  </si>
  <si>
    <t>Elemento Filtrante Filtro Ar</t>
  </si>
  <si>
    <t>Correia Transmissão</t>
  </si>
  <si>
    <t>TORO 1.3T MY26</t>
  </si>
  <si>
    <t>7099618</t>
  </si>
  <si>
    <t>TORO 1.3T MY27</t>
  </si>
  <si>
    <t>Filtor de combustível</t>
  </si>
  <si>
    <t>Velas de ignição do motor (a cada 60.000 km, independente do tempo)</t>
  </si>
  <si>
    <t>Higienização do sistema de alimentação de combustível - Aditivo Isotech 012 Limpa Injetores GDI</t>
  </si>
  <si>
    <t>2850000479</t>
  </si>
  <si>
    <t>Fluído de freio (a cada 40.000 km ou 2 anos, o que ocorrer primeiro) - Mopar DOT 4S</t>
  </si>
  <si>
    <t>K04549626LA</t>
  </si>
  <si>
    <t>Substituição do líquido do sistema de arrefecimento do motor (a cada 240.000 km ou 10 anos, o que ocorrer primeiro)</t>
  </si>
  <si>
    <t>Óleo do motor - Mopar Maxpro Syntetic 0W30</t>
  </si>
  <si>
    <t>TORO 1.3T MHEV</t>
  </si>
  <si>
    <t>46360326</t>
  </si>
  <si>
    <t>TORO 2.0</t>
  </si>
  <si>
    <t>71754237</t>
  </si>
  <si>
    <t>77367623</t>
  </si>
  <si>
    <t>46354609</t>
  </si>
  <si>
    <t>CORREIA DENTADA</t>
  </si>
  <si>
    <t>46348274</t>
  </si>
  <si>
    <t>MOPAR MAXPRO DIESEL DPF C2 5W30</t>
  </si>
  <si>
    <t>TORO 2.2TD MY26</t>
  </si>
  <si>
    <t>Elementro Filtrante do Óleo</t>
  </si>
  <si>
    <t>52234083</t>
  </si>
  <si>
    <t>Fluído de freio (a cada 40.000 km ou 2 anos, o que ocorrer primeiro)
MOPAR BRAKE FLUID DOT 4S</t>
  </si>
  <si>
    <t>Correia dos Orgãos Auxiliares (a cada 60.000 km ou 4 anos, o que ocorrer primeiro)</t>
  </si>
  <si>
    <t>46358641</t>
  </si>
  <si>
    <t>Correia Dentata (a cada 120.000 km ou 4 anos, o que ocorrer primeiro)</t>
  </si>
  <si>
    <t>K68547228LA_F</t>
  </si>
  <si>
    <t>TORO 2.2TD MY27</t>
  </si>
  <si>
    <t>Higienização do sistema de alimentação de combustível
Aditivo DETOX DGA - SOLUBILIZANTE (180 ml)</t>
  </si>
  <si>
    <t>7098496</t>
  </si>
  <si>
    <t>Higienização do sistema de alimentação de combustível
Aditivo DT300 TREATMENT (370 ml)</t>
  </si>
  <si>
    <t>7099025</t>
  </si>
  <si>
    <t>Correia dentada do comando da distribuição do motor (a cada 120.000 km ou 4 anos, o que ocorrer primeiro)</t>
  </si>
  <si>
    <t>Óleo do motor - Mopar Maxpro Syntetic Diesel DPF C2 5W30</t>
  </si>
  <si>
    <t>DUCATO X250</t>
  </si>
  <si>
    <t>9809532380</t>
  </si>
  <si>
    <t>Anel do Bujão</t>
  </si>
  <si>
    <t>77368658</t>
  </si>
  <si>
    <t>7094559</t>
  </si>
  <si>
    <t>Filtro Anti Pólen</t>
  </si>
  <si>
    <t>6000633316</t>
  </si>
  <si>
    <t>Correia da distribuição</t>
  </si>
  <si>
    <t>9467642480</t>
  </si>
  <si>
    <t>Tensor da correia de distribuição</t>
  </si>
  <si>
    <t>155253402</t>
  </si>
  <si>
    <t>Bomba d'água</t>
  </si>
  <si>
    <t>155258297</t>
  </si>
  <si>
    <t>Correia dos orgãos auxiliares do motor (120.000 km ou 4 anos - o que ocorrer primeiro)</t>
  </si>
  <si>
    <t>9809996880</t>
  </si>
  <si>
    <t>Tensor da correia dos órgão auxiliares (120.000 km ou 4 anos - o que ocorrer primeiro)</t>
  </si>
  <si>
    <t>9826368080</t>
  </si>
  <si>
    <t>Liquido de freio DOT4  (2 Anos)</t>
  </si>
  <si>
    <t>OLEO MOTOR SAE 0W30 ACEA C1 C2  1L</t>
  </si>
  <si>
    <t>DUCATO</t>
  </si>
  <si>
    <t>71779555</t>
  </si>
  <si>
    <t>77369138</t>
  </si>
  <si>
    <t>CORREIA ORGÃOS AUXILIARES</t>
  </si>
  <si>
    <t>500388408</t>
  </si>
  <si>
    <t>5801467815</t>
  </si>
  <si>
    <t>ÓLEO DO MOTOR - 1L</t>
  </si>
  <si>
    <t>K68231015LA_F (1)</t>
  </si>
  <si>
    <t>(1)</t>
  </si>
  <si>
    <t>Mark Up do óleo negociado com a Abracaf</t>
  </si>
  <si>
    <t>DUCATO X250 2.2D</t>
  </si>
  <si>
    <t>Elemento do filtro de aspirção de ar do motor</t>
  </si>
  <si>
    <t>52222118</t>
  </si>
  <si>
    <t>Fluído de freio (a cada 40.000 km ou 2 anos, o que ocorrer primeiro)</t>
  </si>
  <si>
    <t>Óleo do motor</t>
  </si>
  <si>
    <t>500e</t>
  </si>
  <si>
    <t>FILTRO AR CONDICIONADO</t>
  </si>
  <si>
    <t>71775823</t>
  </si>
  <si>
    <t>Fluido para freio DOT 5.1</t>
  </si>
  <si>
    <t>7093293_F</t>
  </si>
  <si>
    <t>15.000 km ou 01 ano</t>
  </si>
  <si>
    <t>9677491780</t>
  </si>
  <si>
    <t>FILTRO DE COMBUSTÍVEL</t>
  </si>
  <si>
    <t>155255800</t>
  </si>
  <si>
    <t>FILTRO DE AR</t>
  </si>
  <si>
    <t>155255862</t>
  </si>
  <si>
    <t>Correia da distribuição (ou 4 anos, prevalecendo o que ocorrer primeiro)</t>
  </si>
  <si>
    <t>Kit correia dos orgãos auxiliares do motor
(correia dos órgão auxiliares + tensionadores)</t>
  </si>
  <si>
    <t>155255880</t>
  </si>
  <si>
    <t>Óleo do cj. diferencial traseiro - 80W 90GL-5 - (embalagem de 1 litro)</t>
  </si>
  <si>
    <t>K68218041LA_F</t>
  </si>
  <si>
    <t>Óleo da caixa de transferência - 80W 90GL-5 - (embalagem de 1 litro)</t>
  </si>
  <si>
    <t>Fluído de Freio Safebrake 16M (DOT 4+)  (a cada 2 Anos)</t>
  </si>
  <si>
    <t>OLEO MOTOR INEO HTC 5W30 (1L)</t>
  </si>
  <si>
    <t>Óleo da caixa de câmbio automática - ATF Dexrom VI - (embalagem de 1 litro)</t>
  </si>
  <si>
    <t>7096432</t>
  </si>
  <si>
    <t>TITANO 2.2D MT</t>
  </si>
  <si>
    <t>1699580280</t>
  </si>
  <si>
    <t>46357445</t>
  </si>
  <si>
    <t>Substituição da correia dentada do comando da distribuição do motor (a cada 120.000 km ou 4 anos, o que ocorrer primeiro)</t>
  </si>
  <si>
    <t>Óleo do conjunto diferencial traseiro - Óleo lubrificante API GL5 SAE 80W90
(é mandatório a susbstituição do óleo do diferencial traseiro na primeira revisão e a cada 40.000 km ou 3 anos, prevalecendo o que ocorrer primeiro, após a primeira revisão)</t>
  </si>
  <si>
    <t>7096425</t>
  </si>
  <si>
    <t>Óleo da caixa de câmbio mecânica (a cada 60.000 km, independente do tempo)</t>
  </si>
  <si>
    <t>7099873</t>
  </si>
  <si>
    <t>Óleo da caixa de tranferência - Óleo lubrificante Dexron III
(a cada 50.000 km ou 2 anos, o que ocorrer primeiro)</t>
  </si>
  <si>
    <t>7096430</t>
  </si>
  <si>
    <t>Fluído de freio Safebrake 16M (DOT 4+)  (a cada 40.000 km ou 2 anos, o que ocorrer primeiro)</t>
  </si>
  <si>
    <t>TITANO 2.2D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</si>
</sst>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$ &quot;#,##0.00"/>
    <numFmt numFmtId="165" formatCode="_-&quot;R$ &quot;* #,##0.00_-;&quot;-R$ &quot;* #,##0.00_-;_-&quot;R$ &quot;* \-??_-;_-@"/>
    <numFmt numFmtId="166" formatCode="#,##0.0"/>
    <numFmt numFmtId="167" formatCode="0.0%"/>
    <numFmt numFmtId="168" formatCode="0.0"/>
    <numFmt numFmtId="169" formatCode="_-&quot;R$ &quot;* #,##0.00_-;&quot;-R$ &quot;* #,##0.00_-;_-&quot;R$ &quot;* \-??_-;_-@_-"/>
    <numFmt numFmtId="170" formatCode="_-* #,##0.00_-;\-* #,##0.00_-;_-* \-??_-;_-@"/>
    <numFmt numFmtId="171" formatCode="_(* #,##0.00_);_(* \(#,##0.00\);_(* \-??_);_(@_)"/>
    <numFmt numFmtId="172" formatCode="_-* #,##0.00_-;\-* #,##0.00_-;_-* \-??_-;_-@_-"/>
  </numFmts>
  <fonts count="19" x14ac:knownFonts="1">
    <font>
      <sz val="11"/>
      <color rgb="FF000000"/>
      <name val="Calibri"/>
      <charset val="1"/>
    </font>
    <font>
      <b/>
      <sz val="20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rgb="FFFFFFFF"/>
      <name val="Verdana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0"/>
      <color rgb="FFFFFFFF"/>
      <name val="Verdana"/>
      <family val="2"/>
      <charset val="1"/>
    </font>
    <font>
      <sz val="10"/>
      <color rgb="FF000000"/>
      <name val="Verdana"/>
      <family val="2"/>
      <charset val="1"/>
    </font>
    <font>
      <sz val="8"/>
      <color rgb="FF000000"/>
      <name val="Verdana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1F497D"/>
        <bgColor rgb="FF333333"/>
      </patternFill>
    </fill>
    <fill>
      <patternFill patternType="solid">
        <fgColor rgb="FFDCE6F2"/>
        <bgColor rgb="FFDBE5F1"/>
      </patternFill>
    </fill>
    <fill>
      <patternFill patternType="solid">
        <fgColor rgb="FFB9CDE5"/>
        <bgColor rgb="FFB8CCE4"/>
      </patternFill>
    </fill>
    <fill>
      <patternFill patternType="solid">
        <fgColor rgb="FFB8CCE4"/>
        <bgColor rgb="FFB9CDE5"/>
      </patternFill>
    </fill>
    <fill>
      <patternFill patternType="solid">
        <fgColor rgb="FFDBE5F1"/>
        <bgColor rgb="FFDCE6F2"/>
      </patternFill>
    </fill>
    <fill>
      <patternFill patternType="solid">
        <fgColor rgb="FF4F81BD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rgb="FFD9D9D9"/>
        <bgColor rgb="FFD8D8D8"/>
      </patternFill>
    </fill>
    <fill>
      <patternFill patternType="solid">
        <fgColor rgb="FFCCCCCC"/>
        <bgColor rgb="FFD8D8D8"/>
      </patternFill>
    </fill>
    <fill>
      <patternFill patternType="solid">
        <fgColor rgb="FF002060"/>
        <bgColor rgb="FF000080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auto="1"/>
      </right>
      <top/>
      <bottom style="thin">
        <color rgb="FFFFFFFF"/>
      </bottom>
      <diagonal/>
    </border>
    <border>
      <left style="medium">
        <color auto="1"/>
      </left>
      <right style="thin">
        <color rgb="FFFFFFFF"/>
      </right>
      <top/>
      <bottom style="thin">
        <color rgb="FFFFFFFF"/>
      </bottom>
      <diagonal/>
    </border>
    <border>
      <left style="medium">
        <color auto="1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auto="1"/>
      </right>
      <top style="thin">
        <color rgb="FFFFFFFF"/>
      </top>
      <bottom/>
      <diagonal/>
    </border>
    <border>
      <left style="medium">
        <color auto="1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medium">
        <color auto="1"/>
      </right>
      <top/>
      <bottom style="medium">
        <color auto="1"/>
      </bottom>
      <diagonal/>
    </border>
    <border>
      <left style="thin">
        <color rgb="FFFFFFFF"/>
      </left>
      <right style="double">
        <color rgb="FFFFFFFF"/>
      </right>
      <top style="thin">
        <color rgb="FFFFFFFF"/>
      </top>
      <bottom/>
      <diagonal/>
    </border>
    <border>
      <left style="double">
        <color rgb="FFFFFFFF"/>
      </left>
      <right/>
      <top style="thin">
        <color rgb="FFFFFFFF"/>
      </top>
      <bottom/>
      <diagonal/>
    </border>
    <border>
      <left style="double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double">
        <color rgb="FFFFFFFF"/>
      </right>
      <top/>
      <bottom style="thin">
        <color rgb="FFFFFFFF"/>
      </bottom>
      <diagonal/>
    </border>
    <border>
      <left style="double">
        <color rgb="FFFFFFFF"/>
      </left>
      <right/>
      <top/>
      <bottom style="thin">
        <color rgb="FFFFFFFF"/>
      </bottom>
      <diagonal/>
    </border>
    <border>
      <left style="double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double">
        <color rgb="FFFFFFFF"/>
      </left>
      <right style="double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uble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FFFFFF"/>
      </left>
      <right style="double">
        <color rgb="FFFFFFFF"/>
      </right>
      <top style="thin">
        <color rgb="FFFFFFFF"/>
      </top>
      <bottom/>
      <diagonal/>
    </border>
    <border>
      <left style="double">
        <color rgb="FFFFFFFF"/>
      </left>
      <right style="double">
        <color rgb="FFFFFFFF"/>
      </right>
      <top/>
      <bottom style="thin">
        <color rgb="FFFFFFFF"/>
      </bottom>
      <diagonal/>
    </border>
    <border>
      <left style="double">
        <color rgb="FFFFFFFF"/>
      </left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double">
        <color rgb="FFFFFFFF"/>
      </right>
      <top/>
      <bottom/>
      <diagonal/>
    </border>
    <border>
      <left/>
      <right style="double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4" borderId="6" xfId="0" applyFont="1" applyFill="1" applyBorder="1" applyAlignment="1">
      <alignment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5" fillId="5" borderId="6" xfId="0" applyFont="1" applyFill="1" applyBorder="1" applyAlignment="1">
      <alignment vertical="center" wrapText="1"/>
    </xf>
    <xf numFmtId="164" fontId="6" fillId="5" borderId="7" xfId="0" applyNumberFormat="1" applyFont="1" applyFill="1" applyBorder="1" applyAlignment="1">
      <alignment horizontal="center" vertical="center" wrapText="1"/>
    </xf>
    <xf numFmtId="164" fontId="6" fillId="5" borderId="8" xfId="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/>
    </xf>
    <xf numFmtId="164" fontId="6" fillId="6" borderId="7" xfId="0" applyNumberFormat="1" applyFont="1" applyFill="1" applyBorder="1" applyAlignment="1">
      <alignment horizontal="center" vertical="center" wrapText="1"/>
    </xf>
    <xf numFmtId="164" fontId="6" fillId="6" borderId="8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center"/>
    </xf>
    <xf numFmtId="164" fontId="6" fillId="5" borderId="11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 wrapText="1"/>
    </xf>
    <xf numFmtId="164" fontId="8" fillId="7" borderId="12" xfId="0" applyNumberFormat="1" applyFont="1" applyFill="1" applyBorder="1" applyAlignment="1">
      <alignment horizontal="center" vertical="center" wrapText="1"/>
    </xf>
    <xf numFmtId="164" fontId="8" fillId="7" borderId="13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164" fontId="6" fillId="7" borderId="7" xfId="0" applyNumberFormat="1" applyFont="1" applyFill="1" applyBorder="1" applyAlignment="1">
      <alignment horizontal="center" vertical="center" wrapText="1"/>
    </xf>
    <xf numFmtId="164" fontId="6" fillId="7" borderId="8" xfId="0" applyNumberFormat="1" applyFont="1" applyFill="1" applyBorder="1" applyAlignment="1">
      <alignment horizontal="center" vertical="center" wrapText="1"/>
    </xf>
    <xf numFmtId="164" fontId="0" fillId="2" borderId="0" xfId="0" applyNumberFormat="1" applyFill="1" applyAlignment="1">
      <alignment vertical="center"/>
    </xf>
    <xf numFmtId="0" fontId="7" fillId="5" borderId="14" xfId="0" applyFont="1" applyFill="1" applyBorder="1"/>
    <xf numFmtId="164" fontId="6" fillId="6" borderId="15" xfId="0" applyNumberFormat="1" applyFont="1" applyFill="1" applyBorder="1" applyAlignment="1">
      <alignment horizontal="center" vertical="center" wrapText="1"/>
    </xf>
    <xf numFmtId="164" fontId="6" fillId="6" borderId="1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9" fillId="3" borderId="21" xfId="0" applyFont="1" applyFill="1" applyBorder="1" applyAlignment="1">
      <alignment vertical="center"/>
    </xf>
    <xf numFmtId="0" fontId="9" fillId="3" borderId="22" xfId="0" applyFont="1" applyFill="1" applyBorder="1" applyAlignment="1">
      <alignment vertical="center"/>
    </xf>
    <xf numFmtId="0" fontId="9" fillId="3" borderId="23" xfId="0" applyFont="1" applyFill="1" applyBorder="1" applyAlignment="1">
      <alignment vertical="center"/>
    </xf>
    <xf numFmtId="0" fontId="10" fillId="3" borderId="24" xfId="0" applyFont="1" applyFill="1" applyBorder="1" applyAlignment="1">
      <alignment vertical="center"/>
    </xf>
    <xf numFmtId="0" fontId="10" fillId="3" borderId="22" xfId="0" applyFont="1" applyFill="1" applyBorder="1" applyAlignment="1">
      <alignment vertical="center"/>
    </xf>
    <xf numFmtId="165" fontId="11" fillId="7" borderId="25" xfId="0" applyNumberFormat="1" applyFont="1" applyFill="1" applyBorder="1" applyAlignment="1">
      <alignment horizontal="center" vertical="center"/>
    </xf>
    <xf numFmtId="165" fontId="11" fillId="7" borderId="20" xfId="0" applyNumberFormat="1" applyFont="1" applyFill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49" fontId="12" fillId="8" borderId="26" xfId="0" applyNumberFormat="1" applyFont="1" applyFill="1" applyBorder="1" applyAlignment="1">
      <alignment horizontal="center" vertical="center"/>
    </xf>
    <xf numFmtId="0" fontId="12" fillId="8" borderId="27" xfId="0" applyFont="1" applyFill="1" applyBorder="1" applyAlignment="1">
      <alignment horizontal="center" vertical="center"/>
    </xf>
    <xf numFmtId="3" fontId="12" fillId="8" borderId="26" xfId="0" applyNumberFormat="1" applyFont="1" applyFill="1" applyBorder="1" applyAlignment="1">
      <alignment horizontal="center" vertical="center"/>
    </xf>
    <xf numFmtId="3" fontId="12" fillId="8" borderId="7" xfId="0" applyNumberFormat="1" applyFont="1" applyFill="1" applyBorder="1" applyAlignment="1">
      <alignment horizontal="center" vertical="center"/>
    </xf>
    <xf numFmtId="3" fontId="12" fillId="8" borderId="20" xfId="0" applyNumberFormat="1" applyFont="1" applyFill="1" applyBorder="1" applyAlignment="1">
      <alignment horizontal="center" vertical="center"/>
    </xf>
    <xf numFmtId="9" fontId="12" fillId="8" borderId="20" xfId="0" applyNumberFormat="1" applyFont="1" applyFill="1" applyBorder="1" applyAlignment="1">
      <alignment horizontal="center" vertical="center"/>
    </xf>
    <xf numFmtId="0" fontId="13" fillId="7" borderId="26" xfId="0" applyFont="1" applyFill="1" applyBorder="1" applyAlignment="1">
      <alignment horizontal="center" vertical="center"/>
    </xf>
    <xf numFmtId="0" fontId="13" fillId="7" borderId="26" xfId="0" applyFont="1" applyFill="1" applyBorder="1" applyAlignment="1">
      <alignment vertical="center"/>
    </xf>
    <xf numFmtId="49" fontId="13" fillId="7" borderId="26" xfId="0" applyNumberFormat="1" applyFont="1" applyFill="1" applyBorder="1" applyAlignment="1">
      <alignment horizontal="center" vertical="center"/>
    </xf>
    <xf numFmtId="2" fontId="13" fillId="7" borderId="27" xfId="0" applyNumberFormat="1" applyFont="1" applyFill="1" applyBorder="1" applyAlignment="1">
      <alignment horizontal="center" vertical="center"/>
    </xf>
    <xf numFmtId="3" fontId="13" fillId="7" borderId="26" xfId="0" applyNumberFormat="1" applyFont="1" applyFill="1" applyBorder="1" applyAlignment="1">
      <alignment horizontal="center" vertical="center"/>
    </xf>
    <xf numFmtId="3" fontId="13" fillId="7" borderId="27" xfId="0" applyNumberFormat="1" applyFont="1" applyFill="1" applyBorder="1" applyAlignment="1">
      <alignment horizontal="center" vertical="center"/>
    </xf>
    <xf numFmtId="165" fontId="13" fillId="7" borderId="26" xfId="0" applyNumberFormat="1" applyFont="1" applyFill="1" applyBorder="1" applyAlignment="1">
      <alignment horizontal="center" vertical="center"/>
    </xf>
    <xf numFmtId="9" fontId="13" fillId="7" borderId="20" xfId="0" applyNumberFormat="1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vertical="center"/>
    </xf>
    <xf numFmtId="49" fontId="13" fillId="6" borderId="26" xfId="0" applyNumberFormat="1" applyFont="1" applyFill="1" applyBorder="1" applyAlignment="1">
      <alignment horizontal="center" vertical="center"/>
    </xf>
    <xf numFmtId="2" fontId="13" fillId="6" borderId="27" xfId="0" applyNumberFormat="1" applyFont="1" applyFill="1" applyBorder="1" applyAlignment="1">
      <alignment horizontal="center" vertical="center"/>
    </xf>
    <xf numFmtId="3" fontId="13" fillId="6" borderId="26" xfId="0" applyNumberFormat="1" applyFont="1" applyFill="1" applyBorder="1" applyAlignment="1">
      <alignment horizontal="center" vertical="center"/>
    </xf>
    <xf numFmtId="3" fontId="13" fillId="6" borderId="27" xfId="0" applyNumberFormat="1" applyFont="1" applyFill="1" applyBorder="1" applyAlignment="1">
      <alignment horizontal="center" vertical="center"/>
    </xf>
    <xf numFmtId="165" fontId="13" fillId="6" borderId="26" xfId="0" applyNumberFormat="1" applyFont="1" applyFill="1" applyBorder="1" applyAlignment="1">
      <alignment horizontal="center" vertical="center"/>
    </xf>
    <xf numFmtId="9" fontId="13" fillId="6" borderId="20" xfId="0" applyNumberFormat="1" applyFont="1" applyFill="1" applyBorder="1" applyAlignment="1">
      <alignment horizontal="center" vertical="center"/>
    </xf>
    <xf numFmtId="166" fontId="13" fillId="6" borderId="27" xfId="0" applyNumberFormat="1" applyFont="1" applyFill="1" applyBorder="1" applyAlignment="1">
      <alignment horizontal="center" vertical="center"/>
    </xf>
    <xf numFmtId="2" fontId="13" fillId="7" borderId="26" xfId="0" applyNumberFormat="1" applyFont="1" applyFill="1" applyBorder="1" applyAlignment="1">
      <alignment horizontal="center" vertical="center"/>
    </xf>
    <xf numFmtId="2" fontId="13" fillId="6" borderId="26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3" fillId="7" borderId="26" xfId="0" applyFont="1" applyFill="1" applyBorder="1" applyAlignment="1">
      <alignment vertical="center" wrapText="1"/>
    </xf>
    <xf numFmtId="0" fontId="13" fillId="6" borderId="26" xfId="0" applyFont="1" applyFill="1" applyBorder="1" applyAlignment="1">
      <alignment vertical="center" wrapText="1"/>
    </xf>
    <xf numFmtId="0" fontId="10" fillId="3" borderId="28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3" fontId="13" fillId="6" borderId="29" xfId="0" applyNumberFormat="1" applyFont="1" applyFill="1" applyBorder="1" applyAlignment="1">
      <alignment horizontal="center" vertical="center"/>
    </xf>
    <xf numFmtId="3" fontId="13" fillId="7" borderId="29" xfId="0" applyNumberFormat="1" applyFont="1" applyFill="1" applyBorder="1" applyAlignment="1">
      <alignment horizontal="center" vertical="center"/>
    </xf>
    <xf numFmtId="2" fontId="13" fillId="6" borderId="29" xfId="0" applyNumberFormat="1" applyFont="1" applyFill="1" applyBorder="1" applyAlignment="1">
      <alignment horizontal="center" vertical="center"/>
    </xf>
    <xf numFmtId="4" fontId="13" fillId="6" borderId="26" xfId="0" applyNumberFormat="1" applyFont="1" applyFill="1" applyBorder="1" applyAlignment="1">
      <alignment horizontal="center" vertical="center"/>
    </xf>
    <xf numFmtId="4" fontId="13" fillId="6" borderId="27" xfId="0" applyNumberFormat="1" applyFont="1" applyFill="1" applyBorder="1" applyAlignment="1">
      <alignment horizontal="center" vertical="center"/>
    </xf>
    <xf numFmtId="4" fontId="13" fillId="7" borderId="26" xfId="0" applyNumberFormat="1" applyFont="1" applyFill="1" applyBorder="1" applyAlignment="1">
      <alignment horizontal="center" vertical="center"/>
    </xf>
    <xf numFmtId="4" fontId="13" fillId="7" borderId="27" xfId="0" applyNumberFormat="1" applyFont="1" applyFill="1" applyBorder="1" applyAlignment="1">
      <alignment horizontal="center" vertical="center"/>
    </xf>
    <xf numFmtId="3" fontId="12" fillId="8" borderId="31" xfId="0" applyNumberFormat="1" applyFont="1" applyFill="1" applyBorder="1" applyAlignment="1">
      <alignment horizontal="center" vertical="center"/>
    </xf>
    <xf numFmtId="2" fontId="13" fillId="7" borderId="20" xfId="0" applyNumberFormat="1" applyFont="1" applyFill="1" applyBorder="1" applyAlignment="1">
      <alignment horizontal="center" vertical="center"/>
    </xf>
    <xf numFmtId="165" fontId="13" fillId="7" borderId="32" xfId="0" applyNumberFormat="1" applyFont="1" applyFill="1" applyBorder="1" applyAlignment="1">
      <alignment horizontal="center" vertical="center"/>
    </xf>
    <xf numFmtId="165" fontId="13" fillId="6" borderId="32" xfId="0" applyNumberFormat="1" applyFont="1" applyFill="1" applyBorder="1" applyAlignment="1">
      <alignment horizontal="center" vertical="center"/>
    </xf>
    <xf numFmtId="4" fontId="0" fillId="0" borderId="0" xfId="0" applyNumberFormat="1"/>
    <xf numFmtId="167" fontId="13" fillId="7" borderId="20" xfId="0" applyNumberFormat="1" applyFont="1" applyFill="1" applyBorder="1" applyAlignment="1">
      <alignment horizontal="center" vertical="center"/>
    </xf>
    <xf numFmtId="167" fontId="13" fillId="6" borderId="20" xfId="0" applyNumberFormat="1" applyFont="1" applyFill="1" applyBorder="1" applyAlignment="1">
      <alignment horizontal="center" vertical="center"/>
    </xf>
    <xf numFmtId="3" fontId="13" fillId="7" borderId="32" xfId="0" applyNumberFormat="1" applyFont="1" applyFill="1" applyBorder="1" applyAlignment="1">
      <alignment horizontal="center" vertical="center"/>
    </xf>
    <xf numFmtId="3" fontId="13" fillId="6" borderId="32" xfId="0" applyNumberFormat="1" applyFont="1" applyFill="1" applyBorder="1" applyAlignment="1">
      <alignment horizontal="center" vertical="center"/>
    </xf>
    <xf numFmtId="168" fontId="13" fillId="6" borderId="26" xfId="0" applyNumberFormat="1" applyFont="1" applyFill="1" applyBorder="1" applyAlignment="1">
      <alignment horizontal="center" vertical="center"/>
    </xf>
    <xf numFmtId="1" fontId="13" fillId="6" borderId="26" xfId="0" applyNumberFormat="1" applyFont="1" applyFill="1" applyBorder="1" applyAlignment="1">
      <alignment horizontal="center" vertical="center"/>
    </xf>
    <xf numFmtId="168" fontId="13" fillId="6" borderId="27" xfId="0" applyNumberFormat="1" applyFont="1" applyFill="1" applyBorder="1" applyAlignment="1">
      <alignment horizontal="center" vertical="center"/>
    </xf>
    <xf numFmtId="1" fontId="13" fillId="6" borderId="27" xfId="0" applyNumberFormat="1" applyFont="1" applyFill="1" applyBorder="1" applyAlignment="1">
      <alignment horizontal="center" vertical="center"/>
    </xf>
    <xf numFmtId="168" fontId="13" fillId="6" borderId="32" xfId="0" applyNumberFormat="1" applyFont="1" applyFill="1" applyBorder="1" applyAlignment="1">
      <alignment horizontal="center" vertical="center"/>
    </xf>
    <xf numFmtId="4" fontId="13" fillId="7" borderId="32" xfId="0" applyNumberFormat="1" applyFont="1" applyFill="1" applyBorder="1" applyAlignment="1">
      <alignment horizontal="center" vertical="center"/>
    </xf>
    <xf numFmtId="168" fontId="13" fillId="7" borderId="26" xfId="0" applyNumberFormat="1" applyFont="1" applyFill="1" applyBorder="1" applyAlignment="1">
      <alignment horizontal="center" vertical="center"/>
    </xf>
    <xf numFmtId="168" fontId="13" fillId="7" borderId="27" xfId="0" applyNumberFormat="1" applyFont="1" applyFill="1" applyBorder="1" applyAlignment="1">
      <alignment horizontal="center" vertical="center"/>
    </xf>
    <xf numFmtId="168" fontId="13" fillId="7" borderId="32" xfId="0" applyNumberFormat="1" applyFont="1" applyFill="1" applyBorder="1" applyAlignment="1">
      <alignment horizontal="center" vertical="center"/>
    </xf>
    <xf numFmtId="2" fontId="13" fillId="7" borderId="32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distributed" wrapText="1"/>
    </xf>
    <xf numFmtId="166" fontId="13" fillId="7" borderId="27" xfId="0" applyNumberFormat="1" applyFont="1" applyFill="1" applyBorder="1" applyAlignment="1">
      <alignment horizontal="center" vertical="center"/>
    </xf>
    <xf numFmtId="4" fontId="13" fillId="7" borderId="29" xfId="0" applyNumberFormat="1" applyFont="1" applyFill="1" applyBorder="1" applyAlignment="1">
      <alignment horizontal="center" vertical="center"/>
    </xf>
    <xf numFmtId="4" fontId="13" fillId="6" borderId="29" xfId="0" applyNumberFormat="1" applyFont="1" applyFill="1" applyBorder="1" applyAlignment="1">
      <alignment horizontal="center" vertical="center"/>
    </xf>
    <xf numFmtId="165" fontId="13" fillId="6" borderId="12" xfId="0" applyNumberFormat="1" applyFont="1" applyFill="1" applyBorder="1" applyAlignment="1">
      <alignment horizontal="center" vertical="center"/>
    </xf>
    <xf numFmtId="165" fontId="11" fillId="7" borderId="26" xfId="0" applyNumberFormat="1" applyFont="1" applyFill="1" applyBorder="1" applyAlignment="1">
      <alignment horizontal="center" vertical="center"/>
    </xf>
    <xf numFmtId="165" fontId="11" fillId="7" borderId="27" xfId="0" applyNumberFormat="1" applyFont="1" applyFill="1" applyBorder="1" applyAlignment="1">
      <alignment horizontal="center" vertical="center"/>
    </xf>
    <xf numFmtId="165" fontId="13" fillId="7" borderId="20" xfId="0" applyNumberFormat="1" applyFont="1" applyFill="1" applyBorder="1" applyAlignment="1">
      <alignment horizontal="center" vertical="center"/>
    </xf>
    <xf numFmtId="165" fontId="13" fillId="6" borderId="20" xfId="0" applyNumberFormat="1" applyFont="1" applyFill="1" applyBorder="1" applyAlignment="1">
      <alignment horizontal="center" vertical="center"/>
    </xf>
    <xf numFmtId="166" fontId="13" fillId="6" borderId="26" xfId="0" applyNumberFormat="1" applyFont="1" applyFill="1" applyBorder="1" applyAlignment="1">
      <alignment horizontal="center" vertical="center"/>
    </xf>
    <xf numFmtId="166" fontId="13" fillId="6" borderId="29" xfId="0" applyNumberFormat="1" applyFont="1" applyFill="1" applyBorder="1" applyAlignment="1">
      <alignment horizontal="center" vertical="center"/>
    </xf>
    <xf numFmtId="2" fontId="13" fillId="6" borderId="32" xfId="0" applyNumberFormat="1" applyFont="1" applyFill="1" applyBorder="1" applyAlignment="1">
      <alignment horizontal="center" vertical="center"/>
    </xf>
    <xf numFmtId="4" fontId="13" fillId="6" borderId="32" xfId="0" applyNumberFormat="1" applyFont="1" applyFill="1" applyBorder="1" applyAlignment="1">
      <alignment horizontal="center" vertical="center"/>
    </xf>
    <xf numFmtId="2" fontId="13" fillId="7" borderId="29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10" fillId="3" borderId="23" xfId="0" applyFont="1" applyFill="1" applyBorder="1" applyAlignment="1">
      <alignment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vertical="center"/>
    </xf>
    <xf numFmtId="49" fontId="13" fillId="4" borderId="26" xfId="0" applyNumberFormat="1" applyFont="1" applyFill="1" applyBorder="1" applyAlignment="1">
      <alignment horizontal="center" vertical="center"/>
    </xf>
    <xf numFmtId="2" fontId="13" fillId="4" borderId="27" xfId="0" applyNumberFormat="1" applyFont="1" applyFill="1" applyBorder="1" applyAlignment="1">
      <alignment horizontal="center" vertical="center"/>
    </xf>
    <xf numFmtId="4" fontId="13" fillId="4" borderId="26" xfId="0" applyNumberFormat="1" applyFont="1" applyFill="1" applyBorder="1" applyAlignment="1">
      <alignment horizontal="center" vertical="center"/>
    </xf>
    <xf numFmtId="3" fontId="13" fillId="4" borderId="26" xfId="0" applyNumberFormat="1" applyFont="1" applyFill="1" applyBorder="1" applyAlignment="1">
      <alignment horizontal="center" vertical="center"/>
    </xf>
    <xf numFmtId="4" fontId="13" fillId="4" borderId="27" xfId="0" applyNumberFormat="1" applyFont="1" applyFill="1" applyBorder="1" applyAlignment="1">
      <alignment horizontal="center" vertical="center"/>
    </xf>
    <xf numFmtId="3" fontId="13" fillId="4" borderId="27" xfId="0" applyNumberFormat="1" applyFont="1" applyFill="1" applyBorder="1" applyAlignment="1">
      <alignment horizontal="center" vertical="center"/>
    </xf>
    <xf numFmtId="4" fontId="13" fillId="4" borderId="32" xfId="0" applyNumberFormat="1" applyFont="1" applyFill="1" applyBorder="1" applyAlignment="1">
      <alignment horizontal="center" vertical="center"/>
    </xf>
    <xf numFmtId="165" fontId="13" fillId="4" borderId="26" xfId="0" applyNumberFormat="1" applyFont="1" applyFill="1" applyBorder="1" applyAlignment="1">
      <alignment horizontal="center" vertical="center"/>
    </xf>
    <xf numFmtId="165" fontId="13" fillId="4" borderId="32" xfId="0" applyNumberFormat="1" applyFont="1" applyFill="1" applyBorder="1" applyAlignment="1">
      <alignment horizontal="center" vertical="center"/>
    </xf>
    <xf numFmtId="167" fontId="13" fillId="4" borderId="20" xfId="0" applyNumberFormat="1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vertical="center"/>
    </xf>
    <xf numFmtId="49" fontId="13" fillId="5" borderId="26" xfId="0" applyNumberFormat="1" applyFont="1" applyFill="1" applyBorder="1" applyAlignment="1">
      <alignment horizontal="center" vertical="center"/>
    </xf>
    <xf numFmtId="2" fontId="13" fillId="5" borderId="27" xfId="0" applyNumberFormat="1" applyFont="1" applyFill="1" applyBorder="1" applyAlignment="1">
      <alignment horizontal="center" vertical="center"/>
    </xf>
    <xf numFmtId="2" fontId="13" fillId="5" borderId="26" xfId="0" applyNumberFormat="1" applyFont="1" applyFill="1" applyBorder="1" applyAlignment="1">
      <alignment horizontal="center" vertical="center"/>
    </xf>
    <xf numFmtId="165" fontId="13" fillId="5" borderId="26" xfId="0" applyNumberFormat="1" applyFont="1" applyFill="1" applyBorder="1" applyAlignment="1">
      <alignment horizontal="center" vertical="center"/>
    </xf>
    <xf numFmtId="165" fontId="13" fillId="5" borderId="32" xfId="0" applyNumberFormat="1" applyFont="1" applyFill="1" applyBorder="1" applyAlignment="1">
      <alignment horizontal="center" vertical="center"/>
    </xf>
    <xf numFmtId="167" fontId="13" fillId="5" borderId="20" xfId="0" applyNumberFormat="1" applyFont="1" applyFill="1" applyBorder="1" applyAlignment="1">
      <alignment horizontal="center" vertical="center"/>
    </xf>
    <xf numFmtId="165" fontId="11" fillId="7" borderId="30" xfId="0" applyNumberFormat="1" applyFont="1" applyFill="1" applyBorder="1" applyAlignment="1">
      <alignment horizontal="center" vertical="center"/>
    </xf>
    <xf numFmtId="170" fontId="13" fillId="6" borderId="26" xfId="0" applyNumberFormat="1" applyFont="1" applyFill="1" applyBorder="1" applyAlignment="1">
      <alignment horizontal="center" vertical="center"/>
    </xf>
    <xf numFmtId="170" fontId="13" fillId="6" borderId="27" xfId="0" applyNumberFormat="1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center" vertical="center"/>
    </xf>
    <xf numFmtId="171" fontId="0" fillId="0" borderId="0" xfId="0" applyNumberFormat="1"/>
    <xf numFmtId="3" fontId="13" fillId="9" borderId="26" xfId="0" applyNumberFormat="1" applyFont="1" applyFill="1" applyBorder="1" applyAlignment="1">
      <alignment horizontal="center" vertical="center"/>
    </xf>
    <xf numFmtId="165" fontId="13" fillId="9" borderId="26" xfId="0" applyNumberFormat="1" applyFont="1" applyFill="1" applyBorder="1" applyAlignment="1">
      <alignment horizontal="center" vertical="center"/>
    </xf>
    <xf numFmtId="3" fontId="13" fillId="10" borderId="26" xfId="0" applyNumberFormat="1" applyFont="1" applyFill="1" applyBorder="1" applyAlignment="1">
      <alignment horizontal="center" vertical="center"/>
    </xf>
    <xf numFmtId="165" fontId="13" fillId="10" borderId="26" xfId="0" applyNumberFormat="1" applyFont="1" applyFill="1" applyBorder="1" applyAlignment="1">
      <alignment horizontal="center" vertical="center"/>
    </xf>
    <xf numFmtId="2" fontId="13" fillId="10" borderId="26" xfId="0" applyNumberFormat="1" applyFont="1" applyFill="1" applyBorder="1" applyAlignment="1">
      <alignment horizontal="center" vertical="center"/>
    </xf>
    <xf numFmtId="4" fontId="13" fillId="10" borderId="26" xfId="0" applyNumberFormat="1" applyFont="1" applyFill="1" applyBorder="1" applyAlignment="1">
      <alignment horizontal="center" vertical="center"/>
    </xf>
    <xf numFmtId="3" fontId="13" fillId="11" borderId="26" xfId="0" applyNumberFormat="1" applyFont="1" applyFill="1" applyBorder="1" applyAlignment="1">
      <alignment horizontal="center" vertical="center"/>
    </xf>
    <xf numFmtId="165" fontId="13" fillId="11" borderId="26" xfId="0" applyNumberFormat="1" applyFont="1" applyFill="1" applyBorder="1" applyAlignment="1">
      <alignment horizontal="center" vertical="center"/>
    </xf>
    <xf numFmtId="3" fontId="13" fillId="12" borderId="26" xfId="0" applyNumberFormat="1" applyFont="1" applyFill="1" applyBorder="1" applyAlignment="1">
      <alignment horizontal="center" vertical="center"/>
    </xf>
    <xf numFmtId="165" fontId="13" fillId="12" borderId="26" xfId="0" applyNumberFormat="1" applyFont="1" applyFill="1" applyBorder="1" applyAlignment="1">
      <alignment horizontal="center" vertical="center"/>
    </xf>
    <xf numFmtId="168" fontId="13" fillId="11" borderId="26" xfId="0" applyNumberFormat="1" applyFont="1" applyFill="1" applyBorder="1" applyAlignment="1">
      <alignment horizontal="center" vertical="center"/>
    </xf>
    <xf numFmtId="2" fontId="13" fillId="12" borderId="2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5" fillId="13" borderId="21" xfId="0" applyFont="1" applyFill="1" applyBorder="1"/>
    <xf numFmtId="0" fontId="15" fillId="13" borderId="22" xfId="0" applyFont="1" applyFill="1" applyBorder="1"/>
    <xf numFmtId="0" fontId="15" fillId="13" borderId="23" xfId="0" applyFont="1" applyFill="1" applyBorder="1"/>
    <xf numFmtId="0" fontId="16" fillId="13" borderId="24" xfId="0" applyFont="1" applyFill="1" applyBorder="1" applyAlignment="1">
      <alignment horizontal="center" vertical="center"/>
    </xf>
    <xf numFmtId="0" fontId="16" fillId="13" borderId="22" xfId="0" applyFont="1" applyFill="1" applyBorder="1" applyAlignment="1">
      <alignment horizontal="center" vertical="center"/>
    </xf>
    <xf numFmtId="165" fontId="0" fillId="0" borderId="0" xfId="0" applyNumberFormat="1"/>
    <xf numFmtId="0" fontId="16" fillId="13" borderId="0" xfId="0" applyFont="1" applyFill="1" applyAlignment="1">
      <alignment horizontal="center" vertical="center"/>
    </xf>
    <xf numFmtId="3" fontId="13" fillId="5" borderId="26" xfId="0" applyNumberFormat="1" applyFont="1" applyFill="1" applyBorder="1" applyAlignment="1">
      <alignment horizontal="center" vertical="center"/>
    </xf>
    <xf numFmtId="3" fontId="13" fillId="5" borderId="27" xfId="0" applyNumberFormat="1" applyFont="1" applyFill="1" applyBorder="1" applyAlignment="1">
      <alignment horizontal="center" vertical="center"/>
    </xf>
    <xf numFmtId="168" fontId="13" fillId="5" borderId="26" xfId="0" applyNumberFormat="1" applyFont="1" applyFill="1" applyBorder="1" applyAlignment="1">
      <alignment horizontal="center" vertical="center"/>
    </xf>
    <xf numFmtId="2" fontId="13" fillId="4" borderId="26" xfId="0" applyNumberFormat="1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vertical="center" wrapText="1"/>
    </xf>
    <xf numFmtId="0" fontId="13" fillId="4" borderId="26" xfId="0" applyFont="1" applyFill="1" applyBorder="1" applyAlignment="1">
      <alignment vertical="center" wrapText="1"/>
    </xf>
    <xf numFmtId="4" fontId="13" fillId="5" borderId="26" xfId="0" applyNumberFormat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distributed" wrapText="1"/>
    </xf>
    <xf numFmtId="0" fontId="12" fillId="8" borderId="7" xfId="0" applyFont="1" applyFill="1" applyBorder="1" applyAlignment="1">
      <alignment horizontal="center" vertical="center"/>
    </xf>
    <xf numFmtId="49" fontId="12" fillId="8" borderId="7" xfId="0" applyNumberFormat="1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3" fontId="12" fillId="8" borderId="27" xfId="0" applyNumberFormat="1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distributed" wrapText="1"/>
    </xf>
    <xf numFmtId="4" fontId="13" fillId="5" borderId="27" xfId="0" applyNumberFormat="1" applyFont="1" applyFill="1" applyBorder="1" applyAlignment="1">
      <alignment horizontal="center" vertical="center"/>
    </xf>
    <xf numFmtId="3" fontId="13" fillId="4" borderId="32" xfId="0" applyNumberFormat="1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vertical="center"/>
    </xf>
    <xf numFmtId="3" fontId="13" fillId="5" borderId="32" xfId="0" applyNumberFormat="1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vertical="center"/>
    </xf>
    <xf numFmtId="4" fontId="13" fillId="5" borderId="32" xfId="0" applyNumberFormat="1" applyFont="1" applyFill="1" applyBorder="1" applyAlignment="1">
      <alignment horizontal="center" vertical="center"/>
    </xf>
    <xf numFmtId="0" fontId="4" fillId="0" borderId="0" xfId="0" applyFont="1"/>
    <xf numFmtId="0" fontId="12" fillId="8" borderId="36" xfId="0" applyFont="1" applyFill="1" applyBorder="1" applyAlignment="1">
      <alignment horizontal="center" vertical="center"/>
    </xf>
    <xf numFmtId="49" fontId="13" fillId="7" borderId="27" xfId="0" applyNumberFormat="1" applyFont="1" applyFill="1" applyBorder="1" applyAlignment="1">
      <alignment horizontal="center" vertical="center"/>
    </xf>
    <xf numFmtId="49" fontId="13" fillId="6" borderId="27" xfId="0" applyNumberFormat="1" applyFont="1" applyFill="1" applyBorder="1" applyAlignment="1">
      <alignment horizontal="center" vertical="center"/>
    </xf>
    <xf numFmtId="3" fontId="13" fillId="6" borderId="20" xfId="0" applyNumberFormat="1" applyFont="1" applyFill="1" applyBorder="1" applyAlignment="1">
      <alignment horizontal="center" vertical="center"/>
    </xf>
    <xf numFmtId="3" fontId="13" fillId="7" borderId="20" xfId="0" applyNumberFormat="1" applyFont="1" applyFill="1" applyBorder="1" applyAlignment="1">
      <alignment horizontal="center" vertical="center"/>
    </xf>
    <xf numFmtId="168" fontId="13" fillId="7" borderId="20" xfId="0" applyNumberFormat="1" applyFont="1" applyFill="1" applyBorder="1" applyAlignment="1">
      <alignment horizontal="center" vertical="center"/>
    </xf>
    <xf numFmtId="2" fontId="13" fillId="6" borderId="20" xfId="0" applyNumberFormat="1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vertical="center"/>
    </xf>
    <xf numFmtId="0" fontId="17" fillId="0" borderId="0" xfId="0" applyFont="1" applyAlignment="1">
      <alignment horizontal="center"/>
    </xf>
    <xf numFmtId="0" fontId="18" fillId="0" borderId="0" xfId="0" applyFont="1"/>
    <xf numFmtId="1" fontId="13" fillId="7" borderId="26" xfId="0" applyNumberFormat="1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 wrapText="1"/>
    </xf>
    <xf numFmtId="172" fontId="13" fillId="6" borderId="26" xfId="0" applyNumberFormat="1" applyFont="1" applyFill="1" applyBorder="1" applyAlignment="1">
      <alignment vertical="center"/>
    </xf>
    <xf numFmtId="172" fontId="13" fillId="7" borderId="26" xfId="0" applyNumberFormat="1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3" fontId="10" fillId="3" borderId="2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6" borderId="25" xfId="0" applyFont="1" applyFill="1" applyBorder="1" applyAlignment="1">
      <alignment horizontal="center" vertical="center"/>
    </xf>
    <xf numFmtId="165" fontId="13" fillId="6" borderId="25" xfId="0" applyNumberFormat="1" applyFont="1" applyFill="1" applyBorder="1" applyAlignment="1">
      <alignment horizontal="center" vertical="center"/>
    </xf>
    <xf numFmtId="2" fontId="13" fillId="6" borderId="25" xfId="0" applyNumberFormat="1" applyFont="1" applyFill="1" applyBorder="1" applyAlignment="1">
      <alignment horizontal="center" vertical="center"/>
    </xf>
    <xf numFmtId="165" fontId="11" fillId="7" borderId="29" xfId="0" applyNumberFormat="1" applyFont="1" applyFill="1" applyBorder="1" applyAlignment="1">
      <alignment horizontal="center" vertical="center"/>
    </xf>
    <xf numFmtId="49" fontId="13" fillId="4" borderId="27" xfId="0" applyNumberFormat="1" applyFont="1" applyFill="1" applyBorder="1" applyAlignment="1">
      <alignment horizontal="center" vertical="center"/>
    </xf>
    <xf numFmtId="166" fontId="13" fillId="4" borderId="26" xfId="0" applyNumberFormat="1" applyFont="1" applyFill="1" applyBorder="1" applyAlignment="1">
      <alignment horizontal="center" vertical="center"/>
    </xf>
    <xf numFmtId="165" fontId="13" fillId="4" borderId="20" xfId="0" applyNumberFormat="1" applyFont="1" applyFill="1" applyBorder="1" applyAlignment="1">
      <alignment horizontal="center" vertical="center"/>
    </xf>
    <xf numFmtId="49" fontId="13" fillId="5" borderId="27" xfId="0" applyNumberFormat="1" applyFont="1" applyFill="1" applyBorder="1" applyAlignment="1">
      <alignment horizontal="center" vertical="center"/>
    </xf>
    <xf numFmtId="1" fontId="13" fillId="5" borderId="26" xfId="0" applyNumberFormat="1" applyFont="1" applyFill="1" applyBorder="1" applyAlignment="1">
      <alignment horizontal="center" vertical="center"/>
    </xf>
    <xf numFmtId="165" fontId="13" fillId="5" borderId="20" xfId="0" applyNumberFormat="1" applyFont="1" applyFill="1" applyBorder="1" applyAlignment="1">
      <alignment horizontal="center" vertical="center"/>
    </xf>
    <xf numFmtId="3" fontId="13" fillId="5" borderId="29" xfId="0" applyNumberFormat="1" applyFont="1" applyFill="1" applyBorder="1" applyAlignment="1">
      <alignment horizontal="center" vertical="center"/>
    </xf>
    <xf numFmtId="4" fontId="13" fillId="7" borderId="20" xfId="0" applyNumberFormat="1" applyFont="1" applyFill="1" applyBorder="1" applyAlignment="1">
      <alignment horizontal="center" vertical="center"/>
    </xf>
    <xf numFmtId="4" fontId="13" fillId="5" borderId="29" xfId="0" applyNumberFormat="1" applyFont="1" applyFill="1" applyBorder="1" applyAlignment="1">
      <alignment horizontal="center" vertical="center"/>
    </xf>
    <xf numFmtId="165" fontId="11" fillId="7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0" fontId="9" fillId="3" borderId="1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42" xfId="0" applyBorder="1"/>
    <xf numFmtId="0" fontId="0" fillId="0" borderId="43" xfId="0" applyBorder="1"/>
    <xf numFmtId="0" fontId="0" fillId="0" borderId="0" xfId="0"/>
    <xf numFmtId="0" fontId="0" fillId="0" borderId="44" xfId="0" applyBorder="1"/>
    <xf numFmtId="3" fontId="10" fillId="3" borderId="24" xfId="0" applyNumberFormat="1" applyFont="1" applyFill="1" applyBorder="1" applyAlignment="1">
      <alignment horizontal="center" vertical="center"/>
    </xf>
    <xf numFmtId="0" fontId="0" fillId="0" borderId="22" xfId="0" applyBorder="1"/>
    <xf numFmtId="0" fontId="10" fillId="3" borderId="18" xfId="0" applyFont="1" applyFill="1" applyBorder="1" applyAlignment="1">
      <alignment horizontal="center" vertical="distributed" wrapText="1"/>
    </xf>
    <xf numFmtId="0" fontId="10" fillId="3" borderId="24" xfId="0" applyFont="1" applyFill="1" applyBorder="1" applyAlignment="1">
      <alignment horizontal="center" vertical="center"/>
    </xf>
    <xf numFmtId="0" fontId="0" fillId="0" borderId="24" xfId="0" applyBorder="1"/>
    <xf numFmtId="0" fontId="10" fillId="3" borderId="22" xfId="0" applyFont="1" applyFill="1" applyBorder="1" applyAlignment="1">
      <alignment horizontal="center" vertical="center"/>
    </xf>
    <xf numFmtId="3" fontId="10" fillId="3" borderId="19" xfId="0" applyNumberFormat="1" applyFont="1" applyFill="1" applyBorder="1" applyAlignment="1">
      <alignment horizontal="center" vertical="distributed" wrapText="1"/>
    </xf>
    <xf numFmtId="0" fontId="0" fillId="0" borderId="29" xfId="0" applyBorder="1"/>
    <xf numFmtId="0" fontId="14" fillId="6" borderId="3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distributed" wrapText="1"/>
    </xf>
    <xf numFmtId="0" fontId="0" fillId="0" borderId="38" xfId="0" applyBorder="1"/>
    <xf numFmtId="0" fontId="0" fillId="0" borderId="39" xfId="0" applyBorder="1"/>
    <xf numFmtId="0" fontId="2" fillId="0" borderId="2" xfId="0" applyFont="1" applyBorder="1" applyAlignment="1">
      <alignment horizontal="center" vertical="distributed" wrapText="1"/>
    </xf>
    <xf numFmtId="0" fontId="0" fillId="0" borderId="40" xfId="0" applyBorder="1"/>
    <xf numFmtId="0" fontId="0" fillId="0" borderId="41" xfId="0" applyBorder="1"/>
    <xf numFmtId="0" fontId="9" fillId="3" borderId="17" xfId="0" applyFont="1" applyFill="1" applyBorder="1" applyAlignment="1">
      <alignment horizontal="center" vertical="distributed" wrapText="1"/>
    </xf>
    <xf numFmtId="0" fontId="10" fillId="3" borderId="20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0" fillId="0" borderId="21" xfId="0" applyBorder="1"/>
    <xf numFmtId="3" fontId="10" fillId="3" borderId="19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0" fillId="0" borderId="23" xfId="0" applyBorder="1"/>
    <xf numFmtId="0" fontId="9" fillId="3" borderId="32" xfId="0" applyFont="1" applyFill="1" applyBorder="1" applyAlignment="1">
      <alignment horizontal="center" vertical="center"/>
    </xf>
    <xf numFmtId="3" fontId="10" fillId="3" borderId="30" xfId="0" applyNumberFormat="1" applyFont="1" applyFill="1" applyBorder="1" applyAlignment="1">
      <alignment horizontal="center" vertical="center"/>
    </xf>
    <xf numFmtId="0" fontId="0" fillId="0" borderId="45" xfId="0" applyBorder="1"/>
    <xf numFmtId="0" fontId="10" fillId="3" borderId="33" xfId="0" applyFont="1" applyFill="1" applyBorder="1" applyAlignment="1">
      <alignment horizontal="center" vertical="distributed" wrapText="1"/>
    </xf>
    <xf numFmtId="0" fontId="9" fillId="13" borderId="17" xfId="0" applyFont="1" applyFill="1" applyBorder="1" applyAlignment="1">
      <alignment horizontal="center" vertical="distributed" wrapText="1"/>
    </xf>
    <xf numFmtId="0" fontId="16" fillId="13" borderId="28" xfId="0" applyFont="1" applyFill="1" applyBorder="1" applyAlignment="1">
      <alignment horizontal="center" vertical="center"/>
    </xf>
    <xf numFmtId="0" fontId="10" fillId="13" borderId="33" xfId="0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3" fontId="10" fillId="13" borderId="30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distributed" wrapText="1"/>
    </xf>
    <xf numFmtId="0" fontId="10" fillId="3" borderId="34" xfId="0" applyFont="1" applyFill="1" applyBorder="1" applyAlignment="1">
      <alignment horizontal="center" vertical="center"/>
    </xf>
    <xf numFmtId="3" fontId="10" fillId="3" borderId="35" xfId="0" applyNumberFormat="1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distributed" wrapText="1"/>
    </xf>
    <xf numFmtId="3" fontId="10" fillId="3" borderId="24" xfId="0" applyNumberFormat="1" applyFont="1" applyFill="1" applyBorder="1" applyAlignment="1">
      <alignment horizontal="center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5F1"/>
      <rgbColor rgb="FFD9D9D9"/>
      <rgbColor rgb="FFFFFF99"/>
      <rgbColor rgb="FFB8CCE4"/>
      <rgbColor rgb="FFFF99CC"/>
      <rgbColor rgb="FFCC99FF"/>
      <rgbColor rgb="FFD8D8D8"/>
      <rgbColor rgb="FF3366FF"/>
      <rgbColor rgb="FF33CCCC"/>
      <rgbColor rgb="FF6CFC24"/>
      <rgbColor rgb="FFFFCC00"/>
      <rgbColor rgb="FFFF99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ites/RevisoProgramadaStellantis2/Shared%20Documents/General/Base/BaseDeRevis&#245;es_xF_Brasil.xlsx" TargetMode="External"/><Relationship Id="rId1" Type="http://schemas.openxmlformats.org/officeDocument/2006/relationships/externalLinkPath" Target="/Users/alber/sites/RevisoProgramadaStellantis2/Shared%20Documents/General/Base/BaseDeRevis&#245;es_xF_Bras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ÇO ATUAL"/>
      <sheetName val="LUBRIFICANTE FIAT"/>
      <sheetName val="LUBRIFICANTE CJDR"/>
      <sheetName val="LUBRIFICANTE LEAPMOTOR"/>
    </sheetNames>
    <sheetDataSet>
      <sheetData sheetId="0">
        <row r="1">
          <cell r="A1" t="str">
            <v>DESENHO</v>
          </cell>
          <cell r="B1" t="str">
            <v>DENOMINAÇÃO</v>
          </cell>
          <cell r="C1" t="str">
            <v>NF Base SP</v>
          </cell>
          <cell r="D1" t="str">
            <v>PREÇO VENDA</v>
          </cell>
        </row>
        <row r="2">
          <cell r="A2" t="str">
            <v>9809532380</v>
          </cell>
          <cell r="B2" t="str">
            <v>FILTRO DE OLEO</v>
          </cell>
          <cell r="D2">
            <v>115.4</v>
          </cell>
        </row>
        <row r="3">
          <cell r="A3" t="str">
            <v>77368658</v>
          </cell>
          <cell r="B3" t="str">
            <v>ELEMENTO FILTRANTE</v>
          </cell>
          <cell r="D3">
            <v>509.11475999999999</v>
          </cell>
        </row>
        <row r="4">
          <cell r="A4" t="str">
            <v>9826368080</v>
          </cell>
          <cell r="B4" t="str">
            <v>TENSOR DE CORREIA</v>
          </cell>
          <cell r="D4">
            <v>749.53401599999995</v>
          </cell>
        </row>
        <row r="5">
          <cell r="A5" t="str">
            <v>9677491780</v>
          </cell>
          <cell r="B5" t="str">
            <v>ANEL DO BUJÃO</v>
          </cell>
          <cell r="D5">
            <v>12.867623999999999</v>
          </cell>
        </row>
        <row r="6">
          <cell r="A6" t="str">
            <v>9400164889</v>
          </cell>
          <cell r="B6" t="str">
            <v>ANEL DO BUJÃO</v>
          </cell>
          <cell r="D6">
            <v>13.243691999999999</v>
          </cell>
        </row>
        <row r="7">
          <cell r="A7" t="str">
            <v>155254505</v>
          </cell>
          <cell r="B7" t="str">
            <v>FILTRO DE ÓLEO DO MOTOR</v>
          </cell>
          <cell r="D7">
            <v>101.44</v>
          </cell>
        </row>
        <row r="8">
          <cell r="A8" t="str">
            <v>155253599</v>
          </cell>
          <cell r="B8" t="str">
            <v>FILTRO COMBUSTIVEL</v>
          </cell>
          <cell r="D8">
            <v>374.14</v>
          </cell>
        </row>
        <row r="9">
          <cell r="A9" t="str">
            <v>9813908880</v>
          </cell>
          <cell r="B9" t="str">
            <v>ELEMENTO DE FILTRO DE AR</v>
          </cell>
          <cell r="D9">
            <v>133.51</v>
          </cell>
        </row>
        <row r="10">
          <cell r="A10" t="str">
            <v>6000655015</v>
          </cell>
          <cell r="B10" t="str">
            <v>FILTRO DE PÓLEN</v>
          </cell>
          <cell r="D10">
            <v>158.84</v>
          </cell>
        </row>
        <row r="11">
          <cell r="A11" t="str">
            <v>155253981</v>
          </cell>
          <cell r="B11" t="str">
            <v>CORREIA DE DISTRIBUIÇÃO</v>
          </cell>
          <cell r="D11">
            <v>376.45</v>
          </cell>
        </row>
        <row r="12">
          <cell r="A12" t="str">
            <v>55267995</v>
          </cell>
          <cell r="B12" t="str">
            <v>VELA IGNICAO</v>
          </cell>
          <cell r="D12">
            <v>175.9</v>
          </cell>
        </row>
        <row r="13">
          <cell r="A13" t="str">
            <v>52162685</v>
          </cell>
          <cell r="B13" t="str">
            <v>FILTRO COMBUSTIVEL CMBGA</v>
          </cell>
          <cell r="D13">
            <v>35.9</v>
          </cell>
        </row>
        <row r="14">
          <cell r="A14" t="str">
            <v>7087265</v>
          </cell>
          <cell r="B14" t="str">
            <v>CJ REPARO REDUTOR DE PRESSAO</v>
          </cell>
          <cell r="D14">
            <v>0</v>
          </cell>
        </row>
        <row r="15">
          <cell r="A15" t="str">
            <v>46348847</v>
          </cell>
          <cell r="B15" t="str">
            <v>VELA IGNICAO</v>
          </cell>
          <cell r="D15">
            <v>114.24</v>
          </cell>
        </row>
        <row r="16">
          <cell r="A16" t="str">
            <v>55258359</v>
          </cell>
          <cell r="B16" t="str">
            <v>CORREIA POLY-V 6K L=1452MM X21,16</v>
          </cell>
          <cell r="D16">
            <v>169.01</v>
          </cell>
        </row>
        <row r="17">
          <cell r="A17" t="str">
            <v>77367623</v>
          </cell>
          <cell r="B17" t="str">
            <v>ELEMENTO FILTRANTE</v>
          </cell>
          <cell r="D17">
            <v>379</v>
          </cell>
        </row>
        <row r="18">
          <cell r="A18" t="str">
            <v>77369138</v>
          </cell>
          <cell r="B18" t="str">
            <v>GASOLIO</v>
          </cell>
          <cell r="D18">
            <v>489</v>
          </cell>
        </row>
        <row r="19">
          <cell r="A19" t="str">
            <v>55251324</v>
          </cell>
          <cell r="B19" t="str">
            <v>CORREIA AUXILIAR DO MOTOR 6 DENTES</v>
          </cell>
          <cell r="D19">
            <v>293.7396</v>
          </cell>
        </row>
        <row r="20">
          <cell r="A20" t="str">
            <v>46354609</v>
          </cell>
          <cell r="B20" t="str">
            <v>CORREIA AUXILIAR DO MOTOR 6 DENTES</v>
          </cell>
          <cell r="D20">
            <v>296.29000000000002</v>
          </cell>
        </row>
        <row r="21">
          <cell r="A21" t="str">
            <v>55267966</v>
          </cell>
          <cell r="B21" t="str">
            <v>CORREIA TRANSMISSAO  POLY-V 5K L1171-DAY</v>
          </cell>
          <cell r="D21">
            <v>143.22999999999999</v>
          </cell>
        </row>
        <row r="22">
          <cell r="A22" t="str">
            <v>71779555</v>
          </cell>
          <cell r="B22" t="str">
            <v>FILTRO OLEO C/MARCA MOPAR (0,6L)</v>
          </cell>
          <cell r="D22">
            <v>182.87</v>
          </cell>
        </row>
        <row r="23">
          <cell r="A23" t="str">
            <v>2995811</v>
          </cell>
          <cell r="B23" t="str">
            <v>FILTRO OLEO C MARCA FPT  0 6L    CURTO</v>
          </cell>
          <cell r="D23">
            <v>195.04715999999999</v>
          </cell>
        </row>
        <row r="24">
          <cell r="A24" t="str">
            <v>46796687</v>
          </cell>
          <cell r="B24" t="str">
            <v>FILTRO OLEO MOTOR</v>
          </cell>
          <cell r="D24">
            <v>79.900000000000006</v>
          </cell>
        </row>
        <row r="25">
          <cell r="A25" t="str">
            <v>6000631700</v>
          </cell>
          <cell r="B25" t="str">
            <v>FILTRO DE OLEO DO MOTOR</v>
          </cell>
          <cell r="D25">
            <v>79.900000000000006</v>
          </cell>
        </row>
        <row r="26">
          <cell r="A26" t="str">
            <v>7094709</v>
          </cell>
          <cell r="B26" t="str">
            <v>FILTRO OLEO MOTOR WEGA</v>
          </cell>
          <cell r="D26">
            <v>79.900000000000006</v>
          </cell>
        </row>
        <row r="27">
          <cell r="A27" t="str">
            <v>71754237</v>
          </cell>
          <cell r="B27" t="str">
            <v>FILTRO OLEO MOTOR</v>
          </cell>
          <cell r="D27">
            <v>86.54</v>
          </cell>
        </row>
        <row r="28">
          <cell r="A28" t="str">
            <v>5802102136</v>
          </cell>
          <cell r="B28" t="str">
            <v>CORREIA COMPRESSOR/ARV RIBS=4 L=880MM</v>
          </cell>
          <cell r="D28">
            <v>185.49299999999999</v>
          </cell>
        </row>
        <row r="29">
          <cell r="A29" t="str">
            <v>51773404</v>
          </cell>
          <cell r="B29" t="str">
            <v>ELEMENTO FILTRO AR</v>
          </cell>
          <cell r="D29">
            <v>122.039148</v>
          </cell>
        </row>
        <row r="30">
          <cell r="A30" t="str">
            <v>5801467815</v>
          </cell>
          <cell r="B30" t="str">
            <v>CORREIA DISTRIBUICAO L=1695.45MM</v>
          </cell>
          <cell r="D30">
            <v>663.26</v>
          </cell>
        </row>
        <row r="31">
          <cell r="A31" t="str">
            <v>71738161</v>
          </cell>
          <cell r="B31" t="str">
            <v>CORREIA BOMBA DH 3KX700 -(DUPLO FORN)</v>
          </cell>
          <cell r="D31">
            <v>90.703536</v>
          </cell>
        </row>
        <row r="32">
          <cell r="A32" t="str">
            <v>55208286</v>
          </cell>
          <cell r="B32" t="str">
            <v>ELEMENTO FILTRO AR</v>
          </cell>
          <cell r="D32">
            <v>37.921883999999999</v>
          </cell>
        </row>
        <row r="33">
          <cell r="A33" t="str">
            <v>55211240</v>
          </cell>
          <cell r="B33" t="str">
            <v>CORREIA ARV MANIV/ DH-L=10,68X895MM</v>
          </cell>
          <cell r="D33">
            <v>149.54</v>
          </cell>
        </row>
        <row r="34">
          <cell r="A34" t="str">
            <v>55232450</v>
          </cell>
          <cell r="B34" t="str">
            <v>CORREAI TRANSMISSAO SERIE K 1150X5-DAYCO</v>
          </cell>
          <cell r="D34">
            <v>151.992456</v>
          </cell>
        </row>
        <row r="35">
          <cell r="A35" t="str">
            <v>155258265</v>
          </cell>
          <cell r="B35" t="str">
            <v>VELA IGNICAO RESISTIVA</v>
          </cell>
          <cell r="D35">
            <v>65.900000000000006</v>
          </cell>
        </row>
        <row r="36">
          <cell r="A36" t="str">
            <v>KSP148183AD</v>
          </cell>
          <cell r="B36" t="str">
            <v>VELA DE IGNICAO</v>
          </cell>
          <cell r="D36">
            <v>163</v>
          </cell>
        </row>
        <row r="37">
          <cell r="A37" t="str">
            <v>52062431</v>
          </cell>
          <cell r="B37" t="str">
            <v>ELEMENTO FILTRANTE</v>
          </cell>
          <cell r="D37">
            <v>84.9</v>
          </cell>
        </row>
        <row r="38">
          <cell r="A38" t="str">
            <v>7087808</v>
          </cell>
          <cell r="B38" t="str">
            <v>FILTRO OLEO + ORING.                   .</v>
          </cell>
          <cell r="D38">
            <v>41.43</v>
          </cell>
        </row>
        <row r="39">
          <cell r="A39" t="str">
            <v>55271951</v>
          </cell>
          <cell r="B39" t="str">
            <v>CORREIA POLY V ALTERNADOR/ARV L=1184MM</v>
          </cell>
          <cell r="D39">
            <v>172.68636000000001</v>
          </cell>
        </row>
        <row r="40">
          <cell r="A40" t="str">
            <v>51857956</v>
          </cell>
          <cell r="B40" t="str">
            <v>ELEMENTO FILTRO AR</v>
          </cell>
          <cell r="D40">
            <v>90.75</v>
          </cell>
        </row>
        <row r="41">
          <cell r="A41" t="str">
            <v>52046268</v>
          </cell>
          <cell r="B41" t="str">
            <v>ELEMENTO FILTRANTE</v>
          </cell>
          <cell r="D41">
            <v>89.9</v>
          </cell>
        </row>
        <row r="42">
          <cell r="A42" t="str">
            <v>77365902</v>
          </cell>
          <cell r="B42" t="str">
            <v>ELEMENTO FILTRANTE FILTRO DO COMBUSTIVEL</v>
          </cell>
          <cell r="D42">
            <v>234.01</v>
          </cell>
        </row>
        <row r="43">
          <cell r="A43" t="str">
            <v>7082141</v>
          </cell>
          <cell r="B43" t="str">
            <v>ELEMENTO FILTRO AR</v>
          </cell>
          <cell r="D43">
            <v>45.9</v>
          </cell>
        </row>
        <row r="44">
          <cell r="A44" t="str">
            <v>51854598</v>
          </cell>
          <cell r="B44" t="str">
            <v>ELEMENTO FILTRANTE DO AR</v>
          </cell>
          <cell r="D44">
            <v>83.06</v>
          </cell>
        </row>
        <row r="45">
          <cell r="A45" t="str">
            <v>46420988</v>
          </cell>
          <cell r="B45" t="str">
            <v>ELEMENTO FILTRO AR</v>
          </cell>
          <cell r="D45">
            <v>79.055592000000004</v>
          </cell>
        </row>
        <row r="46">
          <cell r="A46" t="str">
            <v>50048146</v>
          </cell>
          <cell r="B46" t="str">
            <v>CORREIA</v>
          </cell>
          <cell r="D46">
            <v>302.22000000000003</v>
          </cell>
        </row>
        <row r="47">
          <cell r="A47" t="str">
            <v>55226520</v>
          </cell>
          <cell r="B47" t="str">
            <v>VELA IGNICAO ZKR8B-10 (7101060)</v>
          </cell>
          <cell r="D47">
            <v>41.9</v>
          </cell>
        </row>
        <row r="48">
          <cell r="A48" t="str">
            <v>55258482</v>
          </cell>
          <cell r="B48" t="str">
            <v>CORREIA DENTADA-DAYCO C/GRAXA BALDOTOX</v>
          </cell>
          <cell r="D48">
            <v>110.87</v>
          </cell>
        </row>
        <row r="49">
          <cell r="A49" t="str">
            <v>46751179</v>
          </cell>
          <cell r="B49" t="str">
            <v>FILTRO OLEO - SOGEFI</v>
          </cell>
          <cell r="D49">
            <v>71.2</v>
          </cell>
        </row>
        <row r="50">
          <cell r="A50" t="str">
            <v>50055447</v>
          </cell>
          <cell r="B50" t="str">
            <v>FILTRO OLEO MOTOR</v>
          </cell>
          <cell r="D50">
            <v>102.7</v>
          </cell>
        </row>
        <row r="51">
          <cell r="A51" t="str">
            <v>K04892339AB</v>
          </cell>
          <cell r="B51" t="str">
            <v>FILTRO DE OLEO DO MOTOR</v>
          </cell>
          <cell r="D51">
            <v>0</v>
          </cell>
        </row>
        <row r="52">
          <cell r="A52" t="str">
            <v>50057786</v>
          </cell>
          <cell r="B52" t="str">
            <v>FILTRO OLEO MOTOR</v>
          </cell>
          <cell r="D52">
            <v>102.7</v>
          </cell>
        </row>
        <row r="53">
          <cell r="A53" t="str">
            <v>55244798</v>
          </cell>
          <cell r="B53" t="str">
            <v>CORREIA COMPRESSOR/ARV L1387MM K6 DAYCO</v>
          </cell>
          <cell r="D53">
            <v>213.66</v>
          </cell>
        </row>
        <row r="54">
          <cell r="A54" t="str">
            <v>55267121</v>
          </cell>
          <cell r="B54" t="str">
            <v>VELA IGNICAO NGK KR8B-10D</v>
          </cell>
          <cell r="D54">
            <v>49.9</v>
          </cell>
        </row>
        <row r="55">
          <cell r="A55" t="str">
            <v>46480362</v>
          </cell>
          <cell r="B55" t="str">
            <v>VELA IGNICAO BKR6E (13509)</v>
          </cell>
          <cell r="D55">
            <v>24.15</v>
          </cell>
        </row>
        <row r="56">
          <cell r="A56" t="str">
            <v>51977574</v>
          </cell>
          <cell r="B56" t="str">
            <v>ELEMENTO FILTRANTE</v>
          </cell>
          <cell r="D56">
            <v>101.54</v>
          </cell>
        </row>
        <row r="57">
          <cell r="A57" t="str">
            <v>46744566</v>
          </cell>
          <cell r="B57" t="str">
            <v>CORREIA ARVORE MANIVELAS/BOMBA DH-HUTCHI</v>
          </cell>
          <cell r="D57">
            <v>25.55</v>
          </cell>
        </row>
        <row r="58">
          <cell r="A58" t="str">
            <v>55236185</v>
          </cell>
          <cell r="B58" t="str">
            <v>CORREIA POLY V 5K L1175 -DAYCO</v>
          </cell>
          <cell r="D58">
            <v>139.9</v>
          </cell>
        </row>
        <row r="59">
          <cell r="A59" t="str">
            <v>500388408</v>
          </cell>
          <cell r="B59" t="str">
            <v>CORREIA ALTER/BOMBA DAGUA 24,92X1076X7</v>
          </cell>
          <cell r="D59">
            <v>220.39</v>
          </cell>
        </row>
        <row r="60">
          <cell r="A60" t="str">
            <v>46337687</v>
          </cell>
          <cell r="B60" t="str">
            <v>CORREIA DENTADA-CONTINENTAL C/GRAXA</v>
          </cell>
          <cell r="D60">
            <v>136.4</v>
          </cell>
        </row>
        <row r="61">
          <cell r="A61" t="str">
            <v>KSP261405AB</v>
          </cell>
          <cell r="B61" t="str">
            <v>VELA IGNICAO</v>
          </cell>
          <cell r="D61">
            <v>129.41999999999999</v>
          </cell>
        </row>
        <row r="62">
          <cell r="A62" t="str">
            <v>K68191349AC</v>
          </cell>
          <cell r="B62" t="str">
            <v>KIT FILTRO OLEO  FILTRO GUARNICAO</v>
          </cell>
          <cell r="D62">
            <v>197.04</v>
          </cell>
        </row>
        <row r="63">
          <cell r="A63" t="str">
            <v>K68535613AA</v>
          </cell>
          <cell r="B63" t="str">
            <v>ELEMENTO FILTRANTE DE AR CABINE</v>
          </cell>
          <cell r="D63">
            <v>152.72</v>
          </cell>
        </row>
        <row r="64">
          <cell r="A64" t="str">
            <v>K68257791AB</v>
          </cell>
          <cell r="B64" t="str">
            <v>FILTRO DE AR</v>
          </cell>
          <cell r="D64">
            <v>196.78</v>
          </cell>
        </row>
        <row r="65">
          <cell r="A65" t="str">
            <v>K1AML00006A</v>
          </cell>
          <cell r="B65" t="str">
            <v>FILTRO OLEO DO MOTOR</v>
          </cell>
          <cell r="D65">
            <v>219.04</v>
          </cell>
        </row>
        <row r="66">
          <cell r="A66" t="str">
            <v>K68535621AA</v>
          </cell>
          <cell r="B66" t="str">
            <v>ELEMENTO FILTRANTE DE AR DA CABINE</v>
          </cell>
          <cell r="D66">
            <v>513.60724800000003</v>
          </cell>
        </row>
        <row r="67">
          <cell r="A67" t="str">
            <v>K68257030AA</v>
          </cell>
          <cell r="B67" t="str">
            <v>FILTRO DE AR DO MOTOR</v>
          </cell>
          <cell r="D67">
            <v>593.72</v>
          </cell>
        </row>
        <row r="68">
          <cell r="A68" t="str">
            <v>K68535619AA</v>
          </cell>
          <cell r="B68" t="str">
            <v>FILTRO DE A/C</v>
          </cell>
          <cell r="D68">
            <v>474.59</v>
          </cell>
        </row>
        <row r="69">
          <cell r="A69" t="str">
            <v>K52022378AB</v>
          </cell>
          <cell r="B69" t="str">
            <v>FILTRO DE AR DO MOTOR</v>
          </cell>
          <cell r="D69">
            <v>330.82</v>
          </cell>
        </row>
        <row r="70">
          <cell r="A70" t="str">
            <v>K05083285AA</v>
          </cell>
          <cell r="B70" t="str">
            <v>FILTRO DE OLEO DO MOTOR</v>
          </cell>
          <cell r="D70">
            <v>183.39</v>
          </cell>
        </row>
        <row r="71">
          <cell r="A71" t="str">
            <v>K68157291AA</v>
          </cell>
          <cell r="B71" t="str">
            <v>FILTRO DE COMBUSTIVEL</v>
          </cell>
          <cell r="D71">
            <v>793.25</v>
          </cell>
        </row>
        <row r="72">
          <cell r="A72" t="str">
            <v>K68197867AB</v>
          </cell>
          <cell r="B72" t="str">
            <v>KIT FILTRO SEPARADOR</v>
          </cell>
          <cell r="D72">
            <v>1540.9843679999999</v>
          </cell>
        </row>
        <row r="73">
          <cell r="A73" t="str">
            <v>K68517554AA</v>
          </cell>
          <cell r="B73" t="str">
            <v>ELEMENTO FILTRANTE DE AR DO MOTOR</v>
          </cell>
          <cell r="D73">
            <v>550.39</v>
          </cell>
        </row>
        <row r="74">
          <cell r="A74" t="str">
            <v>K05058693AA</v>
          </cell>
          <cell r="B74" t="str">
            <v>FILTRO DO AR CONDICIONADO</v>
          </cell>
          <cell r="D74">
            <v>245.9</v>
          </cell>
        </row>
        <row r="75">
          <cell r="A75" t="str">
            <v>K68081249AD</v>
          </cell>
          <cell r="B75" t="str">
            <v>FILTRO AR</v>
          </cell>
          <cell r="D75">
            <v>179.9</v>
          </cell>
        </row>
        <row r="76">
          <cell r="A76" t="str">
            <v>K68548579AA</v>
          </cell>
          <cell r="B76" t="str">
            <v>ELEMENTO FILTRANTE</v>
          </cell>
          <cell r="D76">
            <v>667.88</v>
          </cell>
        </row>
        <row r="77">
          <cell r="A77" t="str">
            <v>K68436631AA</v>
          </cell>
          <cell r="B77" t="str">
            <v>ELEM. FITRANTE SEPAR. COMBUSTIVEL/AGUA</v>
          </cell>
          <cell r="D77">
            <v>790.71</v>
          </cell>
        </row>
        <row r="78">
          <cell r="A78" t="str">
            <v>K68002433AC</v>
          </cell>
          <cell r="B78" t="str">
            <v>RESPIRO DO CARTER</v>
          </cell>
          <cell r="D78">
            <v>1850.091936</v>
          </cell>
        </row>
        <row r="79">
          <cell r="A79" t="str">
            <v>K68606182AA</v>
          </cell>
          <cell r="B79" t="str">
            <v>FILTRO DO AR CONDICIONADO</v>
          </cell>
          <cell r="D79">
            <v>204.61148399999999</v>
          </cell>
        </row>
        <row r="80">
          <cell r="A80" t="str">
            <v>K04861756AA</v>
          </cell>
          <cell r="B80" t="str">
            <v>ELEMENTO DO FILTRO DE AR</v>
          </cell>
          <cell r="D80">
            <v>647.44000000000005</v>
          </cell>
        </row>
        <row r="81">
          <cell r="A81" t="str">
            <v>K68492616AA</v>
          </cell>
          <cell r="B81" t="str">
            <v>FILTRO DE OLEO DO MOTOR</v>
          </cell>
          <cell r="D81">
            <v>765.45</v>
          </cell>
        </row>
        <row r="82">
          <cell r="A82" t="str">
            <v>46343218</v>
          </cell>
          <cell r="B82" t="str">
            <v>FILTRO DE ?LEO</v>
          </cell>
          <cell r="D82">
            <v>765.45</v>
          </cell>
        </row>
        <row r="83">
          <cell r="A83" t="str">
            <v>K68260792AB</v>
          </cell>
          <cell r="B83" t="str">
            <v>FILTRO DE AR DA CABINE</v>
          </cell>
          <cell r="D83">
            <v>597.23</v>
          </cell>
        </row>
        <row r="84">
          <cell r="A84" t="str">
            <v>K04861688AB</v>
          </cell>
          <cell r="B84" t="str">
            <v>FILTRO DE AR DO MOTOR DE IGNICAO</v>
          </cell>
          <cell r="D84">
            <v>409.45</v>
          </cell>
        </row>
        <row r="85">
          <cell r="A85" t="str">
            <v>K04726067AA</v>
          </cell>
          <cell r="B85" t="str">
            <v>FILTRO SEPARADOR DE COMBUSTIVEL</v>
          </cell>
          <cell r="D85">
            <v>529.6</v>
          </cell>
        </row>
        <row r="86">
          <cell r="A86" t="str">
            <v>K68071668AA</v>
          </cell>
          <cell r="B86" t="str">
            <v>FILTRO AR CABINE</v>
          </cell>
          <cell r="D86">
            <v>176.82</v>
          </cell>
        </row>
        <row r="87">
          <cell r="A87" t="str">
            <v>K04861746AB</v>
          </cell>
          <cell r="B87" t="str">
            <v>ELEMENTO FILTRO AR</v>
          </cell>
          <cell r="D87">
            <v>637.951254243275</v>
          </cell>
        </row>
        <row r="88">
          <cell r="A88" t="str">
            <v>K68127809AA</v>
          </cell>
          <cell r="B88" t="str">
            <v>FILTRO DO AR CONDICIONADO</v>
          </cell>
          <cell r="D88">
            <v>272.38</v>
          </cell>
        </row>
        <row r="89">
          <cell r="A89" t="str">
            <v>K68127809AB</v>
          </cell>
          <cell r="B89" t="str">
            <v>FILTRO DO AR CONDICIONADO</v>
          </cell>
          <cell r="D89">
            <v>271.57191599999999</v>
          </cell>
        </row>
        <row r="90">
          <cell r="A90" t="str">
            <v>K04861737AB</v>
          </cell>
          <cell r="B90" t="str">
            <v>FILTRO DE AR</v>
          </cell>
          <cell r="D90">
            <v>604.79999999999995</v>
          </cell>
        </row>
        <row r="91">
          <cell r="A91" t="str">
            <v>K68386779AA</v>
          </cell>
          <cell r="B91" t="str">
            <v>PURIFICADOR DE AR</v>
          </cell>
          <cell r="D91">
            <v>395.7</v>
          </cell>
        </row>
        <row r="92">
          <cell r="A92" t="str">
            <v>46348274</v>
          </cell>
          <cell r="B92" t="str">
            <v>CORREIA DE TRANSMISSAO</v>
          </cell>
          <cell r="D92">
            <v>475</v>
          </cell>
        </row>
        <row r="93">
          <cell r="A93" t="str">
            <v>50051491</v>
          </cell>
          <cell r="B93" t="str">
            <v>VELA DE IGNICAO</v>
          </cell>
          <cell r="D93">
            <v>252.11</v>
          </cell>
        </row>
        <row r="94">
          <cell r="A94" t="str">
            <v>71775823</v>
          </cell>
          <cell r="B94" t="str">
            <v>FILTRO DO AR CONDICIONADO CARVOES ATIVOS</v>
          </cell>
          <cell r="D94">
            <v>154.6</v>
          </cell>
        </row>
        <row r="95">
          <cell r="A95" t="str">
            <v>KSP143877AB</v>
          </cell>
          <cell r="B95" t="str">
            <v>VELA DE IGNICAO</v>
          </cell>
          <cell r="D95">
            <v>293.7396</v>
          </cell>
        </row>
        <row r="96">
          <cell r="A96" t="str">
            <v>46350119</v>
          </cell>
          <cell r="B96" t="str">
            <v>ANEL O RING</v>
          </cell>
          <cell r="D96">
            <v>84.710953806571794</v>
          </cell>
        </row>
        <row r="97">
          <cell r="A97" t="str">
            <v>46347605</v>
          </cell>
          <cell r="B97" t="str">
            <v>FILTRO DE OLEO CC1.3 TURBO</v>
          </cell>
          <cell r="D97">
            <v>112.46</v>
          </cell>
        </row>
        <row r="98">
          <cell r="A98" t="str">
            <v>53489525</v>
          </cell>
          <cell r="B98" t="str">
            <v>FILTRO COMBUSTIVEL MOTOR 1.3CC TUR CMBGA</v>
          </cell>
          <cell r="D98">
            <v>35.9</v>
          </cell>
        </row>
        <row r="99">
          <cell r="A99" t="str">
            <v>52080841</v>
          </cell>
          <cell r="B99" t="str">
            <v>ELEMENTO FILTRANTE</v>
          </cell>
          <cell r="D99">
            <v>114.17</v>
          </cell>
        </row>
        <row r="100">
          <cell r="A100" t="str">
            <v>52079874</v>
          </cell>
          <cell r="B100" t="str">
            <v>ELEMENTO FILTRANTE</v>
          </cell>
          <cell r="D100">
            <v>180.21</v>
          </cell>
        </row>
        <row r="101">
          <cell r="A101" t="str">
            <v>46336161</v>
          </cell>
          <cell r="B101" t="str">
            <v>VELA IGNICAO</v>
          </cell>
          <cell r="D101">
            <v>155.01</v>
          </cell>
        </row>
        <row r="102">
          <cell r="A102" t="str">
            <v>46348571</v>
          </cell>
          <cell r="B102" t="str">
            <v>CORREIA ALTERNADOR/COMPRESSOR</v>
          </cell>
          <cell r="D102">
            <v>88.64</v>
          </cell>
        </row>
        <row r="103">
          <cell r="A103" t="str">
            <v>K68565698AA</v>
          </cell>
          <cell r="B103" t="str">
            <v>ELEMENTO FILTRANTE AR CONDICIONADO</v>
          </cell>
          <cell r="D103">
            <v>521</v>
          </cell>
        </row>
        <row r="104">
          <cell r="A104" t="str">
            <v>KSP225755AB</v>
          </cell>
          <cell r="B104" t="str">
            <v>VELA IGNICAO</v>
          </cell>
          <cell r="D104">
            <v>389.12</v>
          </cell>
        </row>
        <row r="105">
          <cell r="A105" t="str">
            <v>46337528</v>
          </cell>
          <cell r="B105" t="str">
            <v>FILTRO DE OLEO</v>
          </cell>
          <cell r="D105">
            <v>78.44</v>
          </cell>
        </row>
        <row r="106">
          <cell r="A106" t="str">
            <v>155253938</v>
          </cell>
          <cell r="B106" t="str">
            <v>TENSOR DA CORREIA DENTADA</v>
          </cell>
          <cell r="D106">
            <v>381.11</v>
          </cell>
        </row>
        <row r="107">
          <cell r="A107" t="str">
            <v>155254522</v>
          </cell>
          <cell r="B107" t="str">
            <v>BOMBA DE AGUA DO MOTOR</v>
          </cell>
          <cell r="D107">
            <v>1612.9759799999999</v>
          </cell>
        </row>
        <row r="108">
          <cell r="A108" t="str">
            <v>9813908180</v>
          </cell>
          <cell r="B108" t="str">
            <v>CORREIA</v>
          </cell>
          <cell r="D108">
            <v>205.93</v>
          </cell>
        </row>
        <row r="109">
          <cell r="A109" t="str">
            <v>155253564</v>
          </cell>
          <cell r="B109" t="str">
            <v>TENSOR CORREIA AUX</v>
          </cell>
          <cell r="D109">
            <v>559</v>
          </cell>
        </row>
        <row r="110">
          <cell r="A110" t="str">
            <v>46344793</v>
          </cell>
          <cell r="B110" t="str">
            <v>VELA DE IGNICAO</v>
          </cell>
          <cell r="D110">
            <v>254.93</v>
          </cell>
        </row>
        <row r="111">
          <cell r="A111" t="str">
            <v>77369203</v>
          </cell>
          <cell r="B111" t="str">
            <v>ELEMENTO FILTRANTE AR CONDICIONADO</v>
          </cell>
          <cell r="D111">
            <v>178.5</v>
          </cell>
        </row>
        <row r="112">
          <cell r="A112" t="str">
            <v>46345198</v>
          </cell>
          <cell r="B112" t="str">
            <v>CORREIA DE BORRACHA</v>
          </cell>
          <cell r="D112">
            <v>607.79999999999995</v>
          </cell>
        </row>
        <row r="113">
          <cell r="A113" t="str">
            <v>9467642480</v>
          </cell>
          <cell r="B113" t="str">
            <v>CORREIA DE BORRACHA</v>
          </cell>
          <cell r="D113">
            <v>581.33000000000004</v>
          </cell>
        </row>
        <row r="114">
          <cell r="A114" t="str">
            <v>6000633316</v>
          </cell>
          <cell r="B114" t="str">
            <v>FILTRO DE AR CONDICIONADO</v>
          </cell>
          <cell r="D114">
            <v>79</v>
          </cell>
        </row>
        <row r="115">
          <cell r="A115" t="str">
            <v>155258297</v>
          </cell>
          <cell r="B115" t="str">
            <v>BOMBA DE AGUA DO MOTOR</v>
          </cell>
          <cell r="D115">
            <v>1208.8553400000001</v>
          </cell>
        </row>
        <row r="116">
          <cell r="A116" t="str">
            <v>7094559</v>
          </cell>
          <cell r="B116" t="str">
            <v>ELEMENTO FILTRANTE</v>
          </cell>
          <cell r="D116">
            <v>267.12</v>
          </cell>
        </row>
        <row r="117">
          <cell r="A117" t="str">
            <v>9809996880</v>
          </cell>
          <cell r="B117" t="str">
            <v>CORREIA</v>
          </cell>
          <cell r="D117">
            <v>274.05734512484003</v>
          </cell>
        </row>
        <row r="118">
          <cell r="A118" t="str">
            <v>155253402</v>
          </cell>
          <cell r="B118" t="str">
            <v>TENSOR DE CORREIA</v>
          </cell>
          <cell r="D118">
            <v>583.494912</v>
          </cell>
        </row>
        <row r="119">
          <cell r="A119" t="str">
            <v>53485830</v>
          </cell>
          <cell r="B119" t="str">
            <v>ELEMENTO FILTRANTE</v>
          </cell>
          <cell r="D119">
            <v>289</v>
          </cell>
        </row>
        <row r="120">
          <cell r="A120" t="str">
            <v>K68089195AA</v>
          </cell>
          <cell r="B120" t="str">
            <v>OLEO LUBRIFICANTE</v>
          </cell>
          <cell r="D120">
            <v>330.631341911574</v>
          </cell>
        </row>
        <row r="121">
          <cell r="A121" t="str">
            <v>K04892339BE</v>
          </cell>
          <cell r="B121" t="str">
            <v>Elemento Filtrante do Filtro Óleo </v>
          </cell>
          <cell r="D121">
            <v>102.7</v>
          </cell>
        </row>
        <row r="122">
          <cell r="A122" t="str">
            <v>K68608193AA</v>
          </cell>
          <cell r="B122" t="str">
            <v>Filtro Ar Condicionado</v>
          </cell>
          <cell r="D122">
            <v>816.4</v>
          </cell>
        </row>
        <row r="123">
          <cell r="A123" t="str">
            <v>K68357605AA</v>
          </cell>
          <cell r="B123" t="str">
            <v>Elemento Filtrante do Ar</v>
          </cell>
          <cell r="D123">
            <v>706.19</v>
          </cell>
        </row>
        <row r="124">
          <cell r="A124" t="str">
            <v>K68292346AA</v>
          </cell>
          <cell r="B124" t="str">
            <v>Vela de Ignição</v>
          </cell>
          <cell r="D124">
            <v>252.11</v>
          </cell>
        </row>
        <row r="125">
          <cell r="A125" t="str">
            <v>50049079</v>
          </cell>
          <cell r="B125" t="str">
            <v>CORREIA DE BORRACHA DE TRANSMISSAO</v>
          </cell>
          <cell r="D125">
            <v>411.1</v>
          </cell>
        </row>
        <row r="126">
          <cell r="A126" t="str">
            <v>53490623</v>
          </cell>
          <cell r="B126" t="str">
            <v>FILTRO COMBUSTIVEL BENZINA</v>
          </cell>
          <cell r="D126">
            <v>64.39</v>
          </cell>
        </row>
        <row r="127">
          <cell r="A127" t="str">
            <v>155255800</v>
          </cell>
          <cell r="B127" t="str">
            <v>Filtro de Combustível</v>
          </cell>
          <cell r="D127">
            <v>305</v>
          </cell>
        </row>
        <row r="128">
          <cell r="A128" t="str">
            <v>155255862</v>
          </cell>
          <cell r="B128" t="str">
            <v>Filtro de Ar</v>
          </cell>
          <cell r="D128">
            <v>304.39</v>
          </cell>
        </row>
        <row r="129">
          <cell r="A129" t="str">
            <v>155253408</v>
          </cell>
          <cell r="B129" t="str">
            <v>KIT DIST+POM AC</v>
          </cell>
          <cell r="D129">
            <v>1805.1873840000001</v>
          </cell>
        </row>
        <row r="130">
          <cell r="A130" t="str">
            <v>155255880</v>
          </cell>
          <cell r="B130" t="str">
            <v>KIT ACCESSORI</v>
          </cell>
          <cell r="D130">
            <v>602.5</v>
          </cell>
        </row>
        <row r="131">
          <cell r="A131" t="str">
            <v>K68466307AB</v>
          </cell>
          <cell r="B131" t="str">
            <v>FILTRO DE OLEO DO MOTOR</v>
          </cell>
          <cell r="D131">
            <v>284.52</v>
          </cell>
        </row>
        <row r="132">
          <cell r="A132" t="str">
            <v>K68575644AB</v>
          </cell>
          <cell r="B132" t="str">
            <v>ELEMENTO FILTRANTE</v>
          </cell>
          <cell r="D132">
            <v>758.99</v>
          </cell>
        </row>
        <row r="133">
          <cell r="A133" t="str">
            <v>46356228</v>
          </cell>
          <cell r="B133" t="str">
            <v>Filtro de Óleo</v>
          </cell>
          <cell r="D133">
            <v>110.2</v>
          </cell>
        </row>
        <row r="134">
          <cell r="A134" t="str">
            <v>52234083</v>
          </cell>
          <cell r="B134" t="str">
            <v>Elemento Filtrante do Ar</v>
          </cell>
          <cell r="D134">
            <v>181.5</v>
          </cell>
        </row>
        <row r="135">
          <cell r="A135" t="str">
            <v>46358641</v>
          </cell>
          <cell r="B135" t="str">
            <v>Correia dos orgãos auxiliares do motor</v>
          </cell>
          <cell r="D135">
            <v>289.35000000000002</v>
          </cell>
        </row>
        <row r="136">
          <cell r="A136" t="str">
            <v>46356229</v>
          </cell>
          <cell r="B136" t="str">
            <v>Correia dentada do comando da distribuição</v>
          </cell>
          <cell r="D136">
            <v>567.54999999999995</v>
          </cell>
        </row>
        <row r="137">
          <cell r="A137" t="str">
            <v>46357445</v>
          </cell>
          <cell r="B137" t="str">
            <v>CORREIA AUXILIAR MOTOR 6PK</v>
          </cell>
          <cell r="D137">
            <v>283.39</v>
          </cell>
        </row>
        <row r="138">
          <cell r="A138" t="str">
            <v>9801366680</v>
          </cell>
          <cell r="B138" t="str">
            <v>ELEMENTO FILTRANTE DE COMBUSTIVEL</v>
          </cell>
          <cell r="D138">
            <v>202.89</v>
          </cell>
        </row>
        <row r="139">
          <cell r="A139" t="str">
            <v>46357071</v>
          </cell>
          <cell r="B139" t="str">
            <v>CORREIA TRANSMISSAO</v>
          </cell>
          <cell r="D139">
            <v>289</v>
          </cell>
        </row>
        <row r="140">
          <cell r="A140" t="str">
            <v>9853098280</v>
          </cell>
          <cell r="B140" t="str">
            <v>ELEMENTO FILTRO DE AR</v>
          </cell>
          <cell r="D140">
            <v>168.9</v>
          </cell>
        </row>
        <row r="141">
          <cell r="A141" t="str">
            <v>1699580280</v>
          </cell>
          <cell r="B141" t="str">
            <v>ELEMENTO FILTRANTE</v>
          </cell>
          <cell r="D141">
            <v>212.95</v>
          </cell>
        </row>
        <row r="142">
          <cell r="A142" t="str">
            <v>52233685</v>
          </cell>
          <cell r="B142" t="str">
            <v>FILTRO AR</v>
          </cell>
          <cell r="D142">
            <v>1206.3041760000001</v>
          </cell>
        </row>
        <row r="143">
          <cell r="A143" t="str">
            <v>52222118</v>
          </cell>
          <cell r="B143" t="str">
            <v>Elemento do filtro de aspirção de ar do motor</v>
          </cell>
          <cell r="D143">
            <v>668.44</v>
          </cell>
        </row>
        <row r="144">
          <cell r="A144" t="str">
            <v>7099618</v>
          </cell>
          <cell r="B144" t="str">
            <v>FILTRO VAPOR COMBUSTIVEL</v>
          </cell>
          <cell r="D144">
            <v>213.64727999999999</v>
          </cell>
        </row>
        <row r="145">
          <cell r="A145" t="str">
            <v>6002680378</v>
          </cell>
          <cell r="B145" t="str">
            <v>ELEMENTO DO FILTRO DO A/C</v>
          </cell>
          <cell r="D145">
            <v>128.59</v>
          </cell>
        </row>
        <row r="146">
          <cell r="A146" t="str">
            <v>6002684193</v>
          </cell>
          <cell r="B146" t="str">
            <v>FILTRO DE ÓLEO</v>
          </cell>
          <cell r="D146">
            <v>122.87</v>
          </cell>
        </row>
        <row r="147">
          <cell r="A147" t="str">
            <v>6002684354</v>
          </cell>
          <cell r="B147" t="str">
            <v>ELEMENTO FILTRO DO AR</v>
          </cell>
          <cell r="D147">
            <v>138.05000000000001</v>
          </cell>
        </row>
        <row r="148">
          <cell r="A148" t="str">
            <v>6002684318</v>
          </cell>
          <cell r="B148" t="str">
            <v>VELA DE IGNIÇÃO</v>
          </cell>
          <cell r="D148">
            <v>274.89</v>
          </cell>
        </row>
        <row r="149">
          <cell r="A149" t="str">
            <v>6002684412</v>
          </cell>
          <cell r="B149" t="str">
            <v>MANGUEIRA DE BORRACHA</v>
          </cell>
          <cell r="D149">
            <v>174.84</v>
          </cell>
        </row>
        <row r="150">
          <cell r="A150" t="str">
            <v>9868511280</v>
          </cell>
          <cell r="B150" t="str">
            <v>FILTRO DE COMBUSTIVEL</v>
          </cell>
          <cell r="D150">
            <v>490</v>
          </cell>
        </row>
        <row r="151">
          <cell r="A151" t="str">
            <v>50167285</v>
          </cell>
          <cell r="B151" t="str">
            <v>FILTRO VAPOR COMBUSTIVEL</v>
          </cell>
          <cell r="D151">
            <v>1037.48</v>
          </cell>
        </row>
        <row r="152">
          <cell r="A152" t="str">
            <v>50058444</v>
          </cell>
          <cell r="B152" t="str">
            <v>VELA IGNICAO IRIDIUM</v>
          </cell>
          <cell r="D152">
            <v>240.1</v>
          </cell>
        </row>
        <row r="153">
          <cell r="A153" t="str">
            <v>52033266</v>
          </cell>
          <cell r="B153" t="str">
            <v>FILTRO COMBUSTIVEL</v>
          </cell>
          <cell r="D153">
            <v>1836.0656160000001</v>
          </cell>
        </row>
        <row r="154">
          <cell r="A154" t="str">
            <v>46349670</v>
          </cell>
          <cell r="B154" t="str">
            <v>CORREIA POLY-V ALTERNADOR/COMPRESSOR</v>
          </cell>
          <cell r="D154">
            <v>180.85</v>
          </cell>
        </row>
        <row r="155">
          <cell r="A155" t="str">
            <v>7097655</v>
          </cell>
          <cell r="B155" t="str">
            <v>Filtro de ar limpo do canister</v>
          </cell>
          <cell r="D155">
            <v>178.3</v>
          </cell>
        </row>
        <row r="156">
          <cell r="A156" t="str">
            <v>K68677800AA</v>
          </cell>
          <cell r="B156" t="str">
            <v>Kit elemento do filtro de combustível</v>
          </cell>
          <cell r="D156">
            <v>2790</v>
          </cell>
        </row>
        <row r="157">
          <cell r="A157" t="str">
            <v>K68677810AA</v>
          </cell>
          <cell r="B157" t="str">
            <v>Filtro de Óleo do Motor</v>
          </cell>
          <cell r="D157">
            <v>635</v>
          </cell>
        </row>
        <row r="158">
          <cell r="A158" t="str">
            <v>K68645327AA</v>
          </cell>
          <cell r="B158" t="str">
            <v>Filtro de Ar do Motor</v>
          </cell>
          <cell r="D158">
            <v>439.04</v>
          </cell>
        </row>
        <row r="159">
          <cell r="A159" t="str">
            <v>2850000369</v>
          </cell>
          <cell r="B159" t="str">
            <v>REMOVEDOR CARBONO ISO TECH 1L</v>
          </cell>
        </row>
        <row r="160">
          <cell r="A160" t="str">
            <v>9878309480</v>
          </cell>
          <cell r="B160" t="str">
            <v>Elemento do filtro de Combustível</v>
          </cell>
          <cell r="D160">
            <v>490</v>
          </cell>
        </row>
        <row r="161">
          <cell r="A161" t="str">
            <v>2850000479</v>
          </cell>
          <cell r="B161" t="str">
            <v>ISOTECH 012 LIMPA INJETORES GDI</v>
          </cell>
          <cell r="D161">
            <v>124.449</v>
          </cell>
        </row>
        <row r="162">
          <cell r="A162" t="str">
            <v>K68079487AB</v>
          </cell>
          <cell r="B162" t="str">
            <v>FILTRO DO AR</v>
          </cell>
          <cell r="D162">
            <v>561.22</v>
          </cell>
        </row>
        <row r="164">
          <cell r="A164" t="str">
            <v>2852960097</v>
          </cell>
          <cell r="B164" t="str">
            <v>Líquido de Arrefecimento - OAT -25°C</v>
          </cell>
          <cell r="D164">
            <v>132.82667811712301</v>
          </cell>
        </row>
        <row r="165">
          <cell r="A165" t="str">
            <v>7098151</v>
          </cell>
          <cell r="B165" t="str">
            <v>Óleo do Redutor - Idemitsu Lube LP-EDF-01 (OM)</v>
          </cell>
          <cell r="D165">
            <v>270.81977999999998</v>
          </cell>
        </row>
        <row r="166">
          <cell r="A166" t="str">
            <v>2852960050</v>
          </cell>
          <cell r="B166" t="str">
            <v>Fluído de Freio DOT 4</v>
          </cell>
          <cell r="D166">
            <v>12.025</v>
          </cell>
        </row>
        <row r="167">
          <cell r="A167" t="str">
            <v>6002680761</v>
          </cell>
          <cell r="B167" t="str">
            <v>FILTRO DE OLEO DO REDUTOR</v>
          </cell>
          <cell r="D167">
            <v>65.900000000000006</v>
          </cell>
        </row>
        <row r="168">
          <cell r="A168" t="str">
            <v>155255303</v>
          </cell>
          <cell r="B168" t="str">
            <v>FLUIDO DE FREIO (0,5L)</v>
          </cell>
          <cell r="D168">
            <v>32.698362814548403</v>
          </cell>
        </row>
        <row r="169">
          <cell r="A169" t="str">
            <v>155255304</v>
          </cell>
          <cell r="B169" t="str">
            <v>FLUIDO DE FREIO (5,0L)</v>
          </cell>
          <cell r="D169">
            <v>580.29325200000005</v>
          </cell>
        </row>
        <row r="170">
          <cell r="A170" t="str">
            <v>7096425</v>
          </cell>
          <cell r="B170" t="str">
            <v>OLEO 80W 90 GL 5  1L</v>
          </cell>
          <cell r="D170">
            <v>103.451073876523</v>
          </cell>
        </row>
        <row r="171">
          <cell r="A171" t="str">
            <v>7094487</v>
          </cell>
          <cell r="B171" t="str">
            <v>OLEO MOTOR  INEO HTC 5W30  1L</v>
          </cell>
          <cell r="D171">
            <v>98.473564967525803</v>
          </cell>
        </row>
        <row r="172">
          <cell r="A172" t="str">
            <v>7099873</v>
          </cell>
          <cell r="B172" t="str">
            <v>Óleo da caixa de câmbio mecânica</v>
          </cell>
          <cell r="D172">
            <v>165.76</v>
          </cell>
        </row>
        <row r="173">
          <cell r="A173" t="str">
            <v>46360326</v>
          </cell>
          <cell r="B173" t="str">
            <v>Correia dos órgão auxiliares</v>
          </cell>
          <cell r="D173">
            <v>208.99</v>
          </cell>
        </row>
        <row r="174">
          <cell r="A174" t="str">
            <v>7096883</v>
          </cell>
          <cell r="B174" t="str">
            <v>Filtro de ar limpo do canister</v>
          </cell>
          <cell r="D174">
            <v>199.05</v>
          </cell>
        </row>
        <row r="177">
          <cell r="A177" t="str">
            <v>K68218941LA_J</v>
          </cell>
          <cell r="B177" t="str">
            <v>MOPAR MAXPRO DIESEL DPF 15W40 CJ4 CX3X5L</v>
          </cell>
          <cell r="D177">
            <v>80.825999999999993</v>
          </cell>
        </row>
        <row r="178">
          <cell r="A178" t="str">
            <v>K04549625LA_J</v>
          </cell>
          <cell r="B178" t="str">
            <v>MOPAR BRAKE FLUID DOT 4</v>
          </cell>
          <cell r="D178">
            <v>39.926710537072402</v>
          </cell>
        </row>
        <row r="179">
          <cell r="A179" t="str">
            <v>K04549626LA_J</v>
          </cell>
          <cell r="B179" t="str">
            <v>MOPAR BRAKE FLUID DOT 4S</v>
          </cell>
          <cell r="D179">
            <v>53.549808391520799</v>
          </cell>
        </row>
        <row r="180">
          <cell r="A180" t="str">
            <v>K04549625LA_F</v>
          </cell>
          <cell r="B180" t="str">
            <v>MOPAR BRAKE FLUID DOT 4</v>
          </cell>
          <cell r="D180">
            <v>33.6224930838505</v>
          </cell>
        </row>
        <row r="181">
          <cell r="A181" t="str">
            <v>K04549626LA_F</v>
          </cell>
          <cell r="B181" t="str">
            <v>MOPAR BRAKE FLUID DOT 4S</v>
          </cell>
          <cell r="D181">
            <v>45.09</v>
          </cell>
        </row>
        <row r="182">
          <cell r="A182" t="str">
            <v>K68218921LA_F</v>
          </cell>
          <cell r="B182" t="str">
            <v>MOPAR MAXPRO 5W30 (SN/GF-5)</v>
          </cell>
          <cell r="D182">
            <v>75.7</v>
          </cell>
        </row>
        <row r="183">
          <cell r="A183" t="str">
            <v>K68218951LA_F</v>
          </cell>
          <cell r="B183" t="str">
            <v>MOPAR MAXPRO SYNTHETIC 0W20 (SP/GF-6A)</v>
          </cell>
          <cell r="D183">
            <v>81.260000000000005</v>
          </cell>
        </row>
        <row r="184">
          <cell r="A184" t="str">
            <v>K68231015LA_F</v>
          </cell>
          <cell r="B184" t="str">
            <v>MOPAR MAXPRO DIESEL DPF C2 5W30</v>
          </cell>
          <cell r="D184">
            <v>91.54</v>
          </cell>
        </row>
        <row r="185">
          <cell r="A185" t="str">
            <v>K68231015LA_F (1)</v>
          </cell>
          <cell r="B185" t="str">
            <v>MOPAR MAXPRO DIESEL DPF C2 5W30 (NOVO DUCATO)</v>
          </cell>
          <cell r="D185">
            <v>70.485799999999998</v>
          </cell>
        </row>
        <row r="186">
          <cell r="A186" t="str">
            <v>K68444160LA_F</v>
          </cell>
          <cell r="B186" t="str">
            <v>MOPAR MAXPRO SYNTHETIC 0W30</v>
          </cell>
          <cell r="D186">
            <v>87.82</v>
          </cell>
        </row>
        <row r="187">
          <cell r="A187" t="str">
            <v>K68444160LA_J</v>
          </cell>
          <cell r="B187" t="str">
            <v>MOPAR MAXPRO SYNTHETIC 0W30</v>
          </cell>
          <cell r="D187">
            <v>83.429000000000002</v>
          </cell>
        </row>
        <row r="188">
          <cell r="A188" t="str">
            <v>K68231021LA_F</v>
          </cell>
          <cell r="B188" t="str">
            <v>HELIX ULTRA PROF AV 5W40</v>
          </cell>
          <cell r="D188">
            <v>92.1</v>
          </cell>
        </row>
        <row r="189">
          <cell r="A189" t="str">
            <v>K68218890LA_F</v>
          </cell>
          <cell r="B189" t="str">
            <v>MOPAR MAXPRO SYNTHETIC 5W20 (SP/GF-6A)</v>
          </cell>
          <cell r="D189">
            <v>89.98</v>
          </cell>
        </row>
        <row r="190">
          <cell r="A190" t="str">
            <v>K68218921LA_J</v>
          </cell>
          <cell r="B190" t="str">
            <v>MOPAR MAXPRO 5W30 (SN/GF-5)</v>
          </cell>
          <cell r="D190">
            <v>71.915000000000006</v>
          </cell>
        </row>
        <row r="191">
          <cell r="A191" t="str">
            <v>K68231015LA_J</v>
          </cell>
          <cell r="B191" t="str">
            <v>MOPAR MAXPRO DIESEL DPF C2 5W30</v>
          </cell>
          <cell r="D191">
            <v>86.962999999999994</v>
          </cell>
        </row>
        <row r="192">
          <cell r="A192" t="str">
            <v>K68218890LA_J</v>
          </cell>
          <cell r="B192" t="str">
            <v>MOPAR MAXPRO SYNTHETIC 5W20 (SP/GF-6A)</v>
          </cell>
          <cell r="D192">
            <v>85.480999999999995</v>
          </cell>
        </row>
        <row r="193">
          <cell r="A193" t="str">
            <v>K68231021LA_J</v>
          </cell>
          <cell r="B193" t="str">
            <v>HELIX ULTRA PROF AV 5W40</v>
          </cell>
          <cell r="D193">
            <v>87.495000000000005</v>
          </cell>
        </row>
        <row r="194">
          <cell r="A194" t="str">
            <v>K68320416LB_J</v>
          </cell>
          <cell r="B194" t="str">
            <v>MOPAR MAXPRO SYNTHETIC 5W30 (SP/GF-6A)</v>
          </cell>
          <cell r="D194">
            <v>80.882999999999996</v>
          </cell>
        </row>
        <row r="195">
          <cell r="A195" t="str">
            <v>K68218951LA_J</v>
          </cell>
          <cell r="B195" t="str">
            <v>MOPAR MAXPRO SYNTHETIC 0W20 (SP/GF-6A)</v>
          </cell>
          <cell r="D195">
            <v>77.197000000000003</v>
          </cell>
        </row>
        <row r="196">
          <cell r="A196" t="str">
            <v>7092751</v>
          </cell>
          <cell r="B196" t="str">
            <v>Rimula R5 LE 10W40 CK-4</v>
          </cell>
          <cell r="D196">
            <v>102.961</v>
          </cell>
        </row>
        <row r="197">
          <cell r="A197" t="str">
            <v>7093293_F</v>
          </cell>
          <cell r="B197" t="str">
            <v>FLUIDO DE FREIO 500 BEV</v>
          </cell>
          <cell r="D197">
            <v>61.791375360000004</v>
          </cell>
        </row>
        <row r="198">
          <cell r="A198" t="str">
            <v>7093293_J</v>
          </cell>
          <cell r="B198" t="str">
            <v>FLUIDO DE FREIO COMPASS PHEV</v>
          </cell>
          <cell r="D198">
            <v>67.841399999999993</v>
          </cell>
        </row>
        <row r="199">
          <cell r="A199" t="str">
            <v>7094488</v>
          </cell>
          <cell r="B199" t="str">
            <v>Liquido de Arrefecimento Diluido -35° (DFS)</v>
          </cell>
          <cell r="D199">
            <v>61.98</v>
          </cell>
        </row>
        <row r="200">
          <cell r="A200" t="str">
            <v>7096432</v>
          </cell>
          <cell r="B200" t="str">
            <v>SPIRAX S6 ATF X 6x1L</v>
          </cell>
          <cell r="D200">
            <v>92.591999999999999</v>
          </cell>
        </row>
        <row r="201">
          <cell r="A201" t="str">
            <v>7096430</v>
          </cell>
          <cell r="B201" t="str">
            <v>SPIRAX S3 ATF MD3 CX 6 X 1L</v>
          </cell>
          <cell r="D201">
            <v>77.744</v>
          </cell>
        </row>
        <row r="202">
          <cell r="A202" t="str">
            <v>7096960</v>
          </cell>
          <cell r="B202" t="str">
            <v>Aditivo para óleo do motor - TUNAP</v>
          </cell>
          <cell r="D202">
            <v>290.49799999999999</v>
          </cell>
        </row>
        <row r="203">
          <cell r="A203" t="str">
            <v>K68218041LA_F</v>
          </cell>
          <cell r="B203" t="str">
            <v>80W 90GL-5</v>
          </cell>
          <cell r="D203">
            <v>96.367999999999995</v>
          </cell>
        </row>
        <row r="204">
          <cell r="A204" t="str">
            <v>K68218921LA_L</v>
          </cell>
          <cell r="B204" t="str">
            <v>MOPAR MAXPRO 5W30 (SN/GF-5)</v>
          </cell>
          <cell r="D204">
            <v>52.99</v>
          </cell>
        </row>
        <row r="205">
          <cell r="A205" t="str">
            <v>7098496</v>
          </cell>
          <cell r="B205" t="str">
            <v>ADITIVO DETOX DGA - SOLUBILIZANTE (180 ml)</v>
          </cell>
          <cell r="D205">
            <v>79.962999999999994</v>
          </cell>
        </row>
        <row r="206">
          <cell r="A206" t="str">
            <v>7099025</v>
          </cell>
          <cell r="B206" t="str">
            <v>ADITIVO DT300 TREATMENT (370 ml)</v>
          </cell>
          <cell r="D206">
            <v>79.468999999999994</v>
          </cell>
        </row>
        <row r="207">
          <cell r="A207" t="str">
            <v>7095576</v>
          </cell>
          <cell r="B207" t="str">
            <v>SAE 75W – API GL4 (Mopar Dual Dry Clutch Transmission Fluid)</v>
          </cell>
          <cell r="D207">
            <v>165.97811999999999</v>
          </cell>
        </row>
        <row r="208">
          <cell r="A208" t="str">
            <v>K68547228LA_F</v>
          </cell>
          <cell r="B208" t="str">
            <v>MOPAR Coolant OAT 50</v>
          </cell>
        </row>
        <row r="209">
          <cell r="A209" t="str">
            <v>K68163849LA</v>
          </cell>
          <cell r="B209" t="str">
            <v>MOPAR Coolant OAT 50 5,0L</v>
          </cell>
        </row>
        <row r="210">
          <cell r="A210" t="str">
            <v>K04549626LA</v>
          </cell>
          <cell r="B210" t="str">
            <v>MOPAR BRAKE FLUID DOT 4S</v>
          </cell>
          <cell r="D210">
            <v>53.549808391520799</v>
          </cell>
        </row>
        <row r="211">
          <cell r="A211" t="str">
            <v>K68218925LA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AE56"/>
  <sheetViews>
    <sheetView showGridLines="0" zoomScale="85" zoomScaleNormal="85" workbookViewId="0">
      <pane ySplit="3" topLeftCell="A4" activePane="bottomLeft" state="frozen"/>
      <selection pane="bottomLeft" activeCell="Q32" sqref="Q32"/>
    </sheetView>
  </sheetViews>
  <sheetFormatPr defaultColWidth="14.4609375" defaultRowHeight="14.6" x14ac:dyDescent="0.4"/>
  <cols>
    <col min="1" max="1" width="2.3046875" customWidth="1"/>
    <col min="2" max="2" width="27.69140625" customWidth="1"/>
    <col min="3" max="12" width="15.69140625" customWidth="1"/>
    <col min="13" max="14" width="11.84375" customWidth="1"/>
    <col min="15" max="17" width="11.53515625" customWidth="1"/>
    <col min="18" max="19" width="8.84375" customWidth="1"/>
    <col min="20" max="31" width="9.15234375" customWidth="1"/>
  </cols>
  <sheetData>
    <row r="1" spans="1:31" ht="26.25" customHeight="1" x14ac:dyDescent="0.4">
      <c r="A1" s="1"/>
      <c r="B1" s="225" t="s">
        <v>73</v>
      </c>
      <c r="C1" s="226"/>
      <c r="D1" s="226"/>
      <c r="E1" s="226"/>
      <c r="F1" s="226"/>
      <c r="G1" s="226"/>
      <c r="H1" s="226"/>
      <c r="I1" s="226"/>
      <c r="J1" s="226"/>
      <c r="K1" s="226"/>
      <c r="L1" s="227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 x14ac:dyDescent="0.4">
      <c r="A2" s="1"/>
      <c r="B2" s="228" t="s">
        <v>74</v>
      </c>
      <c r="C2" s="229"/>
      <c r="D2" s="229"/>
      <c r="E2" s="229"/>
      <c r="F2" s="229"/>
      <c r="G2" s="229"/>
      <c r="H2" s="229"/>
      <c r="I2" s="229"/>
      <c r="J2" s="229"/>
      <c r="K2" s="229"/>
      <c r="L2" s="230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7.25" customHeight="1" x14ac:dyDescent="0.4">
      <c r="A3" s="1"/>
      <c r="B3" s="3" t="s">
        <v>75</v>
      </c>
      <c r="C3" s="4" t="s">
        <v>76</v>
      </c>
      <c r="D3" s="4" t="s">
        <v>77</v>
      </c>
      <c r="E3" s="4" t="s">
        <v>78</v>
      </c>
      <c r="F3" s="4" t="s">
        <v>79</v>
      </c>
      <c r="G3" s="4" t="s">
        <v>80</v>
      </c>
      <c r="H3" s="4" t="s">
        <v>81</v>
      </c>
      <c r="I3" s="4" t="s">
        <v>82</v>
      </c>
      <c r="J3" s="4" t="s">
        <v>83</v>
      </c>
      <c r="K3" s="4" t="s">
        <v>84</v>
      </c>
      <c r="L3" s="5" t="s">
        <v>85</v>
      </c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.75" customHeight="1" x14ac:dyDescent="0.4">
      <c r="A4" s="6"/>
      <c r="B4" s="7" t="str">
        <f>'NOVO UNO 1.0 FIRE'!A1</f>
        <v>UNO 1.0 FIRE</v>
      </c>
      <c r="C4" s="8" t="e">
        <f>'NOVO UNO 1.0 FIRE'!O2</f>
        <v>#N/A</v>
      </c>
      <c r="D4" s="8" t="e">
        <f>'NOVO UNO 1.0 FIRE'!P2</f>
        <v>#N/A</v>
      </c>
      <c r="E4" s="8" t="e">
        <f>'NOVO UNO 1.0 FIRE'!Q2</f>
        <v>#N/A</v>
      </c>
      <c r="F4" s="8" t="e">
        <f>'NOVO UNO 1.0 FIRE'!R2</f>
        <v>#N/A</v>
      </c>
      <c r="G4" s="8" t="e">
        <f>'NOVO UNO 1.0 FIRE'!S2</f>
        <v>#N/A</v>
      </c>
      <c r="H4" s="8" t="e">
        <f>'NOVO UNO 1.0 FIRE'!T2</f>
        <v>#N/A</v>
      </c>
      <c r="I4" s="8" t="e">
        <f>'NOVO UNO 1.0 FIRE'!U2</f>
        <v>#N/A</v>
      </c>
      <c r="J4" s="8" t="e">
        <f>'NOVO UNO 1.0 FIRE'!V2</f>
        <v>#N/A</v>
      </c>
      <c r="K4" s="8" t="e">
        <f>'NOVO UNO 1.0 FIRE'!W2</f>
        <v>#N/A</v>
      </c>
      <c r="L4" s="9" t="e">
        <f>'NOVO UNO 1.0 FIRE'!X2</f>
        <v>#N/A</v>
      </c>
      <c r="M4" s="10" t="e">
        <f t="shared" ref="M4:M38" si="0">SUM(C4:L4)</f>
        <v>#N/A</v>
      </c>
      <c r="N4" s="10" t="e">
        <f t="shared" ref="N4:N45" si="1">SUM(C4:H4)</f>
        <v>#N/A</v>
      </c>
      <c r="O4" s="10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.75" customHeight="1" x14ac:dyDescent="0.4">
      <c r="A5" s="6"/>
      <c r="B5" s="11" t="str">
        <f>'NOVO UNO 1.0 FIREFLY'!A1</f>
        <v>UNO 1.0 FIREFLY</v>
      </c>
      <c r="C5" s="12" t="e">
        <f>'NOVO UNO 1.0 FIREFLY'!O2</f>
        <v>#N/A</v>
      </c>
      <c r="D5" s="12" t="e">
        <f>'NOVO UNO 1.0 FIREFLY'!P2</f>
        <v>#N/A</v>
      </c>
      <c r="E5" s="12" t="e">
        <f>'NOVO UNO 1.0 FIREFLY'!Q2</f>
        <v>#N/A</v>
      </c>
      <c r="F5" s="12" t="e">
        <f>'NOVO UNO 1.0 FIREFLY'!R2</f>
        <v>#N/A</v>
      </c>
      <c r="G5" s="12" t="e">
        <f>'NOVO UNO 1.0 FIREFLY'!S2</f>
        <v>#N/A</v>
      </c>
      <c r="H5" s="12" t="e">
        <f>'NOVO UNO 1.0 FIREFLY'!T2</f>
        <v>#N/A</v>
      </c>
      <c r="I5" s="12" t="e">
        <f>'NOVO UNO 1.0 FIREFLY'!U2</f>
        <v>#N/A</v>
      </c>
      <c r="J5" s="12" t="e">
        <f>'NOVO UNO 1.0 FIREFLY'!V2</f>
        <v>#N/A</v>
      </c>
      <c r="K5" s="12" t="e">
        <f>'NOVO UNO 1.0 FIREFLY'!W2</f>
        <v>#N/A</v>
      </c>
      <c r="L5" s="13" t="e">
        <f>'NOVO UNO 1.0 FIREFLY'!X2</f>
        <v>#N/A</v>
      </c>
      <c r="M5" s="10" t="e">
        <f t="shared" si="0"/>
        <v>#N/A</v>
      </c>
      <c r="N5" s="10" t="e">
        <f t="shared" si="1"/>
        <v>#N/A</v>
      </c>
      <c r="O5" s="10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.75" customHeight="1" x14ac:dyDescent="0.4">
      <c r="A6" s="6"/>
      <c r="B6" s="7" t="str">
        <f>'NOVO UNO 1.3 FIREFLY'!A1</f>
        <v>UNO 1.3 FIREFLY</v>
      </c>
      <c r="C6" s="8" t="e">
        <f>'NOVO UNO 1.3 FIREFLY'!O2</f>
        <v>#N/A</v>
      </c>
      <c r="D6" s="8" t="e">
        <f>'NOVO UNO 1.3 FIREFLY'!P2</f>
        <v>#N/A</v>
      </c>
      <c r="E6" s="8" t="e">
        <f>'NOVO UNO 1.3 FIREFLY'!Q2</f>
        <v>#N/A</v>
      </c>
      <c r="F6" s="8" t="e">
        <f>'NOVO UNO 1.3 FIREFLY'!R2</f>
        <v>#N/A</v>
      </c>
      <c r="G6" s="8" t="e">
        <f>'NOVO UNO 1.3 FIREFLY'!S2</f>
        <v>#N/A</v>
      </c>
      <c r="H6" s="8" t="e">
        <f>'NOVO UNO 1.3 FIREFLY'!T2</f>
        <v>#N/A</v>
      </c>
      <c r="I6" s="8" t="e">
        <f>'NOVO UNO 1.3 FIREFLY'!U2</f>
        <v>#N/A</v>
      </c>
      <c r="J6" s="8" t="e">
        <f>'NOVO UNO 1.3 FIREFLY'!V2</f>
        <v>#N/A</v>
      </c>
      <c r="K6" s="8" t="e">
        <f>'NOVO UNO 1.3 FIREFLY'!W2</f>
        <v>#N/A</v>
      </c>
      <c r="L6" s="9" t="e">
        <f>'NOVO UNO 1.3 FIREFLY'!X2</f>
        <v>#N/A</v>
      </c>
      <c r="M6" s="10" t="e">
        <f t="shared" si="0"/>
        <v>#N/A</v>
      </c>
      <c r="N6" s="10" t="e">
        <f t="shared" si="1"/>
        <v>#N/A</v>
      </c>
      <c r="O6" s="10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.75" customHeight="1" x14ac:dyDescent="0.4">
      <c r="A7" s="6"/>
      <c r="B7" s="11" t="str">
        <f>'PALIO WEEKEND 1.4'!A1</f>
        <v>PALIO WEEKEND 1.4</v>
      </c>
      <c r="C7" s="12" t="e">
        <f>'PALIO WEEKEND 1.4'!O2</f>
        <v>#N/A</v>
      </c>
      <c r="D7" s="12" t="e">
        <f>'PALIO WEEKEND 1.4'!P2</f>
        <v>#N/A</v>
      </c>
      <c r="E7" s="12" t="e">
        <f>'PALIO WEEKEND 1.4'!Q2</f>
        <v>#N/A</v>
      </c>
      <c r="F7" s="12" t="e">
        <f>'PALIO WEEKEND 1.4'!R2</f>
        <v>#N/A</v>
      </c>
      <c r="G7" s="12" t="e">
        <f>'PALIO WEEKEND 1.4'!S2</f>
        <v>#N/A</v>
      </c>
      <c r="H7" s="12" t="e">
        <f>'PALIO WEEKEND 1.4'!T2</f>
        <v>#N/A</v>
      </c>
      <c r="I7" s="12" t="e">
        <f>'PALIO WEEKEND 1.4'!U2</f>
        <v>#N/A</v>
      </c>
      <c r="J7" s="12" t="e">
        <f>'PALIO WEEKEND 1.4'!V2</f>
        <v>#N/A</v>
      </c>
      <c r="K7" s="12" t="e">
        <f>'PALIO WEEKEND 1.4'!W2</f>
        <v>#N/A</v>
      </c>
      <c r="L7" s="13" t="e">
        <f>'PALIO WEEKEND 1.4'!X2</f>
        <v>#N/A</v>
      </c>
      <c r="M7" s="10" t="e">
        <f t="shared" si="0"/>
        <v>#N/A</v>
      </c>
      <c r="N7" s="10" t="e">
        <f t="shared" si="1"/>
        <v>#N/A</v>
      </c>
      <c r="O7" s="1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.75" customHeight="1" x14ac:dyDescent="0.4">
      <c r="A8" s="6"/>
      <c r="B8" s="7" t="str">
        <f>'PALIO WEEKEND 1.8'!A1</f>
        <v>PALIO WEEKEND 1.8</v>
      </c>
      <c r="C8" s="8" t="e">
        <f>'PALIO WEEKEND 1.8'!O2</f>
        <v>#N/A</v>
      </c>
      <c r="D8" s="8" t="e">
        <f>'PALIO WEEKEND 1.8'!P2</f>
        <v>#N/A</v>
      </c>
      <c r="E8" s="8" t="e">
        <f>'PALIO WEEKEND 1.8'!Q2</f>
        <v>#N/A</v>
      </c>
      <c r="F8" s="8" t="e">
        <f>'PALIO WEEKEND 1.8'!R2</f>
        <v>#N/A</v>
      </c>
      <c r="G8" s="8" t="e">
        <f>'PALIO WEEKEND 1.8'!S2</f>
        <v>#N/A</v>
      </c>
      <c r="H8" s="8" t="e">
        <f>'PALIO WEEKEND 1.8'!T2</f>
        <v>#N/A</v>
      </c>
      <c r="I8" s="8" t="e">
        <f>'PALIO WEEKEND 1.8'!U2</f>
        <v>#N/A</v>
      </c>
      <c r="J8" s="8" t="e">
        <f>'PALIO WEEKEND 1.8'!V2</f>
        <v>#N/A</v>
      </c>
      <c r="K8" s="8" t="e">
        <f>'PALIO WEEKEND 1.8'!W2</f>
        <v>#N/A</v>
      </c>
      <c r="L8" s="9" t="e">
        <f>'PALIO WEEKEND 1.8'!X2</f>
        <v>#N/A</v>
      </c>
      <c r="M8" s="10" t="e">
        <f t="shared" si="0"/>
        <v>#N/A</v>
      </c>
      <c r="N8" s="10" t="e">
        <f t="shared" si="1"/>
        <v>#N/A</v>
      </c>
      <c r="O8" s="10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.75" customHeight="1" x14ac:dyDescent="0.4">
      <c r="A9" s="6"/>
      <c r="B9" s="11" t="str">
        <f>FIORINO!A15</f>
        <v>FIORINO 1.4 (21/22)</v>
      </c>
      <c r="C9" s="12" t="e">
        <f>FIORINO!T16</f>
        <v>#N/A</v>
      </c>
      <c r="D9" s="12" t="e">
        <f>FIORINO!U16</f>
        <v>#N/A</v>
      </c>
      <c r="E9" s="12" t="e">
        <f>FIORINO!V16</f>
        <v>#N/A</v>
      </c>
      <c r="F9" s="12" t="e">
        <f>FIORINO!W16</f>
        <v>#N/A</v>
      </c>
      <c r="G9" s="12" t="e">
        <f>FIORINO!X16</f>
        <v>#N/A</v>
      </c>
      <c r="H9" s="12" t="e">
        <f>FIORINO!Y16</f>
        <v>#N/A</v>
      </c>
      <c r="I9" s="12" t="e">
        <f>FIORINO!Z16</f>
        <v>#N/A</v>
      </c>
      <c r="J9" s="12" t="e">
        <f>FIORINO!AA16</f>
        <v>#N/A</v>
      </c>
      <c r="K9" s="12" t="e">
        <f>FIORINO!AB16</f>
        <v>#N/A</v>
      </c>
      <c r="L9" s="13" t="e">
        <f>FIORINO!AC16</f>
        <v>#N/A</v>
      </c>
      <c r="M9" s="10" t="e">
        <f t="shared" si="0"/>
        <v>#N/A</v>
      </c>
      <c r="N9" s="10" t="e">
        <f t="shared" si="1"/>
        <v>#N/A</v>
      </c>
      <c r="O9" s="1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.75" customHeight="1" x14ac:dyDescent="0.4">
      <c r="A10" s="6"/>
      <c r="B10" s="7" t="str">
        <f>FIORINO!A1</f>
        <v>FIORINO 1.4 (21/21)</v>
      </c>
      <c r="C10" s="8" t="e">
        <f>FIORINO!T2</f>
        <v>#N/A</v>
      </c>
      <c r="D10" s="8" t="e">
        <f>FIORINO!U2</f>
        <v>#N/A</v>
      </c>
      <c r="E10" s="8" t="e">
        <f>FIORINO!V2</f>
        <v>#N/A</v>
      </c>
      <c r="F10" s="8" t="e">
        <f>FIORINO!W2</f>
        <v>#N/A</v>
      </c>
      <c r="G10" s="8" t="e">
        <f>FIORINO!X2</f>
        <v>#N/A</v>
      </c>
      <c r="H10" s="8" t="e">
        <f>FIORINO!Y2</f>
        <v>#N/A</v>
      </c>
      <c r="I10" s="8" t="e">
        <f>FIORINO!Z2</f>
        <v>#N/A</v>
      </c>
      <c r="J10" s="8" t="e">
        <f>FIORINO!AA2</f>
        <v>#N/A</v>
      </c>
      <c r="K10" s="8" t="e">
        <f>FIORINO!AB2</f>
        <v>#N/A</v>
      </c>
      <c r="L10" s="9" t="e">
        <f>FIORINO!AC2</f>
        <v>#N/A</v>
      </c>
      <c r="M10" s="10" t="e">
        <f t="shared" si="0"/>
        <v>#N/A</v>
      </c>
      <c r="N10" s="10" t="e">
        <f t="shared" si="1"/>
        <v>#N/A</v>
      </c>
      <c r="O10" s="10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.75" customHeight="1" x14ac:dyDescent="0.4">
      <c r="A11" s="6"/>
      <c r="B11" s="11" t="str">
        <f>FIORINO!A30</f>
        <v>FIORINO 1.3</v>
      </c>
      <c r="C11" s="12" t="e">
        <f>FIORINO!T31</f>
        <v>#N/A</v>
      </c>
      <c r="D11" s="12" t="e">
        <f>FIORINO!U31</f>
        <v>#N/A</v>
      </c>
      <c r="E11" s="12" t="e">
        <f>FIORINO!V31</f>
        <v>#N/A</v>
      </c>
      <c r="F11" s="12" t="e">
        <f>FIORINO!W31</f>
        <v>#N/A</v>
      </c>
      <c r="G11" s="12" t="e">
        <f>FIORINO!X31</f>
        <v>#N/A</v>
      </c>
      <c r="H11" s="12" t="e">
        <f>FIORINO!Y31</f>
        <v>#N/A</v>
      </c>
      <c r="I11" s="12" t="e">
        <f>FIORINO!Z31</f>
        <v>#N/A</v>
      </c>
      <c r="J11" s="12" t="e">
        <f>FIORINO!AA31</f>
        <v>#N/A</v>
      </c>
      <c r="K11" s="12" t="e">
        <f>FIORINO!AB31</f>
        <v>#N/A</v>
      </c>
      <c r="L11" s="13" t="e">
        <f>FIORINO!AC31</f>
        <v>#N/A</v>
      </c>
      <c r="M11" s="10" t="e">
        <f t="shared" si="0"/>
        <v>#N/A</v>
      </c>
      <c r="N11" s="10" t="e">
        <f t="shared" si="1"/>
        <v>#N/A</v>
      </c>
      <c r="O11" s="10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.75" customHeight="1" x14ac:dyDescent="0.4">
      <c r="A12" s="6"/>
      <c r="B12" s="7" t="str">
        <f>'NOVA STRADA 1.3'!A1</f>
        <v>NOVA STRADA 1.3 AT</v>
      </c>
      <c r="C12" s="8" t="e">
        <f>'NOVA STRADA 1.3'!T2</f>
        <v>#N/A</v>
      </c>
      <c r="D12" s="8" t="e">
        <f>'NOVA STRADA 1.3'!U2</f>
        <v>#N/A</v>
      </c>
      <c r="E12" s="8" t="e">
        <f>'NOVA STRADA 1.3'!V2</f>
        <v>#N/A</v>
      </c>
      <c r="F12" s="8" t="e">
        <f>'NOVA STRADA 1.3'!W2</f>
        <v>#N/A</v>
      </c>
      <c r="G12" s="8" t="e">
        <f>'NOVA STRADA 1.3'!X2</f>
        <v>#N/A</v>
      </c>
      <c r="H12" s="8" t="e">
        <f>'NOVA STRADA 1.3'!Y2</f>
        <v>#N/A</v>
      </c>
      <c r="I12" s="8" t="e">
        <f>'NOVA STRADA 1.3'!Z2</f>
        <v>#N/A</v>
      </c>
      <c r="J12" s="8" t="e">
        <f>'NOVA STRADA 1.3'!AA2</f>
        <v>#N/A</v>
      </c>
      <c r="K12" s="8" t="e">
        <f>'NOVA STRADA 1.3'!AB2</f>
        <v>#N/A</v>
      </c>
      <c r="L12" s="9" t="e">
        <f>'NOVA STRADA 1.3'!AC2</f>
        <v>#N/A</v>
      </c>
      <c r="M12" s="10" t="e">
        <f t="shared" si="0"/>
        <v>#N/A</v>
      </c>
      <c r="N12" s="10" t="e">
        <f t="shared" si="1"/>
        <v>#N/A</v>
      </c>
      <c r="O12" s="10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8.75" customHeight="1" x14ac:dyDescent="0.4">
      <c r="A13" s="6"/>
      <c r="B13" s="11" t="str">
        <f>'NOVA STRADA 1.4'!A1</f>
        <v>NOVA STRADA 1.4</v>
      </c>
      <c r="C13" s="12" t="e">
        <f>'NOVA STRADA 1.4'!T2</f>
        <v>#N/A</v>
      </c>
      <c r="D13" s="12" t="e">
        <f>'NOVA STRADA 1.4'!U2</f>
        <v>#N/A</v>
      </c>
      <c r="E13" s="12" t="e">
        <f>'NOVA STRADA 1.4'!V2</f>
        <v>#N/A</v>
      </c>
      <c r="F13" s="12" t="e">
        <f>'NOVA STRADA 1.4'!W2</f>
        <v>#N/A</v>
      </c>
      <c r="G13" s="12" t="e">
        <f>'NOVA STRADA 1.4'!X2</f>
        <v>#N/A</v>
      </c>
      <c r="H13" s="12" t="e">
        <f>'NOVA STRADA 1.4'!Y2</f>
        <v>#N/A</v>
      </c>
      <c r="I13" s="12" t="e">
        <f>'NOVA STRADA 1.4'!Z2</f>
        <v>#N/A</v>
      </c>
      <c r="J13" s="12" t="e">
        <f>'NOVA STRADA 1.4'!AA2</f>
        <v>#N/A</v>
      </c>
      <c r="K13" s="12" t="e">
        <f>'NOVA STRADA 1.4'!AB2</f>
        <v>#N/A</v>
      </c>
      <c r="L13" s="13" t="e">
        <f>'NOVA STRADA 1.4'!AC2</f>
        <v>#N/A</v>
      </c>
      <c r="M13" s="10" t="e">
        <f t="shared" si="0"/>
        <v>#N/A</v>
      </c>
      <c r="N13" s="10" t="e">
        <f t="shared" si="1"/>
        <v>#N/A</v>
      </c>
      <c r="O13" s="10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8.75" customHeight="1" x14ac:dyDescent="0.4">
      <c r="A14" s="6"/>
      <c r="B14" s="7" t="str">
        <f>'NOVA STRADA 1.0T'!A1</f>
        <v>NOVA STRADA 1.0T</v>
      </c>
      <c r="C14" s="8" t="e">
        <f>'NOVA STRADA 1.0T'!T2</f>
        <v>#N/A</v>
      </c>
      <c r="D14" s="8" t="e">
        <f>'NOVA STRADA 1.0T'!U2</f>
        <v>#N/A</v>
      </c>
      <c r="E14" s="8" t="e">
        <f>'NOVA STRADA 1.0T'!V2</f>
        <v>#N/A</v>
      </c>
      <c r="F14" s="8" t="e">
        <f>'NOVA STRADA 1.0T'!W2</f>
        <v>#N/A</v>
      </c>
      <c r="G14" s="8" t="e">
        <f>'NOVA STRADA 1.0T'!X2</f>
        <v>#N/A</v>
      </c>
      <c r="H14" s="8" t="e">
        <f>'NOVA STRADA 1.0T'!Y2</f>
        <v>#N/A</v>
      </c>
      <c r="I14" s="8" t="e">
        <f>'NOVA STRADA 1.0T'!Z2</f>
        <v>#N/A</v>
      </c>
      <c r="J14" s="8" t="e">
        <f>'NOVA STRADA 1.0T'!AA2</f>
        <v>#N/A</v>
      </c>
      <c r="K14" s="8" t="e">
        <f>'NOVA STRADA 1.0T'!AB2</f>
        <v>#N/A</v>
      </c>
      <c r="L14" s="9" t="e">
        <f>'NOVA STRADA 1.0T'!AC2</f>
        <v>#N/A</v>
      </c>
      <c r="M14" s="10" t="e">
        <f t="shared" si="0"/>
        <v>#N/A</v>
      </c>
      <c r="N14" s="10" t="e">
        <f t="shared" si="1"/>
        <v>#N/A</v>
      </c>
      <c r="O14" s="10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8.75" customHeight="1" x14ac:dyDescent="0.4">
      <c r="A15" s="6"/>
      <c r="B15" s="11" t="str">
        <f>'ARGO 1.0'!A1</f>
        <v>ARGO 1.0</v>
      </c>
      <c r="C15" s="12" t="e">
        <f>'ARGO 1.0'!T2</f>
        <v>#N/A</v>
      </c>
      <c r="D15" s="12" t="e">
        <f>'ARGO 1.0'!U2</f>
        <v>#N/A</v>
      </c>
      <c r="E15" s="12" t="e">
        <f>'ARGO 1.0'!V2</f>
        <v>#N/A</v>
      </c>
      <c r="F15" s="12" t="e">
        <f>'ARGO 1.0'!W2</f>
        <v>#N/A</v>
      </c>
      <c r="G15" s="12" t="e">
        <f>'ARGO 1.0'!X2</f>
        <v>#N/A</v>
      </c>
      <c r="H15" s="12" t="e">
        <f>'ARGO 1.0'!Y2</f>
        <v>#N/A</v>
      </c>
      <c r="I15" s="12" t="e">
        <f>'ARGO 1.0'!Z2</f>
        <v>#N/A</v>
      </c>
      <c r="J15" s="12" t="e">
        <f>'ARGO 1.0'!AA2</f>
        <v>#N/A</v>
      </c>
      <c r="K15" s="12" t="e">
        <f>'ARGO 1.0'!AB2</f>
        <v>#N/A</v>
      </c>
      <c r="L15" s="13" t="e">
        <f>'ARGO 1.0'!AC2</f>
        <v>#N/A</v>
      </c>
      <c r="M15" s="10" t="e">
        <f t="shared" si="0"/>
        <v>#N/A</v>
      </c>
      <c r="N15" s="10" t="e">
        <f t="shared" si="1"/>
        <v>#N/A</v>
      </c>
      <c r="O15" s="10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8.75" customHeight="1" x14ac:dyDescent="0.4">
      <c r="A16" s="6"/>
      <c r="B16" s="7" t="str">
        <f>'ARGO 1.3'!A1</f>
        <v>ARGO 1.3</v>
      </c>
      <c r="C16" s="8" t="e">
        <f>'ARGO 1.3'!T2</f>
        <v>#N/A</v>
      </c>
      <c r="D16" s="8" t="e">
        <f>'ARGO 1.3'!U2</f>
        <v>#N/A</v>
      </c>
      <c r="E16" s="8" t="e">
        <f>'ARGO 1.3'!V2</f>
        <v>#N/A</v>
      </c>
      <c r="F16" s="8" t="e">
        <f>'ARGO 1.3'!W2</f>
        <v>#N/A</v>
      </c>
      <c r="G16" s="8" t="e">
        <f>'ARGO 1.3'!X2</f>
        <v>#N/A</v>
      </c>
      <c r="H16" s="8" t="e">
        <f>'ARGO 1.3'!Y2</f>
        <v>#N/A</v>
      </c>
      <c r="I16" s="8" t="e">
        <f>'ARGO 1.3'!Z2</f>
        <v>#N/A</v>
      </c>
      <c r="J16" s="8" t="e">
        <f>'ARGO 1.3'!AA2</f>
        <v>#N/A</v>
      </c>
      <c r="K16" s="8" t="e">
        <f>'ARGO 1.3'!AB2</f>
        <v>#N/A</v>
      </c>
      <c r="L16" s="9" t="e">
        <f>'ARGO 1.3'!AC2</f>
        <v>#N/A</v>
      </c>
      <c r="M16" s="10" t="e">
        <f t="shared" si="0"/>
        <v>#N/A</v>
      </c>
      <c r="N16" s="10" t="e">
        <f t="shared" si="1"/>
        <v>#N/A</v>
      </c>
      <c r="O16" s="1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8.75" customHeight="1" x14ac:dyDescent="0.4">
      <c r="A17" s="6"/>
      <c r="B17" s="11" t="str">
        <f>'ARGO 1.8'!A1</f>
        <v>ARGO 1.8</v>
      </c>
      <c r="C17" s="12" t="e">
        <f>'ARGO 1.8'!O2</f>
        <v>#N/A</v>
      </c>
      <c r="D17" s="12" t="e">
        <f>'ARGO 1.8'!P2</f>
        <v>#N/A</v>
      </c>
      <c r="E17" s="12" t="e">
        <f>'ARGO 1.8'!Q2</f>
        <v>#N/A</v>
      </c>
      <c r="F17" s="12" t="e">
        <f>'ARGO 1.8'!R2</f>
        <v>#N/A</v>
      </c>
      <c r="G17" s="12" t="e">
        <f>'ARGO 1.8'!S2</f>
        <v>#N/A</v>
      </c>
      <c r="H17" s="12" t="e">
        <f>'ARGO 1.8'!T2</f>
        <v>#N/A</v>
      </c>
      <c r="I17" s="12" t="e">
        <f>'ARGO 1.8'!U2</f>
        <v>#N/A</v>
      </c>
      <c r="J17" s="12" t="e">
        <f>'ARGO 1.8'!V2</f>
        <v>#N/A</v>
      </c>
      <c r="K17" s="12" t="e">
        <f>'ARGO 1.8'!W2</f>
        <v>#N/A</v>
      </c>
      <c r="L17" s="13" t="e">
        <f>'ARGO 1.8'!X2</f>
        <v>#N/A</v>
      </c>
      <c r="M17" s="10" t="e">
        <f t="shared" si="0"/>
        <v>#N/A</v>
      </c>
      <c r="N17" s="10" t="e">
        <f t="shared" si="1"/>
        <v>#N/A</v>
      </c>
      <c r="O17" s="10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8.75" customHeight="1" x14ac:dyDescent="0.4">
      <c r="A18" s="6"/>
      <c r="B18" s="7" t="str">
        <f>'GRAND SIENA 1.0'!A1</f>
        <v>GRAND SIENA 1.0</v>
      </c>
      <c r="C18" s="8" t="e">
        <f>'GRAND SIENA 1.0'!O2</f>
        <v>#N/A</v>
      </c>
      <c r="D18" s="8" t="e">
        <f>'GRAND SIENA 1.0'!P2</f>
        <v>#N/A</v>
      </c>
      <c r="E18" s="8" t="e">
        <f>'GRAND SIENA 1.0'!Q2</f>
        <v>#N/A</v>
      </c>
      <c r="F18" s="8" t="e">
        <f>'GRAND SIENA 1.0'!R2</f>
        <v>#N/A</v>
      </c>
      <c r="G18" s="8" t="e">
        <f>'GRAND SIENA 1.0'!S2</f>
        <v>#N/A</v>
      </c>
      <c r="H18" s="8" t="e">
        <f>'GRAND SIENA 1.0'!T2</f>
        <v>#N/A</v>
      </c>
      <c r="I18" s="8" t="e">
        <f>'GRAND SIENA 1.0'!U2</f>
        <v>#N/A</v>
      </c>
      <c r="J18" s="8" t="e">
        <f>'GRAND SIENA 1.0'!V2</f>
        <v>#N/A</v>
      </c>
      <c r="K18" s="8" t="e">
        <f>'GRAND SIENA 1.0'!W2</f>
        <v>#N/A</v>
      </c>
      <c r="L18" s="9" t="e">
        <f>'GRAND SIENA 1.0'!X2</f>
        <v>#N/A</v>
      </c>
      <c r="M18" s="10" t="e">
        <f t="shared" si="0"/>
        <v>#N/A</v>
      </c>
      <c r="N18" s="10" t="e">
        <f t="shared" si="1"/>
        <v>#N/A</v>
      </c>
      <c r="O18" s="10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8.75" customHeight="1" x14ac:dyDescent="0.4">
      <c r="A19" s="6"/>
      <c r="B19" s="11" t="str">
        <f>'GRAND SIENA 1.4'!A1</f>
        <v>GRAND SIENA 1.4</v>
      </c>
      <c r="C19" s="12" t="e">
        <f>'GRAND SIENA 1.4'!O2</f>
        <v>#N/A</v>
      </c>
      <c r="D19" s="12" t="e">
        <f>'GRAND SIENA 1.4'!P2</f>
        <v>#N/A</v>
      </c>
      <c r="E19" s="12" t="e">
        <f>'GRAND SIENA 1.4'!Q2</f>
        <v>#N/A</v>
      </c>
      <c r="F19" s="12" t="e">
        <f>'GRAND SIENA 1.4'!R2</f>
        <v>#N/A</v>
      </c>
      <c r="G19" s="12" t="e">
        <f>'GRAND SIENA 1.4'!S2</f>
        <v>#N/A</v>
      </c>
      <c r="H19" s="12" t="e">
        <f>'GRAND SIENA 1.4'!T2</f>
        <v>#N/A</v>
      </c>
      <c r="I19" s="12" t="e">
        <f>'GRAND SIENA 1.4'!U2</f>
        <v>#N/A</v>
      </c>
      <c r="J19" s="12" t="e">
        <f>'GRAND SIENA 1.4'!V2</f>
        <v>#N/A</v>
      </c>
      <c r="K19" s="12" t="e">
        <f>'GRAND SIENA 1.4'!W2</f>
        <v>#N/A</v>
      </c>
      <c r="L19" s="13" t="e">
        <f>'GRAND SIENA 1.4'!X2</f>
        <v>#N/A</v>
      </c>
      <c r="M19" s="10" t="e">
        <f t="shared" si="0"/>
        <v>#N/A</v>
      </c>
      <c r="N19" s="10" t="e">
        <f t="shared" si="1"/>
        <v>#N/A</v>
      </c>
      <c r="O19" s="10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8.75" customHeight="1" x14ac:dyDescent="0.4">
      <c r="A20" s="6"/>
      <c r="B20" s="7" t="str">
        <f>'MOBI FIRE'!A1</f>
        <v>MOBI 1.0 FIRE</v>
      </c>
      <c r="C20" s="8" t="e">
        <f>'MOBI FIRE'!T2</f>
        <v>#N/A</v>
      </c>
      <c r="D20" s="8" t="e">
        <f>'MOBI FIRE'!U2</f>
        <v>#N/A</v>
      </c>
      <c r="E20" s="8" t="e">
        <f>'MOBI FIRE'!V2</f>
        <v>#N/A</v>
      </c>
      <c r="F20" s="8" t="e">
        <f>'MOBI FIRE'!W2</f>
        <v>#N/A</v>
      </c>
      <c r="G20" s="8" t="e">
        <f>'MOBI FIRE'!X2</f>
        <v>#N/A</v>
      </c>
      <c r="H20" s="8" t="e">
        <f>'MOBI FIRE'!Y2</f>
        <v>#N/A</v>
      </c>
      <c r="I20" s="8" t="e">
        <f>'MOBI FIRE'!Z2</f>
        <v>#N/A</v>
      </c>
      <c r="J20" s="8" t="e">
        <f>'MOBI FIRE'!AA2</f>
        <v>#N/A</v>
      </c>
      <c r="K20" s="8" t="e">
        <f>'MOBI FIRE'!AB2</f>
        <v>#N/A</v>
      </c>
      <c r="L20" s="9" t="e">
        <f>'MOBI FIRE'!AC2</f>
        <v>#N/A</v>
      </c>
      <c r="M20" s="10" t="e">
        <f t="shared" si="0"/>
        <v>#N/A</v>
      </c>
      <c r="N20" s="10" t="e">
        <f t="shared" si="1"/>
        <v>#N/A</v>
      </c>
      <c r="O20" s="10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8.75" customHeight="1" x14ac:dyDescent="0.4">
      <c r="A21" s="6"/>
      <c r="B21" s="11" t="str">
        <f>'MOBI FIREFLY'!A1</f>
        <v>MOBI FIREFLY</v>
      </c>
      <c r="C21" s="12" t="e">
        <f>'MOBI FIREFLY'!T2</f>
        <v>#N/A</v>
      </c>
      <c r="D21" s="12" t="e">
        <f>'MOBI FIREFLY'!U2</f>
        <v>#N/A</v>
      </c>
      <c r="E21" s="12" t="e">
        <f>'MOBI FIREFLY'!V2</f>
        <v>#N/A</v>
      </c>
      <c r="F21" s="12" t="e">
        <f>'MOBI FIREFLY'!W2</f>
        <v>#N/A</v>
      </c>
      <c r="G21" s="12" t="e">
        <f>'MOBI FIREFLY'!X2</f>
        <v>#N/A</v>
      </c>
      <c r="H21" s="12" t="e">
        <f>'MOBI FIREFLY'!Y2</f>
        <v>#N/A</v>
      </c>
      <c r="I21" s="12" t="e">
        <f>'MOBI FIREFLY'!Z2</f>
        <v>#N/A</v>
      </c>
      <c r="J21" s="12" t="e">
        <f>'MOBI FIREFLY'!AA2</f>
        <v>#N/A</v>
      </c>
      <c r="K21" s="12" t="e">
        <f>'MOBI FIREFLY'!AB2</f>
        <v>#N/A</v>
      </c>
      <c r="L21" s="13" t="e">
        <f>'MOBI FIREFLY'!AC2</f>
        <v>#N/A</v>
      </c>
      <c r="M21" s="10" t="e">
        <f t="shared" si="0"/>
        <v>#N/A</v>
      </c>
      <c r="N21" s="10" t="e">
        <f t="shared" si="1"/>
        <v>#N/A</v>
      </c>
      <c r="O21" s="10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8.75" customHeight="1" x14ac:dyDescent="0.4">
      <c r="A22" s="6"/>
      <c r="B22" s="7" t="str">
        <f>DOBLO!A1</f>
        <v>DOBLO 1.8</v>
      </c>
      <c r="C22" s="8">
        <f>DOBLO!O2</f>
        <v>427</v>
      </c>
      <c r="D22" s="8" t="e">
        <f>DOBLO!P2</f>
        <v>#N/A</v>
      </c>
      <c r="E22" s="8" t="e">
        <f>DOBLO!Q2</f>
        <v>#N/A</v>
      </c>
      <c r="F22" s="8" t="e">
        <f>DOBLO!R2</f>
        <v>#N/A</v>
      </c>
      <c r="G22" s="8" t="e">
        <f>DOBLO!S2</f>
        <v>#N/A</v>
      </c>
      <c r="H22" s="8" t="e">
        <f>DOBLO!T2</f>
        <v>#N/A</v>
      </c>
      <c r="I22" s="8" t="e">
        <f>DOBLO!U2</f>
        <v>#N/A</v>
      </c>
      <c r="J22" s="8" t="e">
        <f>DOBLO!V2</f>
        <v>#N/A</v>
      </c>
      <c r="K22" s="8" t="e">
        <f>DOBLO!W2</f>
        <v>#N/A</v>
      </c>
      <c r="L22" s="9" t="e">
        <f>DOBLO!X2</f>
        <v>#N/A</v>
      </c>
      <c r="M22" s="10" t="e">
        <f t="shared" si="0"/>
        <v>#N/A</v>
      </c>
      <c r="N22" s="10" t="e">
        <f t="shared" si="1"/>
        <v>#N/A</v>
      </c>
      <c r="O22" s="10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8.75" customHeight="1" x14ac:dyDescent="0.4">
      <c r="A23" s="6"/>
      <c r="B23" s="11" t="str">
        <f>'CRONOS 1.0'!A1</f>
        <v>CRONOS 1.0 até MY26</v>
      </c>
      <c r="C23" s="12" t="e">
        <f>'CRONOS 1.0'!T2</f>
        <v>#N/A</v>
      </c>
      <c r="D23" s="12" t="e">
        <f>'CRONOS 1.0'!U2</f>
        <v>#N/A</v>
      </c>
      <c r="E23" s="12" t="e">
        <f>'CRONOS 1.0'!V2</f>
        <v>#N/A</v>
      </c>
      <c r="F23" s="12" t="e">
        <f>'CRONOS 1.0'!W2</f>
        <v>#N/A</v>
      </c>
      <c r="G23" s="12" t="e">
        <f>'CRONOS 1.0'!X2</f>
        <v>#N/A</v>
      </c>
      <c r="H23" s="12" t="e">
        <f>'CRONOS 1.0'!Y2</f>
        <v>#N/A</v>
      </c>
      <c r="I23" s="12" t="e">
        <f>'CRONOS 1.0'!Z2</f>
        <v>#N/A</v>
      </c>
      <c r="J23" s="12" t="e">
        <f>'CRONOS 1.0'!AA2</f>
        <v>#N/A</v>
      </c>
      <c r="K23" s="12" t="e">
        <f>'CRONOS 1.0'!AB2</f>
        <v>#N/A</v>
      </c>
      <c r="L23" s="13" t="e">
        <f>'CRONOS 1.0'!AC2</f>
        <v>#N/A</v>
      </c>
      <c r="M23" s="10" t="e">
        <f t="shared" si="0"/>
        <v>#N/A</v>
      </c>
      <c r="N23" s="10" t="e">
        <f t="shared" si="1"/>
        <v>#N/A</v>
      </c>
      <c r="O23" s="10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8.75" customHeight="1" x14ac:dyDescent="0.4">
      <c r="A24" s="6"/>
      <c r="B24" s="7" t="str">
        <f>'CRONOS 1.3'!A1</f>
        <v>CRONOS 1.3 até MY26</v>
      </c>
      <c r="C24" s="8" t="e">
        <f>'CRONOS 1.3'!T2</f>
        <v>#N/A</v>
      </c>
      <c r="D24" s="8" t="e">
        <f>'CRONOS 1.3'!U2</f>
        <v>#N/A</v>
      </c>
      <c r="E24" s="8" t="e">
        <f>'CRONOS 1.3'!V2</f>
        <v>#N/A</v>
      </c>
      <c r="F24" s="8" t="e">
        <f>'CRONOS 1.3'!W2</f>
        <v>#N/A</v>
      </c>
      <c r="G24" s="8" t="e">
        <f>'CRONOS 1.3'!X2</f>
        <v>#N/A</v>
      </c>
      <c r="H24" s="8" t="e">
        <f>'CRONOS 1.3'!Y2</f>
        <v>#N/A</v>
      </c>
      <c r="I24" s="8" t="e">
        <f>'CRONOS 1.3'!Z2</f>
        <v>#N/A</v>
      </c>
      <c r="J24" s="8" t="e">
        <f>'CRONOS 1.3'!AA2</f>
        <v>#N/A</v>
      </c>
      <c r="K24" s="8" t="e">
        <f>'CRONOS 1.3'!AB2</f>
        <v>#N/A</v>
      </c>
      <c r="L24" s="9" t="e">
        <f>'CRONOS 1.3'!AC2</f>
        <v>#N/A</v>
      </c>
      <c r="M24" s="10" t="e">
        <f t="shared" si="0"/>
        <v>#N/A</v>
      </c>
      <c r="N24" s="10" t="e">
        <f t="shared" si="1"/>
        <v>#N/A</v>
      </c>
      <c r="O24" s="1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8.75" customHeight="1" x14ac:dyDescent="0.4">
      <c r="A25" s="6"/>
      <c r="B25" s="11" t="str">
        <f>'CRONOS 1.8'!A1</f>
        <v>CRONOS 1.8</v>
      </c>
      <c r="C25" s="12" t="e">
        <f>'CRONOS 1.8'!T2</f>
        <v>#N/A</v>
      </c>
      <c r="D25" s="12" t="e">
        <f>'CRONOS 1.8'!U2</f>
        <v>#N/A</v>
      </c>
      <c r="E25" s="12" t="e">
        <f>'CRONOS 1.8'!V2</f>
        <v>#N/A</v>
      </c>
      <c r="F25" s="12" t="e">
        <f>'CRONOS 1.8'!W2</f>
        <v>#N/A</v>
      </c>
      <c r="G25" s="12" t="e">
        <f>'CRONOS 1.8'!X2</f>
        <v>#N/A</v>
      </c>
      <c r="H25" s="12" t="e">
        <f>'CRONOS 1.8'!Y2</f>
        <v>#N/A</v>
      </c>
      <c r="I25" s="12" t="e">
        <f>'CRONOS 1.8'!Z2</f>
        <v>#N/A</v>
      </c>
      <c r="J25" s="12" t="e">
        <f>'CRONOS 1.8'!AA2</f>
        <v>#N/A</v>
      </c>
      <c r="K25" s="12" t="e">
        <f>'CRONOS 1.8'!AB2</f>
        <v>#N/A</v>
      </c>
      <c r="L25" s="13" t="e">
        <f>'CRONOS 1.8'!AC2</f>
        <v>#N/A</v>
      </c>
      <c r="M25" s="10" t="e">
        <f t="shared" si="0"/>
        <v>#N/A</v>
      </c>
      <c r="N25" s="10" t="e">
        <f t="shared" si="1"/>
        <v>#N/A</v>
      </c>
      <c r="O25" s="1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.75" customHeight="1" x14ac:dyDescent="0.4">
      <c r="A26" s="6"/>
      <c r="B26" s="7" t="str">
        <f>'PULSE 1.0T'!A1</f>
        <v>PULSE 1.0T AT</v>
      </c>
      <c r="C26" s="8" t="e">
        <f>'PULSE 1.0T'!T2</f>
        <v>#N/A</v>
      </c>
      <c r="D26" s="8" t="e">
        <f>'PULSE 1.0T'!U2</f>
        <v>#N/A</v>
      </c>
      <c r="E26" s="8" t="e">
        <f>'PULSE 1.0T'!V2</f>
        <v>#N/A</v>
      </c>
      <c r="F26" s="8" t="e">
        <f>'PULSE 1.0T'!W2</f>
        <v>#N/A</v>
      </c>
      <c r="G26" s="8" t="e">
        <f>'PULSE 1.0T'!X2</f>
        <v>#N/A</v>
      </c>
      <c r="H26" s="8" t="e">
        <f>'PULSE 1.0T'!Y2</f>
        <v>#N/A</v>
      </c>
      <c r="I26" s="8" t="e">
        <f>'PULSE 1.0T'!Z2</f>
        <v>#N/A</v>
      </c>
      <c r="J26" s="8" t="e">
        <f>'PULSE 1.0T'!AA2</f>
        <v>#N/A</v>
      </c>
      <c r="K26" s="8" t="e">
        <f>'PULSE 1.0T'!AB2</f>
        <v>#N/A</v>
      </c>
      <c r="L26" s="9" t="e">
        <f>'PULSE 1.0T'!AC2</f>
        <v>#N/A</v>
      </c>
      <c r="M26" s="10" t="e">
        <f t="shared" si="0"/>
        <v>#N/A</v>
      </c>
      <c r="N26" s="10" t="e">
        <f t="shared" si="1"/>
        <v>#N/A</v>
      </c>
      <c r="O26" s="10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8.75" customHeight="1" x14ac:dyDescent="0.4">
      <c r="A27" s="6"/>
      <c r="B27" s="11" t="str">
        <f>'PULSE 1.3'!A1</f>
        <v>PULSE 1.3 AT</v>
      </c>
      <c r="C27" s="12" t="e">
        <f>'PULSE 1.3'!T2</f>
        <v>#N/A</v>
      </c>
      <c r="D27" s="12" t="e">
        <f>'PULSE 1.3'!U2</f>
        <v>#N/A</v>
      </c>
      <c r="E27" s="12" t="e">
        <f>'PULSE 1.3'!V2</f>
        <v>#N/A</v>
      </c>
      <c r="F27" s="12" t="e">
        <f>'PULSE 1.3'!W2</f>
        <v>#N/A</v>
      </c>
      <c r="G27" s="12" t="e">
        <f>'PULSE 1.3'!X2</f>
        <v>#N/A</v>
      </c>
      <c r="H27" s="12" t="e">
        <f>'PULSE 1.3'!Y2</f>
        <v>#N/A</v>
      </c>
      <c r="I27" s="12" t="e">
        <f>'PULSE 1.3'!Z2</f>
        <v>#N/A</v>
      </c>
      <c r="J27" s="12" t="e">
        <f>'PULSE 1.3'!AA2</f>
        <v>#N/A</v>
      </c>
      <c r="K27" s="12" t="e">
        <f>'PULSE 1.3'!AB2</f>
        <v>#N/A</v>
      </c>
      <c r="L27" s="13" t="e">
        <f>'PULSE 1.3'!AC2</f>
        <v>#N/A</v>
      </c>
      <c r="M27" s="10" t="e">
        <f t="shared" si="0"/>
        <v>#N/A</v>
      </c>
      <c r="N27" s="10" t="e">
        <f t="shared" si="1"/>
        <v>#N/A</v>
      </c>
      <c r="O27" s="10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8.75" customHeight="1" x14ac:dyDescent="0.4">
      <c r="A28" s="6"/>
      <c r="B28" s="7" t="str">
        <f>'PULSE ABARTH'!A1</f>
        <v>PULSE ABARTH 1.3T</v>
      </c>
      <c r="C28" s="8" t="e">
        <f>'PULSE ABARTH'!O2</f>
        <v>#N/A</v>
      </c>
      <c r="D28" s="8" t="e">
        <f>'PULSE ABARTH'!P2</f>
        <v>#N/A</v>
      </c>
      <c r="E28" s="8" t="e">
        <f>'PULSE ABARTH'!Q2</f>
        <v>#N/A</v>
      </c>
      <c r="F28" s="8" t="e">
        <f>'PULSE ABARTH'!R2</f>
        <v>#N/A</v>
      </c>
      <c r="G28" s="8" t="e">
        <f>'PULSE ABARTH'!S2</f>
        <v>#N/A</v>
      </c>
      <c r="H28" s="8" t="e">
        <f>'PULSE ABARTH'!T2</f>
        <v>#N/A</v>
      </c>
      <c r="I28" s="8" t="e">
        <f>'PULSE ABARTH'!U2</f>
        <v>#N/A</v>
      </c>
      <c r="J28" s="8" t="e">
        <f>'PULSE ABARTH'!V2</f>
        <v>#N/A</v>
      </c>
      <c r="K28" s="8" t="e">
        <f>'PULSE ABARTH'!W2</f>
        <v>#N/A</v>
      </c>
      <c r="L28" s="9" t="e">
        <f>'PULSE ABARTH'!X2</f>
        <v>#N/A</v>
      </c>
      <c r="M28" s="10" t="e">
        <f t="shared" si="0"/>
        <v>#N/A</v>
      </c>
      <c r="N28" s="10" t="e">
        <f t="shared" si="1"/>
        <v>#N/A</v>
      </c>
      <c r="O28" s="10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8.75" customHeight="1" x14ac:dyDescent="0.4">
      <c r="A29" s="6"/>
      <c r="B29" s="11" t="str">
        <f>'FASTBACK 1.0T'!A1</f>
        <v>FASTBACK 1.0T</v>
      </c>
      <c r="C29" s="12" t="e">
        <f>'FASTBACK 1.0T'!T2</f>
        <v>#N/A</v>
      </c>
      <c r="D29" s="12" t="e">
        <f>'FASTBACK 1.0T'!U2</f>
        <v>#N/A</v>
      </c>
      <c r="E29" s="12" t="e">
        <f>'FASTBACK 1.0T'!V2</f>
        <v>#N/A</v>
      </c>
      <c r="F29" s="12" t="e">
        <f>'FASTBACK 1.0T'!W2</f>
        <v>#N/A</v>
      </c>
      <c r="G29" s="12" t="e">
        <f>'FASTBACK 1.0T'!X2</f>
        <v>#N/A</v>
      </c>
      <c r="H29" s="12" t="e">
        <f>'FASTBACK 1.0T'!Y2</f>
        <v>#N/A</v>
      </c>
      <c r="I29" s="12" t="e">
        <f>'FASTBACK 1.0T'!Z2</f>
        <v>#N/A</v>
      </c>
      <c r="J29" s="12" t="e">
        <f>'FASTBACK 1.0T'!AA2</f>
        <v>#N/A</v>
      </c>
      <c r="K29" s="12" t="e">
        <f>'FASTBACK 1.0T'!AB2</f>
        <v>#N/A</v>
      </c>
      <c r="L29" s="13" t="e">
        <f>'FASTBACK 1.0T'!AC2</f>
        <v>#N/A</v>
      </c>
      <c r="M29" s="10" t="e">
        <f t="shared" si="0"/>
        <v>#N/A</v>
      </c>
      <c r="N29" s="10" t="e">
        <f t="shared" si="1"/>
        <v>#N/A</v>
      </c>
      <c r="O29" s="1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8.75" customHeight="1" x14ac:dyDescent="0.4">
      <c r="A30" s="6"/>
      <c r="B30" s="7" t="str">
        <f>'FASTBACK 1.3T'!A1</f>
        <v>FASTBACK ABARTH 1.3T</v>
      </c>
      <c r="C30" s="8" t="e">
        <f>'FASTBACK 1.3T'!T2</f>
        <v>#N/A</v>
      </c>
      <c r="D30" s="8" t="e">
        <f>'FASTBACK 1.3T'!U2</f>
        <v>#N/A</v>
      </c>
      <c r="E30" s="8" t="e">
        <f>'FASTBACK 1.3T'!V2</f>
        <v>#N/A</v>
      </c>
      <c r="F30" s="8" t="e">
        <f>'FASTBACK 1.3T'!W2</f>
        <v>#N/A</v>
      </c>
      <c r="G30" s="8" t="e">
        <f>'FASTBACK 1.3T'!X2</f>
        <v>#N/A</v>
      </c>
      <c r="H30" s="8" t="e">
        <f>'FASTBACK 1.3T'!Y2</f>
        <v>#N/A</v>
      </c>
      <c r="I30" s="8" t="e">
        <f>'FASTBACK 1.3T'!Z2</f>
        <v>#N/A</v>
      </c>
      <c r="J30" s="8" t="e">
        <f>'FASTBACK 1.3T'!AA2</f>
        <v>#N/A</v>
      </c>
      <c r="K30" s="8" t="e">
        <f>'FASTBACK 1.3T'!AB2</f>
        <v>#N/A</v>
      </c>
      <c r="L30" s="9" t="e">
        <f>'FASTBACK 1.3T'!AC2</f>
        <v>#N/A</v>
      </c>
      <c r="M30" s="10" t="e">
        <f t="shared" si="0"/>
        <v>#N/A</v>
      </c>
      <c r="N30" s="10" t="e">
        <f t="shared" si="1"/>
        <v>#N/A</v>
      </c>
      <c r="O30" s="10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8.75" customHeight="1" x14ac:dyDescent="0.4">
      <c r="A31" s="6"/>
      <c r="B31" s="11" t="str">
        <f>'TORO 1.8'!A1</f>
        <v>TORO 1.8</v>
      </c>
      <c r="C31" s="12">
        <f>'TORO 1.8'!O2</f>
        <v>498</v>
      </c>
      <c r="D31" s="12" t="e">
        <f>'TORO 1.8'!P2</f>
        <v>#N/A</v>
      </c>
      <c r="E31" s="12" t="e">
        <f>'TORO 1.8'!Q2</f>
        <v>#N/A</v>
      </c>
      <c r="F31" s="12" t="e">
        <f>'TORO 1.8'!R2</f>
        <v>#N/A</v>
      </c>
      <c r="G31" s="12" t="e">
        <f>'TORO 1.8'!S2</f>
        <v>#N/A</v>
      </c>
      <c r="H31" s="12" t="e">
        <f>'TORO 1.8'!T2</f>
        <v>#N/A</v>
      </c>
      <c r="I31" s="12" t="e">
        <f>'TORO 1.8'!U2</f>
        <v>#N/A</v>
      </c>
      <c r="J31" s="12" t="e">
        <f>'TORO 1.8'!V2</f>
        <v>#N/A</v>
      </c>
      <c r="K31" s="12" t="e">
        <f>'TORO 1.8'!W2</f>
        <v>#N/A</v>
      </c>
      <c r="L31" s="13" t="e">
        <f>'TORO 1.8'!X2</f>
        <v>#N/A</v>
      </c>
      <c r="M31" s="10" t="e">
        <f t="shared" si="0"/>
        <v>#N/A</v>
      </c>
      <c r="N31" s="10" t="e">
        <f t="shared" si="1"/>
        <v>#N/A</v>
      </c>
      <c r="O31" s="10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8.75" customHeight="1" x14ac:dyDescent="0.4">
      <c r="A32" s="6"/>
      <c r="B32" s="7" t="str">
        <f>'TORO 2.4'!A1</f>
        <v>TORO 2.4</v>
      </c>
      <c r="C32" s="8">
        <f>'TORO 2.4'!O2</f>
        <v>706</v>
      </c>
      <c r="D32" s="8" t="e">
        <f>'TORO 2.4'!P2</f>
        <v>#N/A</v>
      </c>
      <c r="E32" s="8" t="e">
        <f>'TORO 2.4'!Q2</f>
        <v>#N/A</v>
      </c>
      <c r="F32" s="8" t="e">
        <f>'TORO 2.4'!R2</f>
        <v>#N/A</v>
      </c>
      <c r="G32" s="8" t="e">
        <f>'TORO 2.4'!S2</f>
        <v>#N/A</v>
      </c>
      <c r="H32" s="8" t="e">
        <f>'TORO 2.4'!T2</f>
        <v>#N/A</v>
      </c>
      <c r="I32" s="8" t="e">
        <f>'TORO 2.4'!U2</f>
        <v>#N/A</v>
      </c>
      <c r="J32" s="8" t="e">
        <f>'TORO 2.4'!V2</f>
        <v>#N/A</v>
      </c>
      <c r="K32" s="8" t="e">
        <f>'TORO 2.4'!W2</f>
        <v>#N/A</v>
      </c>
      <c r="L32" s="9" t="e">
        <f>'TORO 2.4'!X2</f>
        <v>#N/A</v>
      </c>
      <c r="M32" s="10" t="e">
        <f t="shared" si="0"/>
        <v>#N/A</v>
      </c>
      <c r="N32" s="10" t="e">
        <f t="shared" si="1"/>
        <v>#N/A</v>
      </c>
      <c r="O32" s="10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8.75" customHeight="1" x14ac:dyDescent="0.4">
      <c r="A33" s="6"/>
      <c r="B33" s="11" t="str">
        <f>'TORO 1.3T'!A1</f>
        <v>TORO 1.3T MY25</v>
      </c>
      <c r="C33" s="12" t="e">
        <f>'TORO 1.3T'!W2</f>
        <v>#N/A</v>
      </c>
      <c r="D33" s="12" t="e">
        <f>'TORO 1.3T'!X2</f>
        <v>#N/A</v>
      </c>
      <c r="E33" s="12" t="e">
        <f>'TORO 1.3T'!Y2</f>
        <v>#N/A</v>
      </c>
      <c r="F33" s="12" t="e">
        <f>'TORO 1.3T'!Z2</f>
        <v>#N/A</v>
      </c>
      <c r="G33" s="12" t="e">
        <f>'TORO 1.3T'!AA2</f>
        <v>#N/A</v>
      </c>
      <c r="H33" s="12" t="e">
        <f>'TORO 1.3T'!AB2</f>
        <v>#N/A</v>
      </c>
      <c r="I33" s="12" t="e">
        <f>'TORO 1.3T'!AC2</f>
        <v>#N/A</v>
      </c>
      <c r="J33" s="12" t="e">
        <f>'TORO 1.3T'!AD2</f>
        <v>#N/A</v>
      </c>
      <c r="K33" s="12" t="e">
        <f>'TORO 1.3T'!AE2</f>
        <v>#N/A</v>
      </c>
      <c r="L33" s="13" t="e">
        <f>'TORO 1.3T'!AF2</f>
        <v>#N/A</v>
      </c>
      <c r="M33" s="10" t="e">
        <f t="shared" si="0"/>
        <v>#N/A</v>
      </c>
      <c r="N33" s="10" t="e">
        <f t="shared" si="1"/>
        <v>#N/A</v>
      </c>
      <c r="O33" s="1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8.75" customHeight="1" x14ac:dyDescent="0.4">
      <c r="A34" s="6"/>
      <c r="B34" s="7" t="str">
        <f>'TORO 1.3T'!A13</f>
        <v>TORO 1.3T MY26</v>
      </c>
      <c r="C34" s="8" t="e">
        <f>'TORO 1.3T'!W14</f>
        <v>#N/A</v>
      </c>
      <c r="D34" s="8" t="e">
        <f>'TORO 1.3T'!X14</f>
        <v>#N/A</v>
      </c>
      <c r="E34" s="8" t="e">
        <f>'TORO 1.3T'!Y14</f>
        <v>#N/A</v>
      </c>
      <c r="F34" s="8" t="e">
        <f>'TORO 1.3T'!Z14</f>
        <v>#N/A</v>
      </c>
      <c r="G34" s="8" t="e">
        <f>'TORO 1.3T'!AA14</f>
        <v>#N/A</v>
      </c>
      <c r="H34" s="8" t="e">
        <f>'TORO 1.3T'!AB14</f>
        <v>#N/A</v>
      </c>
      <c r="I34" s="8" t="e">
        <f>'TORO 1.3T'!AC14</f>
        <v>#N/A</v>
      </c>
      <c r="J34" s="8" t="e">
        <f>'TORO 1.3T'!AD14</f>
        <v>#N/A</v>
      </c>
      <c r="K34" s="8" t="e">
        <f>'TORO 1.3T'!AE14</f>
        <v>#N/A</v>
      </c>
      <c r="L34" s="9" t="e">
        <f>'TORO 1.3T'!AF14</f>
        <v>#N/A</v>
      </c>
      <c r="M34" s="10" t="e">
        <f t="shared" si="0"/>
        <v>#N/A</v>
      </c>
      <c r="N34" s="10" t="e">
        <f t="shared" si="1"/>
        <v>#N/A</v>
      </c>
      <c r="O34" s="1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8.75" customHeight="1" x14ac:dyDescent="0.4">
      <c r="A35" s="6"/>
      <c r="B35" s="11" t="s">
        <v>86</v>
      </c>
      <c r="C35" s="12" t="e">
        <f>TITANO!T2</f>
        <v>#N/A</v>
      </c>
      <c r="D35" s="12" t="e">
        <f>TITANO!U2</f>
        <v>#N/A</v>
      </c>
      <c r="E35" s="12" t="e">
        <f>TITANO!V2</f>
        <v>#N/A</v>
      </c>
      <c r="F35" s="12" t="e">
        <f>TITANO!W2</f>
        <v>#N/A</v>
      </c>
      <c r="G35" s="12" t="e">
        <f>TITANO!X2</f>
        <v>#N/A</v>
      </c>
      <c r="H35" s="12" t="e">
        <f>TITANO!Y2</f>
        <v>#N/A</v>
      </c>
      <c r="I35" s="12" t="e">
        <f>TITANO!Z2</f>
        <v>#N/A</v>
      </c>
      <c r="J35" s="12" t="e">
        <f>TITANO!AA2</f>
        <v>#N/A</v>
      </c>
      <c r="K35" s="12" t="e">
        <f>TITANO!AB2</f>
        <v>#N/A</v>
      </c>
      <c r="L35" s="13" t="e">
        <f>TITANO!AC2</f>
        <v>#N/A</v>
      </c>
      <c r="M35" s="10" t="e">
        <f t="shared" si="0"/>
        <v>#N/A</v>
      </c>
      <c r="N35" s="10" t="e">
        <f t="shared" si="1"/>
        <v>#N/A</v>
      </c>
      <c r="O35" s="10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8.75" customHeight="1" x14ac:dyDescent="0.4">
      <c r="A36" s="6"/>
      <c r="B36" s="7" t="s">
        <v>87</v>
      </c>
      <c r="C36" s="8" t="e">
        <f>TITANO!T18</f>
        <v>#N/A</v>
      </c>
      <c r="D36" s="8" t="e">
        <f>TITANO!U18</f>
        <v>#N/A</v>
      </c>
      <c r="E36" s="8" t="e">
        <f>TITANO!V18</f>
        <v>#N/A</v>
      </c>
      <c r="F36" s="8" t="e">
        <f>TITANO!W18</f>
        <v>#N/A</v>
      </c>
      <c r="G36" s="8" t="e">
        <f>TITANO!X18</f>
        <v>#N/A</v>
      </c>
      <c r="H36" s="8" t="e">
        <f>TITANO!Y18</f>
        <v>#N/A</v>
      </c>
      <c r="I36" s="8" t="e">
        <f>TITANO!Z18</f>
        <v>#N/A</v>
      </c>
      <c r="J36" s="8" t="e">
        <f>TITANO!AA18</f>
        <v>#N/A</v>
      </c>
      <c r="K36" s="8" t="e">
        <f>TITANO!AB18</f>
        <v>#N/A</v>
      </c>
      <c r="L36" s="9" t="e">
        <f>TITANO!AC18</f>
        <v>#N/A</v>
      </c>
      <c r="M36" s="10" t="e">
        <f t="shared" si="0"/>
        <v>#N/A</v>
      </c>
      <c r="N36" s="10" t="e">
        <f t="shared" si="1"/>
        <v>#N/A</v>
      </c>
      <c r="O36" s="10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8.75" customHeight="1" x14ac:dyDescent="0.4">
      <c r="A37" s="6"/>
      <c r="B37" s="11" t="str">
        <f>TITANO!A33</f>
        <v>TITANO 2.2D MT</v>
      </c>
      <c r="C37" s="12" t="e">
        <f>TITANO!T34</f>
        <v>#N/A</v>
      </c>
      <c r="D37" s="12" t="e">
        <f>TITANO!U34</f>
        <v>#N/A</v>
      </c>
      <c r="E37" s="12" t="e">
        <f>TITANO!V34</f>
        <v>#N/A</v>
      </c>
      <c r="F37" s="12" t="e">
        <f>TITANO!W34</f>
        <v>#N/A</v>
      </c>
      <c r="G37" s="12" t="e">
        <f>TITANO!X34</f>
        <v>#N/A</v>
      </c>
      <c r="H37" s="12" t="e">
        <f>TITANO!Y34</f>
        <v>#N/A</v>
      </c>
      <c r="I37" s="12" t="e">
        <f>TITANO!Z34</f>
        <v>#N/A</v>
      </c>
      <c r="J37" s="12" t="e">
        <f>TITANO!AA34</f>
        <v>#N/A</v>
      </c>
      <c r="K37" s="12" t="e">
        <f>TITANO!AB34</f>
        <v>#N/A</v>
      </c>
      <c r="L37" s="13" t="e">
        <f>TITANO!AC34</f>
        <v>#N/A</v>
      </c>
      <c r="M37" s="10" t="e">
        <f t="shared" si="0"/>
        <v>#N/A</v>
      </c>
      <c r="N37" s="10" t="e">
        <f t="shared" si="1"/>
        <v>#N/A</v>
      </c>
      <c r="O37" s="1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8.75" customHeight="1" x14ac:dyDescent="0.4">
      <c r="A38" s="6"/>
      <c r="B38" s="7" t="str">
        <f>TITANO!A48</f>
        <v>TITANO 2.2D AT</v>
      </c>
      <c r="C38" s="8" t="e">
        <f>TITANO!T49</f>
        <v>#N/A</v>
      </c>
      <c r="D38" s="8" t="e">
        <f>TITANO!U49</f>
        <v>#N/A</v>
      </c>
      <c r="E38" s="8" t="e">
        <f>TITANO!V49</f>
        <v>#N/A</v>
      </c>
      <c r="F38" s="8" t="e">
        <f>TITANO!W49</f>
        <v>#N/A</v>
      </c>
      <c r="G38" s="8" t="e">
        <f>TITANO!X49</f>
        <v>#N/A</v>
      </c>
      <c r="H38" s="8" t="e">
        <f>TITANO!Y49</f>
        <v>#N/A</v>
      </c>
      <c r="I38" s="8" t="e">
        <f>TITANO!Z49</f>
        <v>#N/A</v>
      </c>
      <c r="J38" s="8" t="e">
        <f>TITANO!AA49</f>
        <v>#N/A</v>
      </c>
      <c r="K38" s="8" t="e">
        <f>TITANO!AB49</f>
        <v>#N/A</v>
      </c>
      <c r="L38" s="9" t="e">
        <f>TITANO!AC49</f>
        <v>#N/A</v>
      </c>
      <c r="M38" s="10" t="e">
        <f t="shared" si="0"/>
        <v>#N/A</v>
      </c>
      <c r="N38" s="10" t="e">
        <f t="shared" si="1"/>
        <v>#N/A</v>
      </c>
      <c r="O38" s="1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6.25" customHeight="1" x14ac:dyDescent="0.4">
      <c r="A39" s="6"/>
      <c r="B39" s="225" t="str">
        <f>B1</f>
        <v>PREÇO PARA PUBLICAÇÃO - MAR.26</v>
      </c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N39" s="10">
        <f t="shared" si="1"/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8.75" customHeight="1" x14ac:dyDescent="0.4">
      <c r="A40" s="6"/>
      <c r="B40" s="228" t="s">
        <v>88</v>
      </c>
      <c r="C40" s="229"/>
      <c r="D40" s="229"/>
      <c r="E40" s="229"/>
      <c r="F40" s="229"/>
      <c r="G40" s="229"/>
      <c r="H40" s="229"/>
      <c r="I40" s="229"/>
      <c r="J40" s="229"/>
      <c r="K40" s="229"/>
      <c r="L40" s="230"/>
      <c r="N40" s="10">
        <f t="shared" si="1"/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7.25" customHeight="1" x14ac:dyDescent="0.4">
      <c r="A41" s="6"/>
      <c r="B41" s="3" t="s">
        <v>89</v>
      </c>
      <c r="C41" s="4" t="s">
        <v>90</v>
      </c>
      <c r="D41" s="4" t="s">
        <v>91</v>
      </c>
      <c r="E41" s="4" t="s">
        <v>92</v>
      </c>
      <c r="F41" s="4" t="s">
        <v>93</v>
      </c>
      <c r="G41" s="4" t="s">
        <v>94</v>
      </c>
      <c r="H41" s="4" t="s">
        <v>95</v>
      </c>
      <c r="I41" s="4" t="s">
        <v>96</v>
      </c>
      <c r="J41" s="4" t="s">
        <v>97</v>
      </c>
      <c r="K41" s="4" t="s">
        <v>98</v>
      </c>
      <c r="L41" s="5" t="s">
        <v>99</v>
      </c>
      <c r="N41" s="10">
        <f t="shared" si="1"/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8.75" customHeight="1" x14ac:dyDescent="0.4">
      <c r="A42" s="6"/>
      <c r="B42" s="14" t="str">
        <f>'TORO DIESEL'!A1</f>
        <v>TORO 2.0</v>
      </c>
      <c r="C42" s="15" t="e">
        <f>'TORO DIESEL'!T2</f>
        <v>#N/A</v>
      </c>
      <c r="D42" s="15" t="e">
        <f>'TORO DIESEL'!U2</f>
        <v>#N/A</v>
      </c>
      <c r="E42" s="15" t="e">
        <f>'TORO DIESEL'!V2</f>
        <v>#N/A</v>
      </c>
      <c r="F42" s="15" t="e">
        <f>'TORO DIESEL'!W2</f>
        <v>#N/A</v>
      </c>
      <c r="G42" s="15" t="e">
        <f>'TORO DIESEL'!X2</f>
        <v>#N/A</v>
      </c>
      <c r="H42" s="15" t="e">
        <f>'TORO DIESEL'!Y2</f>
        <v>#N/A</v>
      </c>
      <c r="I42" s="15" t="e">
        <f>'TORO DIESEL'!Z2</f>
        <v>#N/A</v>
      </c>
      <c r="J42" s="15" t="e">
        <f>'TORO DIESEL'!AA2</f>
        <v>#N/A</v>
      </c>
      <c r="K42" s="15" t="e">
        <f>'TORO DIESEL'!AB2</f>
        <v>#N/A</v>
      </c>
      <c r="L42" s="16" t="e">
        <f>'TORO DIESEL'!AC2</f>
        <v>#N/A</v>
      </c>
      <c r="M42" s="10" t="e">
        <f>SUM(C42:L42)</f>
        <v>#N/A</v>
      </c>
      <c r="N42" s="10" t="e">
        <f t="shared" si="1"/>
        <v>#N/A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8.75" customHeight="1" x14ac:dyDescent="0.4">
      <c r="A43" s="6"/>
      <c r="B43" s="17" t="str">
        <f>'TORO DIESEL'!A13</f>
        <v>TORO 2.2TD MY26</v>
      </c>
      <c r="C43" s="8" t="e">
        <f>'TORO DIESEL'!T14</f>
        <v>#N/A</v>
      </c>
      <c r="D43" s="8" t="e">
        <f>'TORO DIESEL'!U14</f>
        <v>#N/A</v>
      </c>
      <c r="E43" s="8" t="e">
        <f>'TORO DIESEL'!V14</f>
        <v>#N/A</v>
      </c>
      <c r="F43" s="8" t="e">
        <f>'TORO DIESEL'!W14</f>
        <v>#N/A</v>
      </c>
      <c r="G43" s="8" t="e">
        <f>'TORO DIESEL'!X14</f>
        <v>#N/A</v>
      </c>
      <c r="H43" s="8" t="e">
        <f>'TORO DIESEL'!Y14</f>
        <v>#N/A</v>
      </c>
      <c r="I43" s="8" t="e">
        <f>'TORO DIESEL'!Z14</f>
        <v>#N/A</v>
      </c>
      <c r="J43" s="8" t="e">
        <f>'TORO DIESEL'!AA14</f>
        <v>#N/A</v>
      </c>
      <c r="K43" s="8" t="e">
        <f>'TORO DIESEL'!AB14</f>
        <v>#N/A</v>
      </c>
      <c r="L43" s="9" t="e">
        <f>'TORO DIESEL'!AC14</f>
        <v>#N/A</v>
      </c>
      <c r="M43" s="10" t="e">
        <f>SUM(C43:L43)</f>
        <v>#N/A</v>
      </c>
      <c r="N43" s="10" t="e">
        <f t="shared" si="1"/>
        <v>#N/A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8.75" customHeight="1" x14ac:dyDescent="0.4">
      <c r="A44" s="6"/>
      <c r="B44" s="11" t="str">
        <f>SCUDO!A1</f>
        <v>SCUDO</v>
      </c>
      <c r="C44" s="12" t="e">
        <f>SCUDO!T2</f>
        <v>#N/A</v>
      </c>
      <c r="D44" s="12" t="e">
        <f>SCUDO!U2</f>
        <v>#N/A</v>
      </c>
      <c r="E44" s="12" t="e">
        <f>SCUDO!V2</f>
        <v>#N/A</v>
      </c>
      <c r="F44" s="12" t="e">
        <f>SCUDO!W2</f>
        <v>#N/A</v>
      </c>
      <c r="G44" s="12" t="e">
        <f>SCUDO!X2</f>
        <v>#N/A</v>
      </c>
      <c r="H44" s="12" t="e">
        <f>SCUDO!Y2</f>
        <v>#N/A</v>
      </c>
      <c r="I44" s="12" t="e">
        <f>SCUDO!Z2</f>
        <v>#N/A</v>
      </c>
      <c r="J44" s="12" t="e">
        <f>SCUDO!AA2</f>
        <v>#N/A</v>
      </c>
      <c r="K44" s="12" t="e">
        <f>SCUDO!AB2</f>
        <v>#N/A</v>
      </c>
      <c r="L44" s="18" t="e">
        <f>SCUDO!AC2</f>
        <v>#N/A</v>
      </c>
      <c r="M44" s="10" t="e">
        <f>SUM(C44:L44)</f>
        <v>#N/A</v>
      </c>
      <c r="N44" s="10" t="e">
        <f t="shared" si="1"/>
        <v>#N/A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8.75" customHeight="1" x14ac:dyDescent="0.4">
      <c r="A45" s="6"/>
      <c r="B45" s="19" t="str">
        <f>SCUDO!A32</f>
        <v>e-SCUDO</v>
      </c>
      <c r="C45" s="8" t="e">
        <f>SCUDO!T33</f>
        <v>#N/A</v>
      </c>
      <c r="D45" s="8" t="e">
        <f>SCUDO!U33</f>
        <v>#N/A</v>
      </c>
      <c r="E45" s="8" t="e">
        <f>SCUDO!V33</f>
        <v>#N/A</v>
      </c>
      <c r="F45" s="8" t="e">
        <f>SCUDO!W33</f>
        <v>#N/A</v>
      </c>
      <c r="G45" s="8" t="e">
        <f>SCUDO!X33</f>
        <v>#N/A</v>
      </c>
      <c r="H45" s="8" t="e">
        <f>SCUDO!Y33</f>
        <v>#N/A</v>
      </c>
      <c r="I45" s="8" t="e">
        <f>SCUDO!Z33</f>
        <v>#N/A</v>
      </c>
      <c r="J45" s="8" t="e">
        <f>SCUDO!AA33</f>
        <v>#N/A</v>
      </c>
      <c r="K45" s="8" t="e">
        <f>SCUDO!AB33</f>
        <v>#N/A</v>
      </c>
      <c r="L45" s="9" t="e">
        <f>SCUDO!AC33</f>
        <v>#N/A</v>
      </c>
      <c r="M45" s="10" t="e">
        <f>SUM(C45:L45)</f>
        <v>#N/A</v>
      </c>
      <c r="N45" s="10" t="e">
        <f t="shared" si="1"/>
        <v>#N/A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8.75" customHeight="1" x14ac:dyDescent="0.4">
      <c r="A46" s="6"/>
      <c r="B46" s="11" t="str">
        <f>SCUDO!A19</f>
        <v>SCUDO 2.2D</v>
      </c>
      <c r="C46" s="12" t="e">
        <f>SCUDO!T20</f>
        <v>#N/A</v>
      </c>
      <c r="D46" s="12" t="e">
        <f>SCUDO!U20</f>
        <v>#N/A</v>
      </c>
      <c r="E46" s="12" t="e">
        <f>SCUDO!V20</f>
        <v>#N/A</v>
      </c>
      <c r="F46" s="12" t="e">
        <f>SCUDO!W20</f>
        <v>#N/A</v>
      </c>
      <c r="G46" s="12" t="e">
        <f>SCUDO!X20</f>
        <v>#N/A</v>
      </c>
      <c r="H46" s="12" t="e">
        <f>SCUDO!Y20</f>
        <v>#N/A</v>
      </c>
      <c r="I46" s="12" t="e">
        <f>SCUDO!Z20</f>
        <v>#N/A</v>
      </c>
      <c r="J46" s="12" t="e">
        <f>SCUDO!AA20</f>
        <v>#N/A</v>
      </c>
      <c r="K46" s="12" t="e">
        <f>SCUDO!AB20</f>
        <v>#N/A</v>
      </c>
      <c r="L46" s="13" t="e">
        <f>SCUDO!AC20</f>
        <v>#N/A</v>
      </c>
      <c r="M46" s="10"/>
      <c r="N46" s="10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8.75" customHeight="1" x14ac:dyDescent="0.4">
      <c r="A47" s="6"/>
      <c r="B47" s="19" t="str">
        <f>DUCATO!A1</f>
        <v>DUCATO X250</v>
      </c>
      <c r="C47" s="8" t="e">
        <f>DUCATO!T2</f>
        <v>#N/A</v>
      </c>
      <c r="D47" s="8" t="e">
        <f>DUCATO!U2</f>
        <v>#N/A</v>
      </c>
      <c r="E47" s="8" t="e">
        <f>DUCATO!V2</f>
        <v>#N/A</v>
      </c>
      <c r="F47" s="8" t="e">
        <f>DUCATO!W2</f>
        <v>#N/A</v>
      </c>
      <c r="G47" s="8" t="e">
        <f>DUCATO!X2</f>
        <v>#N/A</v>
      </c>
      <c r="H47" s="8" t="e">
        <f>DUCATO!Y2</f>
        <v>#N/A</v>
      </c>
      <c r="I47" s="8" t="e">
        <f>DUCATO!Z2</f>
        <v>#N/A</v>
      </c>
      <c r="J47" s="8" t="e">
        <f>DUCATO!AA2</f>
        <v>#N/A</v>
      </c>
      <c r="K47" s="8" t="e">
        <f>DUCATO!AB2</f>
        <v>#N/A</v>
      </c>
      <c r="L47" s="9" t="e">
        <f>DUCATO!AC2</f>
        <v>#N/A</v>
      </c>
      <c r="M47" s="10" t="e">
        <f>SUM(C47:L47)</f>
        <v>#N/A</v>
      </c>
      <c r="N47" s="10" t="e">
        <f t="shared" ref="N47:N54" si="2">SUM(C47:H47)</f>
        <v>#N/A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9.5" customHeight="1" x14ac:dyDescent="0.4">
      <c r="A48" s="6"/>
      <c r="B48" s="11" t="str">
        <f>DUCATO!A35</f>
        <v>DUCATO X250 2.2D</v>
      </c>
      <c r="C48" s="12">
        <f>DUCATO!T36</f>
        <v>1559</v>
      </c>
      <c r="D48" s="12">
        <f>DUCATO!U36</f>
        <v>2926</v>
      </c>
      <c r="E48" s="12">
        <f>DUCATO!V36</f>
        <v>1985</v>
      </c>
      <c r="F48" s="12">
        <f>DUCATO!W36</f>
        <v>2926</v>
      </c>
      <c r="G48" s="12">
        <f>DUCATO!X36</f>
        <v>1559</v>
      </c>
      <c r="H48" s="12">
        <f>DUCATO!Y36</f>
        <v>5321</v>
      </c>
      <c r="I48" s="12">
        <f>DUCATO!Z36</f>
        <v>1559</v>
      </c>
      <c r="J48" s="12">
        <f>DUCATO!AA36</f>
        <v>2926</v>
      </c>
      <c r="K48" s="12">
        <f>DUCATO!AB36</f>
        <v>1985</v>
      </c>
      <c r="L48" s="13">
        <f>DUCATO!AC36</f>
        <v>2926</v>
      </c>
      <c r="M48" s="10">
        <f>SUM(C48:L48)</f>
        <v>25672</v>
      </c>
      <c r="N48" s="10">
        <f t="shared" si="2"/>
        <v>16276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6.25" customHeight="1" x14ac:dyDescent="0.4">
      <c r="A49" s="6"/>
      <c r="B49" s="225" t="str">
        <f>B39</f>
        <v>PREÇO PARA PUBLICAÇÃO - MAR.26</v>
      </c>
      <c r="C49" s="226"/>
      <c r="D49" s="226"/>
      <c r="E49" s="226"/>
      <c r="F49" s="226"/>
      <c r="G49" s="226"/>
      <c r="H49" s="226"/>
      <c r="I49" s="226"/>
      <c r="J49" s="226"/>
      <c r="K49" s="226"/>
      <c r="L49" s="227"/>
      <c r="M49" s="2"/>
      <c r="N49" s="10">
        <f t="shared" si="2"/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2.5" customHeight="1" x14ac:dyDescent="0.4">
      <c r="A50" s="6"/>
      <c r="B50" s="228" t="s">
        <v>100</v>
      </c>
      <c r="C50" s="229"/>
      <c r="D50" s="229"/>
      <c r="E50" s="229"/>
      <c r="F50" s="229"/>
      <c r="G50" s="229"/>
      <c r="H50" s="229"/>
      <c r="I50" s="229"/>
      <c r="J50" s="229"/>
      <c r="K50" s="229"/>
      <c r="L50" s="230"/>
      <c r="M50" s="1"/>
      <c r="N50" s="10">
        <f t="shared" si="2"/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7.25" customHeight="1" x14ac:dyDescent="0.4">
      <c r="A51" s="6"/>
      <c r="B51" s="3" t="s">
        <v>89</v>
      </c>
      <c r="C51" s="4" t="s">
        <v>90</v>
      </c>
      <c r="D51" s="4" t="s">
        <v>91</v>
      </c>
      <c r="E51" s="4" t="s">
        <v>92</v>
      </c>
      <c r="F51" s="4" t="s">
        <v>93</v>
      </c>
      <c r="G51" s="4" t="s">
        <v>94</v>
      </c>
      <c r="H51" s="4" t="s">
        <v>95</v>
      </c>
      <c r="I51" s="4" t="s">
        <v>96</v>
      </c>
      <c r="J51" s="4" t="s">
        <v>97</v>
      </c>
      <c r="K51" s="4" t="s">
        <v>98</v>
      </c>
      <c r="L51" s="5" t="s">
        <v>99</v>
      </c>
      <c r="M51" s="2"/>
      <c r="N51" s="10">
        <f t="shared" si="2"/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 hidden="1" customHeight="1" x14ac:dyDescent="0.4">
      <c r="A52" s="6"/>
      <c r="C52" s="20" t="e">
        <f t="shared" ref="C52:L52" si="3">C53/4</f>
        <v>#N/A</v>
      </c>
      <c r="D52" s="20" t="e">
        <f t="shared" si="3"/>
        <v>#N/A</v>
      </c>
      <c r="E52" s="20" t="e">
        <f t="shared" si="3"/>
        <v>#N/A</v>
      </c>
      <c r="F52" s="20" t="e">
        <f t="shared" si="3"/>
        <v>#N/A</v>
      </c>
      <c r="G52" s="20" t="e">
        <f t="shared" si="3"/>
        <v>#N/A</v>
      </c>
      <c r="H52" s="20" t="e">
        <f t="shared" si="3"/>
        <v>#N/A</v>
      </c>
      <c r="I52" s="20" t="e">
        <f t="shared" si="3"/>
        <v>#N/A</v>
      </c>
      <c r="J52" s="20" t="e">
        <f t="shared" si="3"/>
        <v>#N/A</v>
      </c>
      <c r="K52" s="20" t="e">
        <f t="shared" si="3"/>
        <v>#N/A</v>
      </c>
      <c r="L52" s="21" t="e">
        <f t="shared" si="3"/>
        <v>#N/A</v>
      </c>
      <c r="N52" s="10" t="e">
        <f t="shared" si="2"/>
        <v>#N/A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24" customHeight="1" x14ac:dyDescent="0.4">
      <c r="A53" s="6"/>
      <c r="B53" s="22" t="str">
        <f>'500e'!A1</f>
        <v>500e</v>
      </c>
      <c r="C53" s="23" t="e">
        <f>'500e'!O2</f>
        <v>#N/A</v>
      </c>
      <c r="D53" s="23" t="e">
        <f>'500e'!P2</f>
        <v>#N/A</v>
      </c>
      <c r="E53" s="23" t="e">
        <f>'500e'!Q2</f>
        <v>#N/A</v>
      </c>
      <c r="F53" s="23" t="e">
        <f>'500e'!R2</f>
        <v>#N/A</v>
      </c>
      <c r="G53" s="23" t="e">
        <f>'500e'!S2</f>
        <v>#N/A</v>
      </c>
      <c r="H53" s="23" t="e">
        <f>'500e'!T2</f>
        <v>#N/A</v>
      </c>
      <c r="I53" s="23" t="e">
        <f>'500e'!U2</f>
        <v>#N/A</v>
      </c>
      <c r="J53" s="23" t="e">
        <f>'500e'!V2</f>
        <v>#N/A</v>
      </c>
      <c r="K53" s="23" t="e">
        <f>'500e'!W2</f>
        <v>#N/A</v>
      </c>
      <c r="L53" s="24" t="e">
        <f>'500e'!X2</f>
        <v>#N/A</v>
      </c>
      <c r="M53" s="25" t="e">
        <f>SUM(C53:L53)</f>
        <v>#N/A</v>
      </c>
      <c r="N53" s="10" t="e">
        <f t="shared" si="2"/>
        <v>#N/A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7.25" customHeight="1" x14ac:dyDescent="0.45">
      <c r="A54" s="6"/>
      <c r="B54" s="26" t="str">
        <f>DUCATO!A20</f>
        <v>DUCATO</v>
      </c>
      <c r="C54" s="27">
        <f>DUCATO!T21</f>
        <v>1334</v>
      </c>
      <c r="D54" s="27" t="e">
        <f>DUCATO!U21</f>
        <v>#N/A</v>
      </c>
      <c r="E54" s="27" t="e">
        <f>DUCATO!V21</f>
        <v>#N/A</v>
      </c>
      <c r="F54" s="27" t="e">
        <f>DUCATO!W21</f>
        <v>#N/A</v>
      </c>
      <c r="G54" s="27" t="e">
        <f>DUCATO!X21</f>
        <v>#N/A</v>
      </c>
      <c r="H54" s="27" t="e">
        <f>DUCATO!Y21</f>
        <v>#N/A</v>
      </c>
      <c r="I54" s="27" t="e">
        <f>DUCATO!Z21</f>
        <v>#N/A</v>
      </c>
      <c r="J54" s="27" t="e">
        <f>DUCATO!AA21</f>
        <v>#N/A</v>
      </c>
      <c r="K54" s="27" t="e">
        <f>DUCATO!AB21</f>
        <v>#N/A</v>
      </c>
      <c r="L54" s="28" t="e">
        <f>DUCATO!AC21</f>
        <v>#N/A</v>
      </c>
      <c r="M54" s="25" t="e">
        <f>SUM(C54:L54)</f>
        <v>#N/A</v>
      </c>
      <c r="N54" s="10" t="e">
        <f t="shared" si="2"/>
        <v>#N/A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8.75" customHeight="1" x14ac:dyDescent="0.4">
      <c r="A55" s="1"/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8.75" customHeight="1" x14ac:dyDescent="0.4">
      <c r="A56" s="1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</sheetData>
  <mergeCells count="6">
    <mergeCell ref="B1:L1"/>
    <mergeCell ref="B49:L49"/>
    <mergeCell ref="B50:L50"/>
    <mergeCell ref="B39:L39"/>
    <mergeCell ref="B2:L2"/>
    <mergeCell ref="B40:L40"/>
  </mergeCells>
  <hyperlinks>
    <hyperlink ref="B46" location="SCUDO!A1" display="#SCUDO.A1" xr:uid="{00000000-0004-0000-0000-000000000000}"/>
  </hyperlink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AJ964"/>
  <sheetViews>
    <sheetView showGridLines="0" zoomScaleNormal="100" workbookViewId="0">
      <pane xSplit="4" topLeftCell="E1" activePane="topRight" state="frozen"/>
      <selection pane="topRight" activeCell="E17" sqref="E17"/>
    </sheetView>
  </sheetViews>
  <sheetFormatPr defaultColWidth="14.4609375" defaultRowHeight="14.6" x14ac:dyDescent="0.4"/>
  <cols>
    <col min="1" max="1" width="3.3046875" customWidth="1"/>
    <col min="2" max="2" width="60.84375" customWidth="1"/>
    <col min="3" max="3" width="16.84375" style="31" customWidth="1"/>
    <col min="4" max="4" width="8.69140625" customWidth="1"/>
    <col min="5" max="19" width="5.15234375" customWidth="1"/>
    <col min="20" max="20" width="15" customWidth="1"/>
    <col min="21" max="21" width="15.69140625" customWidth="1"/>
    <col min="22" max="22" width="15" customWidth="1"/>
    <col min="23" max="23" width="17.15234375" customWidth="1"/>
    <col min="24" max="24" width="15" customWidth="1"/>
    <col min="25" max="25" width="17.15234375" customWidth="1"/>
    <col min="26" max="26" width="13.69140625" customWidth="1"/>
    <col min="27" max="27" width="15.69140625" customWidth="1"/>
    <col min="28" max="28" width="13.69140625" customWidth="1"/>
    <col min="29" max="29" width="15.69140625" customWidth="1"/>
    <col min="30" max="30" width="13.69140625" customWidth="1"/>
    <col min="31" max="31" width="15.69140625" customWidth="1"/>
    <col min="32" max="32" width="13.69140625" customWidth="1"/>
    <col min="33" max="33" width="15.69140625" customWidth="1"/>
    <col min="34" max="34" width="13.69140625" customWidth="1"/>
    <col min="35" max="35" width="8.3828125" customWidth="1"/>
    <col min="36" max="36" width="15.53515625" customWidth="1"/>
  </cols>
  <sheetData>
    <row r="1" spans="1:36" ht="25.5" customHeight="1" x14ac:dyDescent="0.4">
      <c r="A1" s="231" t="s">
        <v>101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32"/>
      <c r="B2" s="33"/>
      <c r="C2" s="33"/>
      <c r="D2" s="34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e">
        <f t="shared" ref="T2:AH2" si="0">MROUND(SUM(T4:T12),1)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3" t="s">
        <v>111</v>
      </c>
      <c r="O3" s="43">
        <v>11</v>
      </c>
      <c r="P3" s="43">
        <v>12</v>
      </c>
      <c r="Q3" s="43">
        <v>13</v>
      </c>
      <c r="R3" s="43">
        <v>14</v>
      </c>
      <c r="S3" s="43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>
        <v>1</v>
      </c>
      <c r="P4" s="51">
        <v>1</v>
      </c>
      <c r="Q4" s="51">
        <v>1</v>
      </c>
      <c r="R4" s="51">
        <v>1</v>
      </c>
      <c r="S4" s="51">
        <v>1</v>
      </c>
      <c r="T4" s="52">
        <f t="shared" ref="T4:AH11" si="1">$D4*E4</f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2">
        <f t="shared" si="1"/>
        <v>79.900000000000006</v>
      </c>
      <c r="Z4" s="52">
        <f t="shared" si="1"/>
        <v>79.900000000000006</v>
      </c>
      <c r="AA4" s="52">
        <f t="shared" si="1"/>
        <v>79.900000000000006</v>
      </c>
      <c r="AB4" s="52">
        <f t="shared" si="1"/>
        <v>79.900000000000006</v>
      </c>
      <c r="AC4" s="52">
        <f t="shared" si="1"/>
        <v>79.900000000000006</v>
      </c>
      <c r="AD4" s="52">
        <f t="shared" si="1"/>
        <v>79.900000000000006</v>
      </c>
      <c r="AE4" s="52">
        <f t="shared" si="1"/>
        <v>79.900000000000006</v>
      </c>
      <c r="AF4" s="52">
        <f t="shared" si="1"/>
        <v>79.900000000000006</v>
      </c>
      <c r="AG4" s="52">
        <f t="shared" si="1"/>
        <v>79.900000000000006</v>
      </c>
      <c r="AH4" s="52">
        <f t="shared" si="1"/>
        <v>79.900000000000006</v>
      </c>
      <c r="AI4" s="53" t="e">
        <f t="shared" ref="AI4:AI12" si="2">AJ4/$AI$2</f>
        <v>#N/A</v>
      </c>
      <c r="AJ4" s="52">
        <f t="shared" ref="AJ4:AJ12" si="3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9">
        <v>1</v>
      </c>
      <c r="O5" s="59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60">
        <f t="shared" si="1"/>
        <v>35.9</v>
      </c>
      <c r="AD5" s="60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61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89.9</v>
      </c>
      <c r="V6" s="52">
        <f t="shared" si="1"/>
        <v>0</v>
      </c>
      <c r="W6" s="52">
        <f t="shared" si="1"/>
        <v>89.9</v>
      </c>
      <c r="X6" s="52">
        <f t="shared" si="1"/>
        <v>0</v>
      </c>
      <c r="Y6" s="52">
        <f t="shared" si="1"/>
        <v>89.9</v>
      </c>
      <c r="Z6" s="52">
        <f t="shared" si="1"/>
        <v>0</v>
      </c>
      <c r="AA6" s="52">
        <f t="shared" si="1"/>
        <v>89.9</v>
      </c>
      <c r="AB6" s="52">
        <f t="shared" si="1"/>
        <v>0</v>
      </c>
      <c r="AC6" s="52">
        <f t="shared" si="1"/>
        <v>89.9</v>
      </c>
      <c r="AD6" s="52">
        <f t="shared" si="1"/>
        <v>0</v>
      </c>
      <c r="AE6" s="52">
        <f t="shared" si="1"/>
        <v>89.9</v>
      </c>
      <c r="AF6" s="52">
        <f t="shared" si="1"/>
        <v>0</v>
      </c>
      <c r="AG6" s="52">
        <f t="shared" si="1"/>
        <v>89.9</v>
      </c>
      <c r="AH6" s="52">
        <f t="shared" si="1"/>
        <v>0</v>
      </c>
      <c r="AI6" s="53" t="e">
        <f t="shared" si="2"/>
        <v>#N/A</v>
      </c>
      <c r="AJ6" s="52">
        <f t="shared" si="3"/>
        <v>629.29999999999995</v>
      </c>
    </row>
    <row r="7" spans="1:36" ht="1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3</v>
      </c>
      <c r="I7" s="59"/>
      <c r="J7" s="59"/>
      <c r="K7" s="59"/>
      <c r="L7" s="59">
        <v>3</v>
      </c>
      <c r="M7" s="59"/>
      <c r="N7" s="59"/>
      <c r="O7" s="59"/>
      <c r="P7" s="59">
        <v>4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527.70000000000005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527.70000000000005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703.6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61" t="e">
        <f t="shared" si="2"/>
        <v>#N/A</v>
      </c>
      <c r="AJ7" s="60">
        <f t="shared" si="3"/>
        <v>1759</v>
      </c>
    </row>
    <row r="8" spans="1:36" ht="1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143.22999999999999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143.22999999999999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53" t="e">
        <f t="shared" si="2"/>
        <v>#N/A</v>
      </c>
      <c r="AJ8" s="52">
        <f t="shared" si="3"/>
        <v>286.45999999999998</v>
      </c>
    </row>
    <row r="9" spans="1:36" ht="15" customHeight="1" x14ac:dyDescent="0.4">
      <c r="A9" s="54">
        <v>6</v>
      </c>
      <c r="B9" s="55" t="s">
        <v>122</v>
      </c>
      <c r="C9" s="56" t="s">
        <v>123</v>
      </c>
      <c r="D9" s="57">
        <f>VLOOKUP(C9,'[1]PREÇO ATUAL'!$A:$D,4,0)</f>
        <v>165.97811999999999</v>
      </c>
      <c r="E9" s="58"/>
      <c r="F9" s="58"/>
      <c r="G9" s="58"/>
      <c r="H9" s="58"/>
      <c r="I9" s="59"/>
      <c r="J9" s="59"/>
      <c r="K9" s="59"/>
      <c r="L9" s="59"/>
      <c r="M9" s="59"/>
      <c r="N9" s="59"/>
      <c r="O9" s="59"/>
      <c r="P9" s="62">
        <v>2</v>
      </c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331.95623999999998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61" t="e">
        <f t="shared" si="2"/>
        <v>#N/A</v>
      </c>
      <c r="AJ9" s="60">
        <f t="shared" si="3"/>
        <v>331.95623999999998</v>
      </c>
    </row>
    <row r="10" spans="1:36" ht="1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52">
        <f t="shared" si="1"/>
        <v>0</v>
      </c>
      <c r="Z10" s="52">
        <f t="shared" si="1"/>
        <v>0</v>
      </c>
      <c r="AA10" s="52">
        <f t="shared" si="1"/>
        <v>0</v>
      </c>
      <c r="AB10" s="52">
        <f t="shared" si="1"/>
        <v>0</v>
      </c>
      <c r="AC10" s="52">
        <f t="shared" si="1"/>
        <v>0</v>
      </c>
      <c r="AD10" s="52">
        <f t="shared" si="1"/>
        <v>0</v>
      </c>
      <c r="AE10" s="52">
        <f t="shared" si="1"/>
        <v>0</v>
      </c>
      <c r="AF10" s="52">
        <f t="shared" si="1"/>
        <v>0</v>
      </c>
      <c r="AG10" s="52">
        <f t="shared" si="1"/>
        <v>0</v>
      </c>
      <c r="AH10" s="52">
        <f t="shared" si="1"/>
        <v>0</v>
      </c>
      <c r="AI10" s="53" t="e">
        <f t="shared" si="2"/>
        <v>#N/A</v>
      </c>
      <c r="AJ10" s="52">
        <f t="shared" si="3"/>
        <v>0</v>
      </c>
    </row>
    <row r="11" spans="1:36" ht="15" customHeight="1" x14ac:dyDescent="0.4">
      <c r="A11" s="54">
        <v>8</v>
      </c>
      <c r="B11" s="55" t="s">
        <v>126</v>
      </c>
      <c r="C11" s="56" t="s">
        <v>127</v>
      </c>
      <c r="D11" s="57">
        <f>VLOOKUP(C11,'[1]PREÇO ATUAL'!$A:$D,4,0)</f>
        <v>81.260000000000005</v>
      </c>
      <c r="E11" s="64">
        <v>2.54</v>
      </c>
      <c r="F11" s="64">
        <v>2.54</v>
      </c>
      <c r="G11" s="64">
        <v>2.54</v>
      </c>
      <c r="H11" s="64">
        <v>2.54</v>
      </c>
      <c r="I11" s="57">
        <v>2.54</v>
      </c>
      <c r="J11" s="57">
        <v>2.54</v>
      </c>
      <c r="K11" s="57">
        <v>2.54</v>
      </c>
      <c r="L11" s="57">
        <v>2.54</v>
      </c>
      <c r="M11" s="57">
        <v>2.54</v>
      </c>
      <c r="N11" s="57">
        <v>2.54</v>
      </c>
      <c r="O11" s="57">
        <v>2.54</v>
      </c>
      <c r="P11" s="57">
        <v>2.54</v>
      </c>
      <c r="Q11" s="57">
        <v>2.54</v>
      </c>
      <c r="R11" s="57">
        <v>2.54</v>
      </c>
      <c r="S11" s="57">
        <v>2.54</v>
      </c>
      <c r="T11" s="60">
        <f t="shared" si="1"/>
        <v>206.40040000000002</v>
      </c>
      <c r="U11" s="60">
        <f t="shared" si="1"/>
        <v>206.40040000000002</v>
      </c>
      <c r="V11" s="60">
        <f t="shared" si="1"/>
        <v>206.40040000000002</v>
      </c>
      <c r="W11" s="60">
        <f t="shared" si="1"/>
        <v>206.40040000000002</v>
      </c>
      <c r="X11" s="60">
        <f t="shared" si="1"/>
        <v>206.40040000000002</v>
      </c>
      <c r="Y11" s="60">
        <f t="shared" si="1"/>
        <v>206.40040000000002</v>
      </c>
      <c r="Z11" s="60">
        <f t="shared" si="1"/>
        <v>206.40040000000002</v>
      </c>
      <c r="AA11" s="60">
        <f t="shared" si="1"/>
        <v>206.40040000000002</v>
      </c>
      <c r="AB11" s="60">
        <f t="shared" si="1"/>
        <v>206.40040000000002</v>
      </c>
      <c r="AC11" s="60">
        <f t="shared" si="1"/>
        <v>206.40040000000002</v>
      </c>
      <c r="AD11" s="60">
        <f t="shared" si="1"/>
        <v>206.40040000000002</v>
      </c>
      <c r="AE11" s="60">
        <f t="shared" si="1"/>
        <v>206.40040000000002</v>
      </c>
      <c r="AF11" s="60">
        <f t="shared" si="1"/>
        <v>206.40040000000002</v>
      </c>
      <c r="AG11" s="60">
        <f t="shared" si="1"/>
        <v>206.40040000000002</v>
      </c>
      <c r="AH11" s="60">
        <f t="shared" si="1"/>
        <v>206.40040000000002</v>
      </c>
      <c r="AI11" s="61" t="e">
        <f t="shared" si="2"/>
        <v>#N/A</v>
      </c>
      <c r="AJ11" s="60">
        <f t="shared" si="3"/>
        <v>3096.0060000000003</v>
      </c>
    </row>
    <row r="12" spans="1:36" ht="1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63">
        <v>0.85</v>
      </c>
      <c r="F12" s="63">
        <v>1.2</v>
      </c>
      <c r="G12" s="63">
        <v>0.9</v>
      </c>
      <c r="H12" s="63">
        <v>2.15</v>
      </c>
      <c r="I12" s="63">
        <v>1</v>
      </c>
      <c r="J12" s="63">
        <v>1.45</v>
      </c>
      <c r="K12" s="63">
        <v>0.85</v>
      </c>
      <c r="L12" s="63">
        <v>2.15</v>
      </c>
      <c r="M12" s="63">
        <v>0.9</v>
      </c>
      <c r="N12" s="63">
        <v>1.35</v>
      </c>
      <c r="O12" s="63">
        <v>0.85</v>
      </c>
      <c r="P12" s="63">
        <v>1.5</v>
      </c>
      <c r="Q12" s="63">
        <v>0.85</v>
      </c>
      <c r="R12" s="63">
        <v>1.2</v>
      </c>
      <c r="S12" s="63">
        <v>1.05</v>
      </c>
      <c r="T12" s="52" t="e">
        <f>D12*E12</f>
        <v>#N/A</v>
      </c>
      <c r="U12" s="52" t="e">
        <f t="shared" ref="U12:AH12" si="4">$D12*F12</f>
        <v>#N/A</v>
      </c>
      <c r="V12" s="52" t="e">
        <f t="shared" si="4"/>
        <v>#N/A</v>
      </c>
      <c r="W12" s="52" t="e">
        <f t="shared" si="4"/>
        <v>#N/A</v>
      </c>
      <c r="X12" s="52" t="e">
        <f t="shared" si="4"/>
        <v>#N/A</v>
      </c>
      <c r="Y12" s="52" t="e">
        <f t="shared" si="4"/>
        <v>#N/A</v>
      </c>
      <c r="Z12" s="52" t="e">
        <f t="shared" si="4"/>
        <v>#N/A</v>
      </c>
      <c r="AA12" s="52" t="e">
        <f t="shared" si="4"/>
        <v>#N/A</v>
      </c>
      <c r="AB12" s="52" t="e">
        <f t="shared" si="4"/>
        <v>#N/A</v>
      </c>
      <c r="AC12" s="52" t="e">
        <f t="shared" si="4"/>
        <v>#N/A</v>
      </c>
      <c r="AD12" s="52" t="e">
        <f t="shared" si="4"/>
        <v>#N/A</v>
      </c>
      <c r="AE12" s="52" t="e">
        <f t="shared" si="4"/>
        <v>#N/A</v>
      </c>
      <c r="AF12" s="52" t="e">
        <f t="shared" si="4"/>
        <v>#N/A</v>
      </c>
      <c r="AG12" s="52" t="e">
        <f t="shared" si="4"/>
        <v>#N/A</v>
      </c>
      <c r="AH12" s="52" t="e">
        <f t="shared" si="4"/>
        <v>#N/A</v>
      </c>
      <c r="AI12" s="53" t="e">
        <f t="shared" si="2"/>
        <v>#N/A</v>
      </c>
      <c r="AJ12" s="52" t="e">
        <f t="shared" si="3"/>
        <v>#N/A</v>
      </c>
    </row>
    <row r="13" spans="1:36" ht="15" customHeight="1" x14ac:dyDescent="0.4">
      <c r="H13" s="65"/>
      <c r="L13" s="65"/>
    </row>
    <row r="14" spans="1:36" ht="25.5" customHeight="1" x14ac:dyDescent="0.4">
      <c r="A14" s="231" t="s">
        <v>129</v>
      </c>
      <c r="B14" s="211"/>
      <c r="C14" s="211"/>
      <c r="D14" s="212"/>
      <c r="E14" s="218" t="s">
        <v>1</v>
      </c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22" t="s">
        <v>2</v>
      </c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32" t="s">
        <v>3</v>
      </c>
      <c r="AJ14" s="209"/>
    </row>
    <row r="15" spans="1:36" ht="15" customHeight="1" x14ac:dyDescent="0.4">
      <c r="A15" s="32"/>
      <c r="B15" s="33"/>
      <c r="C15" s="33"/>
      <c r="D15" s="34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 t="e">
        <f t="shared" ref="T15:AH15" si="5">MROUND(SUM(T17:T26),1)</f>
        <v>#N/A</v>
      </c>
      <c r="U15" s="37" t="e">
        <f t="shared" si="5"/>
        <v>#N/A</v>
      </c>
      <c r="V15" s="37" t="e">
        <f t="shared" si="5"/>
        <v>#N/A</v>
      </c>
      <c r="W15" s="37" t="e">
        <f t="shared" si="5"/>
        <v>#N/A</v>
      </c>
      <c r="X15" s="37" t="e">
        <f t="shared" si="5"/>
        <v>#N/A</v>
      </c>
      <c r="Y15" s="37" t="e">
        <f t="shared" si="5"/>
        <v>#N/A</v>
      </c>
      <c r="Z15" s="37" t="e">
        <f t="shared" si="5"/>
        <v>#N/A</v>
      </c>
      <c r="AA15" s="37" t="e">
        <f t="shared" si="5"/>
        <v>#N/A</v>
      </c>
      <c r="AB15" s="37" t="e">
        <f t="shared" si="5"/>
        <v>#N/A</v>
      </c>
      <c r="AC15" s="37" t="e">
        <f t="shared" si="5"/>
        <v>#N/A</v>
      </c>
      <c r="AD15" s="37" t="e">
        <f t="shared" si="5"/>
        <v>#N/A</v>
      </c>
      <c r="AE15" s="37" t="e">
        <f t="shared" si="5"/>
        <v>#N/A</v>
      </c>
      <c r="AF15" s="37" t="e">
        <f t="shared" si="5"/>
        <v>#N/A</v>
      </c>
      <c r="AG15" s="37" t="e">
        <f t="shared" si="5"/>
        <v>#N/A</v>
      </c>
      <c r="AH15" s="37" t="e">
        <f t="shared" si="5"/>
        <v>#N/A</v>
      </c>
      <c r="AI15" s="208" t="e">
        <f>SUM(T15:AH15)</f>
        <v>#N/A</v>
      </c>
      <c r="AJ15" s="209"/>
    </row>
    <row r="16" spans="1:36" ht="15" customHeight="1" x14ac:dyDescent="0.4">
      <c r="A16" s="39" t="s">
        <v>5</v>
      </c>
      <c r="B16" s="39" t="s">
        <v>6</v>
      </c>
      <c r="C16" s="40" t="s">
        <v>7</v>
      </c>
      <c r="D16" s="41" t="s">
        <v>8</v>
      </c>
      <c r="E16" s="42" t="s">
        <v>102</v>
      </c>
      <c r="F16" s="42" t="s">
        <v>103</v>
      </c>
      <c r="G16" s="42" t="s">
        <v>104</v>
      </c>
      <c r="H16" s="42" t="s">
        <v>105</v>
      </c>
      <c r="I16" s="42" t="s">
        <v>106</v>
      </c>
      <c r="J16" s="42" t="s">
        <v>107</v>
      </c>
      <c r="K16" s="42" t="s">
        <v>108</v>
      </c>
      <c r="L16" s="42" t="s">
        <v>109</v>
      </c>
      <c r="M16" s="42" t="s">
        <v>110</v>
      </c>
      <c r="N16" s="43" t="s">
        <v>111</v>
      </c>
      <c r="O16" s="43">
        <v>11</v>
      </c>
      <c r="P16" s="43">
        <v>12</v>
      </c>
      <c r="Q16" s="43">
        <v>13</v>
      </c>
      <c r="R16" s="43">
        <v>14</v>
      </c>
      <c r="S16" s="43">
        <v>15</v>
      </c>
      <c r="T16" s="42">
        <v>10000</v>
      </c>
      <c r="U16" s="42">
        <v>20000</v>
      </c>
      <c r="V16" s="42">
        <v>30000</v>
      </c>
      <c r="W16" s="42">
        <v>40000</v>
      </c>
      <c r="X16" s="42">
        <v>50000</v>
      </c>
      <c r="Y16" s="42">
        <v>60000</v>
      </c>
      <c r="Z16" s="42">
        <v>70000</v>
      </c>
      <c r="AA16" s="42">
        <v>80000</v>
      </c>
      <c r="AB16" s="42">
        <v>90000</v>
      </c>
      <c r="AC16" s="42">
        <v>100000</v>
      </c>
      <c r="AD16" s="44">
        <f>AC16+10000</f>
        <v>110000</v>
      </c>
      <c r="AE16" s="44">
        <f>AD16+10000</f>
        <v>120000</v>
      </c>
      <c r="AF16" s="44">
        <f>AE16+10000</f>
        <v>130000</v>
      </c>
      <c r="AG16" s="44">
        <f>AF16+10000</f>
        <v>140000</v>
      </c>
      <c r="AH16" s="44">
        <f>AG16+10000</f>
        <v>150000</v>
      </c>
      <c r="AI16" s="45" t="s">
        <v>24</v>
      </c>
      <c r="AJ16" s="39" t="s">
        <v>25</v>
      </c>
    </row>
    <row r="17" spans="1:36" ht="15" customHeight="1" x14ac:dyDescent="0.4">
      <c r="A17" s="46">
        <v>1</v>
      </c>
      <c r="B17" s="66" t="s">
        <v>130</v>
      </c>
      <c r="C17" s="48" t="s">
        <v>113</v>
      </c>
      <c r="D17" s="49">
        <f>VLOOKUP(C17,'[1]PREÇO ATUAL'!$A:$D,4,0)</f>
        <v>79.900000000000006</v>
      </c>
      <c r="E17" s="50">
        <v>1</v>
      </c>
      <c r="F17" s="50">
        <v>1</v>
      </c>
      <c r="G17" s="50">
        <v>1</v>
      </c>
      <c r="H17" s="50">
        <v>1</v>
      </c>
      <c r="I17" s="51">
        <v>1</v>
      </c>
      <c r="J17" s="51">
        <v>1</v>
      </c>
      <c r="K17" s="51">
        <v>1</v>
      </c>
      <c r="L17" s="51">
        <v>1</v>
      </c>
      <c r="M17" s="51">
        <v>1</v>
      </c>
      <c r="N17" s="51">
        <v>1</v>
      </c>
      <c r="O17" s="51">
        <v>1</v>
      </c>
      <c r="P17" s="51">
        <v>1</v>
      </c>
      <c r="Q17" s="51">
        <v>1</v>
      </c>
      <c r="R17" s="51">
        <v>1</v>
      </c>
      <c r="S17" s="51">
        <v>1</v>
      </c>
      <c r="T17" s="52">
        <f t="shared" ref="T17:AH24" si="6">$D17*E17</f>
        <v>79.900000000000006</v>
      </c>
      <c r="U17" s="52">
        <f t="shared" si="6"/>
        <v>79.900000000000006</v>
      </c>
      <c r="V17" s="52">
        <f t="shared" si="6"/>
        <v>79.900000000000006</v>
      </c>
      <c r="W17" s="52">
        <f t="shared" si="6"/>
        <v>79.900000000000006</v>
      </c>
      <c r="X17" s="52">
        <f t="shared" si="6"/>
        <v>79.900000000000006</v>
      </c>
      <c r="Y17" s="52">
        <f t="shared" si="6"/>
        <v>79.900000000000006</v>
      </c>
      <c r="Z17" s="52">
        <f t="shared" si="6"/>
        <v>79.900000000000006</v>
      </c>
      <c r="AA17" s="52">
        <f t="shared" si="6"/>
        <v>79.900000000000006</v>
      </c>
      <c r="AB17" s="52">
        <f t="shared" si="6"/>
        <v>79.900000000000006</v>
      </c>
      <c r="AC17" s="52">
        <f t="shared" si="6"/>
        <v>79.900000000000006</v>
      </c>
      <c r="AD17" s="52">
        <f t="shared" si="6"/>
        <v>79.900000000000006</v>
      </c>
      <c r="AE17" s="52">
        <f t="shared" si="6"/>
        <v>79.900000000000006</v>
      </c>
      <c r="AF17" s="52">
        <f t="shared" si="6"/>
        <v>79.900000000000006</v>
      </c>
      <c r="AG17" s="52">
        <f t="shared" si="6"/>
        <v>79.900000000000006</v>
      </c>
      <c r="AH17" s="52">
        <f t="shared" si="6"/>
        <v>79.900000000000006</v>
      </c>
      <c r="AI17" s="53" t="e">
        <f t="shared" ref="AI17:AI26" si="7">AJ17/$AI$2</f>
        <v>#N/A</v>
      </c>
      <c r="AJ17" s="52">
        <f t="shared" ref="AJ17:AJ26" si="8">SUM(T17:AH17)</f>
        <v>1198.5</v>
      </c>
    </row>
    <row r="18" spans="1:36" ht="15" customHeight="1" x14ac:dyDescent="0.4">
      <c r="A18" s="54">
        <v>2</v>
      </c>
      <c r="B18" s="67" t="s">
        <v>114</v>
      </c>
      <c r="C18" s="56" t="s">
        <v>115</v>
      </c>
      <c r="D18" s="57">
        <f>VLOOKUP(C18,'[1]PREÇO ATUAL'!$A:$D,4,0)</f>
        <v>35.9</v>
      </c>
      <c r="E18" s="58"/>
      <c r="F18" s="58">
        <v>1</v>
      </c>
      <c r="G18" s="58"/>
      <c r="H18" s="58">
        <v>1</v>
      </c>
      <c r="I18" s="59"/>
      <c r="J18" s="58">
        <v>1</v>
      </c>
      <c r="K18" s="59"/>
      <c r="L18" s="58">
        <v>1</v>
      </c>
      <c r="M18" s="59"/>
      <c r="N18" s="58">
        <v>1</v>
      </c>
      <c r="O18" s="59"/>
      <c r="P18" s="58">
        <v>1</v>
      </c>
      <c r="Q18" s="59"/>
      <c r="R18" s="58">
        <v>1</v>
      </c>
      <c r="S18" s="59"/>
      <c r="T18" s="60">
        <f t="shared" si="6"/>
        <v>0</v>
      </c>
      <c r="U18" s="60">
        <f t="shared" si="6"/>
        <v>35.9</v>
      </c>
      <c r="V18" s="60">
        <f t="shared" si="6"/>
        <v>0</v>
      </c>
      <c r="W18" s="60">
        <f t="shared" si="6"/>
        <v>35.9</v>
      </c>
      <c r="X18" s="60">
        <f t="shared" si="6"/>
        <v>0</v>
      </c>
      <c r="Y18" s="60">
        <f t="shared" si="6"/>
        <v>35.9</v>
      </c>
      <c r="Z18" s="60">
        <f t="shared" si="6"/>
        <v>0</v>
      </c>
      <c r="AA18" s="60">
        <f t="shared" si="6"/>
        <v>35.9</v>
      </c>
      <c r="AB18" s="60">
        <f t="shared" si="6"/>
        <v>0</v>
      </c>
      <c r="AC18" s="60">
        <f t="shared" si="6"/>
        <v>35.9</v>
      </c>
      <c r="AD18" s="60">
        <f t="shared" si="6"/>
        <v>0</v>
      </c>
      <c r="AE18" s="60">
        <f t="shared" si="6"/>
        <v>35.9</v>
      </c>
      <c r="AF18" s="60">
        <f t="shared" si="6"/>
        <v>0</v>
      </c>
      <c r="AG18" s="60">
        <f t="shared" si="6"/>
        <v>35.9</v>
      </c>
      <c r="AH18" s="60">
        <f t="shared" si="6"/>
        <v>0</v>
      </c>
      <c r="AI18" s="61" t="e">
        <f t="shared" si="7"/>
        <v>#N/A</v>
      </c>
      <c r="AJ18" s="60">
        <f t="shared" si="8"/>
        <v>251.3</v>
      </c>
    </row>
    <row r="19" spans="1:36" ht="15" customHeight="1" x14ac:dyDescent="0.4">
      <c r="A19" s="46">
        <v>3</v>
      </c>
      <c r="B19" s="66" t="s">
        <v>60</v>
      </c>
      <c r="C19" s="48" t="s">
        <v>117</v>
      </c>
      <c r="D19" s="49">
        <f>VLOOKUP(C19,'[1]PREÇO ATUAL'!$A:$D,4,0)</f>
        <v>89.9</v>
      </c>
      <c r="E19" s="50"/>
      <c r="F19" s="50">
        <v>1</v>
      </c>
      <c r="G19" s="50"/>
      <c r="H19" s="50">
        <v>1</v>
      </c>
      <c r="I19" s="51"/>
      <c r="J19" s="50">
        <v>1</v>
      </c>
      <c r="K19" s="51"/>
      <c r="L19" s="50">
        <v>1</v>
      </c>
      <c r="M19" s="51"/>
      <c r="N19" s="50">
        <v>1</v>
      </c>
      <c r="O19" s="51"/>
      <c r="P19" s="50">
        <v>1</v>
      </c>
      <c r="Q19" s="51"/>
      <c r="R19" s="50">
        <v>1</v>
      </c>
      <c r="S19" s="51"/>
      <c r="T19" s="52">
        <f t="shared" si="6"/>
        <v>0</v>
      </c>
      <c r="U19" s="52">
        <f t="shared" si="6"/>
        <v>89.9</v>
      </c>
      <c r="V19" s="52">
        <f t="shared" si="6"/>
        <v>0</v>
      </c>
      <c r="W19" s="52">
        <f t="shared" si="6"/>
        <v>89.9</v>
      </c>
      <c r="X19" s="52">
        <f t="shared" si="6"/>
        <v>0</v>
      </c>
      <c r="Y19" s="52">
        <f t="shared" si="6"/>
        <v>89.9</v>
      </c>
      <c r="Z19" s="52">
        <f t="shared" si="6"/>
        <v>0</v>
      </c>
      <c r="AA19" s="52">
        <f t="shared" si="6"/>
        <v>89.9</v>
      </c>
      <c r="AB19" s="52">
        <f t="shared" si="6"/>
        <v>0</v>
      </c>
      <c r="AC19" s="52">
        <f t="shared" si="6"/>
        <v>89.9</v>
      </c>
      <c r="AD19" s="52">
        <f t="shared" si="6"/>
        <v>0</v>
      </c>
      <c r="AE19" s="52">
        <f t="shared" si="6"/>
        <v>89.9</v>
      </c>
      <c r="AF19" s="52">
        <f t="shared" si="6"/>
        <v>0</v>
      </c>
      <c r="AG19" s="52">
        <f t="shared" si="6"/>
        <v>89.9</v>
      </c>
      <c r="AH19" s="52">
        <f t="shared" si="6"/>
        <v>0</v>
      </c>
      <c r="AI19" s="53" t="e">
        <f t="shared" si="7"/>
        <v>#N/A</v>
      </c>
      <c r="AJ19" s="52">
        <f t="shared" si="8"/>
        <v>629.29999999999995</v>
      </c>
    </row>
    <row r="20" spans="1:36" ht="15" customHeight="1" x14ac:dyDescent="0.4">
      <c r="A20" s="54">
        <v>4</v>
      </c>
      <c r="B20" s="67" t="s">
        <v>131</v>
      </c>
      <c r="C20" s="56" t="s">
        <v>132</v>
      </c>
      <c r="D20" s="57">
        <f>VLOOKUP(C20,'[1]PREÇO ATUAL'!$A:$D,4,0)</f>
        <v>199.05</v>
      </c>
      <c r="E20" s="58">
        <v>1</v>
      </c>
      <c r="F20" s="58">
        <v>1</v>
      </c>
      <c r="G20" s="58">
        <v>1</v>
      </c>
      <c r="H20" s="58">
        <v>1</v>
      </c>
      <c r="I20" s="59">
        <v>1</v>
      </c>
      <c r="J20" s="59">
        <v>1</v>
      </c>
      <c r="K20" s="59">
        <v>1</v>
      </c>
      <c r="L20" s="59">
        <v>1</v>
      </c>
      <c r="M20" s="59">
        <v>1</v>
      </c>
      <c r="N20" s="59">
        <v>1</v>
      </c>
      <c r="O20" s="59">
        <v>1</v>
      </c>
      <c r="P20" s="59">
        <v>1</v>
      </c>
      <c r="Q20" s="59">
        <v>1</v>
      </c>
      <c r="R20" s="59">
        <v>1</v>
      </c>
      <c r="S20" s="59">
        <v>1</v>
      </c>
      <c r="T20" s="60">
        <f t="shared" si="6"/>
        <v>199.05</v>
      </c>
      <c r="U20" s="60">
        <f t="shared" si="6"/>
        <v>199.05</v>
      </c>
      <c r="V20" s="60">
        <f t="shared" si="6"/>
        <v>199.05</v>
      </c>
      <c r="W20" s="60">
        <f t="shared" si="6"/>
        <v>199.05</v>
      </c>
      <c r="X20" s="60">
        <f t="shared" si="6"/>
        <v>199.05</v>
      </c>
      <c r="Y20" s="60">
        <f t="shared" si="6"/>
        <v>199.05</v>
      </c>
      <c r="Z20" s="60">
        <f t="shared" si="6"/>
        <v>199.05</v>
      </c>
      <c r="AA20" s="60">
        <f t="shared" si="6"/>
        <v>199.05</v>
      </c>
      <c r="AB20" s="60">
        <f t="shared" si="6"/>
        <v>199.05</v>
      </c>
      <c r="AC20" s="60">
        <f t="shared" si="6"/>
        <v>199.05</v>
      </c>
      <c r="AD20" s="60">
        <f t="shared" si="6"/>
        <v>199.05</v>
      </c>
      <c r="AE20" s="60">
        <f t="shared" si="6"/>
        <v>199.05</v>
      </c>
      <c r="AF20" s="60">
        <f t="shared" si="6"/>
        <v>199.05</v>
      </c>
      <c r="AG20" s="60">
        <f t="shared" si="6"/>
        <v>199.05</v>
      </c>
      <c r="AH20" s="60">
        <f t="shared" si="6"/>
        <v>199.05</v>
      </c>
      <c r="AI20" s="61" t="e">
        <f t="shared" si="7"/>
        <v>#N/A</v>
      </c>
      <c r="AJ20" s="60">
        <f t="shared" si="8"/>
        <v>2985.7500000000005</v>
      </c>
    </row>
    <row r="21" spans="1:36" ht="25.5" customHeight="1" x14ac:dyDescent="0.4">
      <c r="A21" s="46">
        <v>5</v>
      </c>
      <c r="B21" s="66" t="s">
        <v>133</v>
      </c>
      <c r="C21" s="48" t="s">
        <v>119</v>
      </c>
      <c r="D21" s="49">
        <f>VLOOKUP(C21,'[1]PREÇO ATUAL'!$A:$D,4,0)</f>
        <v>175.9</v>
      </c>
      <c r="E21" s="50"/>
      <c r="F21" s="50"/>
      <c r="G21" s="50"/>
      <c r="H21" s="50">
        <v>3</v>
      </c>
      <c r="I21" s="51"/>
      <c r="J21" s="51"/>
      <c r="K21" s="51"/>
      <c r="L21" s="50">
        <v>3</v>
      </c>
      <c r="M21" s="51"/>
      <c r="N21" s="51"/>
      <c r="O21" s="51"/>
      <c r="P21" s="50">
        <v>3</v>
      </c>
      <c r="Q21" s="51"/>
      <c r="R21" s="51"/>
      <c r="S21" s="51"/>
      <c r="T21" s="52">
        <f t="shared" si="6"/>
        <v>0</v>
      </c>
      <c r="U21" s="52">
        <f t="shared" si="6"/>
        <v>0</v>
      </c>
      <c r="V21" s="52">
        <f t="shared" si="6"/>
        <v>0</v>
      </c>
      <c r="W21" s="52">
        <f t="shared" si="6"/>
        <v>527.70000000000005</v>
      </c>
      <c r="X21" s="52">
        <f t="shared" si="6"/>
        <v>0</v>
      </c>
      <c r="Y21" s="52">
        <f t="shared" si="6"/>
        <v>0</v>
      </c>
      <c r="Z21" s="52">
        <f t="shared" si="6"/>
        <v>0</v>
      </c>
      <c r="AA21" s="52">
        <f t="shared" si="6"/>
        <v>527.70000000000005</v>
      </c>
      <c r="AB21" s="52">
        <f t="shared" si="6"/>
        <v>0</v>
      </c>
      <c r="AC21" s="52">
        <f t="shared" si="6"/>
        <v>0</v>
      </c>
      <c r="AD21" s="52">
        <f t="shared" si="6"/>
        <v>0</v>
      </c>
      <c r="AE21" s="52">
        <f t="shared" si="6"/>
        <v>527.70000000000005</v>
      </c>
      <c r="AF21" s="52">
        <f t="shared" si="6"/>
        <v>0</v>
      </c>
      <c r="AG21" s="52">
        <f t="shared" si="6"/>
        <v>0</v>
      </c>
      <c r="AH21" s="52">
        <f t="shared" si="6"/>
        <v>0</v>
      </c>
      <c r="AI21" s="53" t="e">
        <f t="shared" si="7"/>
        <v>#N/A</v>
      </c>
      <c r="AJ21" s="52">
        <f t="shared" si="8"/>
        <v>1583.1000000000001</v>
      </c>
    </row>
    <row r="22" spans="1:36" ht="25.5" customHeight="1" x14ac:dyDescent="0.4">
      <c r="A22" s="54">
        <v>6</v>
      </c>
      <c r="B22" s="67" t="s">
        <v>134</v>
      </c>
      <c r="C22" s="56" t="s">
        <v>121</v>
      </c>
      <c r="D22" s="57">
        <f>VLOOKUP(C22,'[1]PREÇO ATUAL'!$A:$D,4,0)</f>
        <v>143.22999999999999</v>
      </c>
      <c r="E22" s="58"/>
      <c r="F22" s="58"/>
      <c r="G22" s="58"/>
      <c r="H22" s="58"/>
      <c r="I22" s="59"/>
      <c r="J22" s="59"/>
      <c r="K22" s="59"/>
      <c r="L22" s="59"/>
      <c r="M22" s="59"/>
      <c r="N22" s="59"/>
      <c r="O22" s="59"/>
      <c r="P22" s="62"/>
      <c r="Q22" s="59"/>
      <c r="R22" s="59"/>
      <c r="S22" s="59"/>
      <c r="T22" s="60">
        <f t="shared" si="6"/>
        <v>0</v>
      </c>
      <c r="U22" s="60">
        <f t="shared" si="6"/>
        <v>0</v>
      </c>
      <c r="V22" s="60">
        <f t="shared" si="6"/>
        <v>0</v>
      </c>
      <c r="W22" s="60">
        <f t="shared" si="6"/>
        <v>0</v>
      </c>
      <c r="X22" s="60">
        <f t="shared" si="6"/>
        <v>0</v>
      </c>
      <c r="Y22" s="60">
        <f t="shared" si="6"/>
        <v>0</v>
      </c>
      <c r="Z22" s="60">
        <f t="shared" si="6"/>
        <v>0</v>
      </c>
      <c r="AA22" s="60">
        <f t="shared" si="6"/>
        <v>0</v>
      </c>
      <c r="AB22" s="60">
        <f t="shared" si="6"/>
        <v>0</v>
      </c>
      <c r="AC22" s="60">
        <f t="shared" si="6"/>
        <v>0</v>
      </c>
      <c r="AD22" s="60">
        <f t="shared" si="6"/>
        <v>0</v>
      </c>
      <c r="AE22" s="60">
        <f t="shared" si="6"/>
        <v>0</v>
      </c>
      <c r="AF22" s="60">
        <f t="shared" si="6"/>
        <v>0</v>
      </c>
      <c r="AG22" s="60">
        <f t="shared" si="6"/>
        <v>0</v>
      </c>
      <c r="AH22" s="60">
        <f t="shared" si="6"/>
        <v>0</v>
      </c>
      <c r="AI22" s="61" t="e">
        <f t="shared" si="7"/>
        <v>#N/A</v>
      </c>
      <c r="AJ22" s="60">
        <f t="shared" si="8"/>
        <v>0</v>
      </c>
    </row>
    <row r="23" spans="1:36" ht="15" customHeight="1" x14ac:dyDescent="0.4">
      <c r="A23" s="46">
        <v>7</v>
      </c>
      <c r="B23" s="66" t="s">
        <v>135</v>
      </c>
      <c r="C23" s="48" t="s">
        <v>123</v>
      </c>
      <c r="D23" s="49">
        <f>VLOOKUP(C23,'[1]PREÇO ATUAL'!$A:$D,4,0)</f>
        <v>165.97811999999999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52">
        <f t="shared" si="6"/>
        <v>0</v>
      </c>
      <c r="U23" s="52">
        <f t="shared" si="6"/>
        <v>0</v>
      </c>
      <c r="V23" s="52">
        <f t="shared" si="6"/>
        <v>0</v>
      </c>
      <c r="W23" s="52">
        <f t="shared" si="6"/>
        <v>0</v>
      </c>
      <c r="X23" s="52">
        <f t="shared" si="6"/>
        <v>0</v>
      </c>
      <c r="Y23" s="52">
        <f t="shared" si="6"/>
        <v>0</v>
      </c>
      <c r="Z23" s="52">
        <f t="shared" si="6"/>
        <v>0</v>
      </c>
      <c r="AA23" s="52">
        <f t="shared" si="6"/>
        <v>0</v>
      </c>
      <c r="AB23" s="52">
        <f t="shared" si="6"/>
        <v>0</v>
      </c>
      <c r="AC23" s="52">
        <f t="shared" si="6"/>
        <v>0</v>
      </c>
      <c r="AD23" s="52">
        <f t="shared" si="6"/>
        <v>0</v>
      </c>
      <c r="AE23" s="52">
        <f t="shared" si="6"/>
        <v>0</v>
      </c>
      <c r="AF23" s="52">
        <f t="shared" si="6"/>
        <v>0</v>
      </c>
      <c r="AG23" s="52">
        <f t="shared" si="6"/>
        <v>0</v>
      </c>
      <c r="AH23" s="52">
        <f t="shared" si="6"/>
        <v>0</v>
      </c>
      <c r="AI23" s="53" t="e">
        <f t="shared" si="7"/>
        <v>#N/A</v>
      </c>
      <c r="AJ23" s="52">
        <f t="shared" si="8"/>
        <v>0</v>
      </c>
    </row>
    <row r="24" spans="1:36" ht="25.5" customHeight="1" x14ac:dyDescent="0.4">
      <c r="A24" s="54">
        <v>8</v>
      </c>
      <c r="B24" s="67" t="s">
        <v>136</v>
      </c>
      <c r="C24" s="56" t="s">
        <v>125</v>
      </c>
      <c r="D24" s="57">
        <f>VLOOKUP(C24,'[1]PREÇO ATUAL'!$A:$D,4,0)</f>
        <v>33.6224930838505</v>
      </c>
      <c r="E24" s="64"/>
      <c r="F24" s="64"/>
      <c r="G24" s="64"/>
      <c r="H24" s="64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60">
        <f t="shared" si="6"/>
        <v>0</v>
      </c>
      <c r="U24" s="60">
        <f t="shared" si="6"/>
        <v>0</v>
      </c>
      <c r="V24" s="60">
        <f t="shared" si="6"/>
        <v>0</v>
      </c>
      <c r="W24" s="60">
        <f t="shared" si="6"/>
        <v>0</v>
      </c>
      <c r="X24" s="60">
        <f t="shared" si="6"/>
        <v>0</v>
      </c>
      <c r="Y24" s="60">
        <f t="shared" si="6"/>
        <v>0</v>
      </c>
      <c r="Z24" s="60">
        <f t="shared" si="6"/>
        <v>0</v>
      </c>
      <c r="AA24" s="60">
        <f t="shared" si="6"/>
        <v>0</v>
      </c>
      <c r="AB24" s="60">
        <f t="shared" si="6"/>
        <v>0</v>
      </c>
      <c r="AC24" s="60">
        <f t="shared" si="6"/>
        <v>0</v>
      </c>
      <c r="AD24" s="60">
        <f t="shared" si="6"/>
        <v>0</v>
      </c>
      <c r="AE24" s="60">
        <f t="shared" si="6"/>
        <v>0</v>
      </c>
      <c r="AF24" s="60">
        <f t="shared" si="6"/>
        <v>0</v>
      </c>
      <c r="AG24" s="60">
        <f t="shared" si="6"/>
        <v>0</v>
      </c>
      <c r="AH24" s="60">
        <f t="shared" si="6"/>
        <v>0</v>
      </c>
      <c r="AI24" s="61" t="e">
        <f t="shared" si="7"/>
        <v>#N/A</v>
      </c>
      <c r="AJ24" s="60">
        <f t="shared" si="8"/>
        <v>0</v>
      </c>
    </row>
    <row r="25" spans="1:36" ht="25.5" customHeight="1" x14ac:dyDescent="0.4">
      <c r="A25" s="46">
        <v>9</v>
      </c>
      <c r="B25" s="66" t="s">
        <v>137</v>
      </c>
      <c r="C25" s="48" t="s">
        <v>127</v>
      </c>
      <c r="D25" s="49">
        <f>VLOOKUP(C25,'[1]PREÇO ATUAL'!$A:$D,4,0)</f>
        <v>81.260000000000005</v>
      </c>
      <c r="E25" s="63">
        <v>2.54</v>
      </c>
      <c r="F25" s="63">
        <v>2.54</v>
      </c>
      <c r="G25" s="63">
        <v>2.54</v>
      </c>
      <c r="H25" s="63">
        <v>2.54</v>
      </c>
      <c r="I25" s="63">
        <v>2.54</v>
      </c>
      <c r="J25" s="63">
        <v>2.54</v>
      </c>
      <c r="K25" s="63">
        <v>2.54</v>
      </c>
      <c r="L25" s="63">
        <v>2.54</v>
      </c>
      <c r="M25" s="63">
        <v>2.54</v>
      </c>
      <c r="N25" s="63">
        <v>2.54</v>
      </c>
      <c r="O25" s="63">
        <v>2.54</v>
      </c>
      <c r="P25" s="63">
        <v>2.54</v>
      </c>
      <c r="Q25" s="63">
        <v>2.54</v>
      </c>
      <c r="R25" s="63">
        <v>2.54</v>
      </c>
      <c r="S25" s="63">
        <v>2.54</v>
      </c>
      <c r="T25" s="52">
        <f>D25*E25</f>
        <v>206.40040000000002</v>
      </c>
      <c r="U25" s="52">
        <f t="shared" ref="U25:AH26" si="9">$D25*F25</f>
        <v>206.40040000000002</v>
      </c>
      <c r="V25" s="52">
        <f t="shared" si="9"/>
        <v>206.40040000000002</v>
      </c>
      <c r="W25" s="52">
        <f t="shared" si="9"/>
        <v>206.40040000000002</v>
      </c>
      <c r="X25" s="52">
        <f t="shared" si="9"/>
        <v>206.40040000000002</v>
      </c>
      <c r="Y25" s="52">
        <f t="shared" si="9"/>
        <v>206.40040000000002</v>
      </c>
      <c r="Z25" s="52">
        <f t="shared" si="9"/>
        <v>206.40040000000002</v>
      </c>
      <c r="AA25" s="52">
        <f t="shared" si="9"/>
        <v>206.40040000000002</v>
      </c>
      <c r="AB25" s="52">
        <f t="shared" si="9"/>
        <v>206.40040000000002</v>
      </c>
      <c r="AC25" s="52">
        <f t="shared" si="9"/>
        <v>206.40040000000002</v>
      </c>
      <c r="AD25" s="52">
        <f t="shared" si="9"/>
        <v>206.40040000000002</v>
      </c>
      <c r="AE25" s="52">
        <f t="shared" si="9"/>
        <v>206.40040000000002</v>
      </c>
      <c r="AF25" s="52">
        <f t="shared" si="9"/>
        <v>206.40040000000002</v>
      </c>
      <c r="AG25" s="52">
        <f t="shared" si="9"/>
        <v>206.40040000000002</v>
      </c>
      <c r="AH25" s="52">
        <f t="shared" si="9"/>
        <v>206.40040000000002</v>
      </c>
      <c r="AI25" s="53" t="e">
        <f t="shared" si="7"/>
        <v>#N/A</v>
      </c>
      <c r="AJ25" s="52">
        <f t="shared" si="8"/>
        <v>3096.0060000000003</v>
      </c>
    </row>
    <row r="26" spans="1:36" ht="15" customHeight="1" x14ac:dyDescent="0.4">
      <c r="A26" s="54">
        <v>10</v>
      </c>
      <c r="B26" s="67" t="s">
        <v>128</v>
      </c>
      <c r="C26" s="56" t="s">
        <v>54</v>
      </c>
      <c r="D26" s="57" t="e">
        <f>VLOOKUP(C26,'[1]PREÇO ATUAL'!$A:$D,4,0)</f>
        <v>#N/A</v>
      </c>
      <c r="E26" s="64">
        <v>1.05</v>
      </c>
      <c r="F26" s="64">
        <v>1.4</v>
      </c>
      <c r="G26" s="64">
        <v>1.1000000000000001</v>
      </c>
      <c r="H26" s="64">
        <v>2.4</v>
      </c>
      <c r="I26" s="57">
        <v>1.2</v>
      </c>
      <c r="J26" s="57">
        <v>1.65</v>
      </c>
      <c r="K26" s="57">
        <v>1.05</v>
      </c>
      <c r="L26" s="57">
        <v>2.4</v>
      </c>
      <c r="M26" s="57">
        <v>1.1000000000000001</v>
      </c>
      <c r="N26" s="57">
        <v>1.55</v>
      </c>
      <c r="O26" s="57">
        <v>1.05</v>
      </c>
      <c r="P26" s="57">
        <v>1.7</v>
      </c>
      <c r="Q26" s="57">
        <v>1.05</v>
      </c>
      <c r="R26" s="57">
        <v>1.4</v>
      </c>
      <c r="S26" s="57">
        <v>1.25</v>
      </c>
      <c r="T26" s="60" t="e">
        <f>$D26*E26</f>
        <v>#N/A</v>
      </c>
      <c r="U26" s="60" t="e">
        <f t="shared" si="9"/>
        <v>#N/A</v>
      </c>
      <c r="V26" s="60" t="e">
        <f t="shared" si="9"/>
        <v>#N/A</v>
      </c>
      <c r="W26" s="60" t="e">
        <f t="shared" si="9"/>
        <v>#N/A</v>
      </c>
      <c r="X26" s="60" t="e">
        <f t="shared" si="9"/>
        <v>#N/A</v>
      </c>
      <c r="Y26" s="60" t="e">
        <f t="shared" si="9"/>
        <v>#N/A</v>
      </c>
      <c r="Z26" s="60" t="e">
        <f t="shared" si="9"/>
        <v>#N/A</v>
      </c>
      <c r="AA26" s="60" t="e">
        <f t="shared" si="9"/>
        <v>#N/A</v>
      </c>
      <c r="AB26" s="60" t="e">
        <f t="shared" si="9"/>
        <v>#N/A</v>
      </c>
      <c r="AC26" s="60" t="e">
        <f t="shared" si="9"/>
        <v>#N/A</v>
      </c>
      <c r="AD26" s="60" t="e">
        <f t="shared" si="9"/>
        <v>#N/A</v>
      </c>
      <c r="AE26" s="60" t="e">
        <f t="shared" si="9"/>
        <v>#N/A</v>
      </c>
      <c r="AF26" s="60" t="e">
        <f t="shared" si="9"/>
        <v>#N/A</v>
      </c>
      <c r="AG26" s="60" t="e">
        <f t="shared" si="9"/>
        <v>#N/A</v>
      </c>
      <c r="AH26" s="60" t="e">
        <f t="shared" si="9"/>
        <v>#N/A</v>
      </c>
      <c r="AI26" s="61" t="e">
        <f t="shared" si="7"/>
        <v>#N/A</v>
      </c>
      <c r="AJ26" s="60" t="e">
        <f t="shared" si="8"/>
        <v>#N/A</v>
      </c>
    </row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</sheetData>
  <mergeCells count="10">
    <mergeCell ref="A1:D1"/>
    <mergeCell ref="E1:S1"/>
    <mergeCell ref="AI15:AJ15"/>
    <mergeCell ref="T14:AH14"/>
    <mergeCell ref="AI1:AJ1"/>
    <mergeCell ref="T1:AH1"/>
    <mergeCell ref="AI2:AJ2"/>
    <mergeCell ref="E14:S14"/>
    <mergeCell ref="AI14:AJ14"/>
    <mergeCell ref="A14:D14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AJ963"/>
  <sheetViews>
    <sheetView showGridLines="0" topLeftCell="A19" zoomScaleNormal="100" workbookViewId="0">
      <pane xSplit="4" topLeftCell="E1" activePane="topRight" state="frozen"/>
      <selection activeCell="A19" sqref="A19"/>
      <selection pane="topRight" activeCell="H41" sqref="H41"/>
    </sheetView>
  </sheetViews>
  <sheetFormatPr defaultColWidth="14.4609375" defaultRowHeight="14.6" x14ac:dyDescent="0.4"/>
  <cols>
    <col min="1" max="1" width="3.3046875" customWidth="1"/>
    <col min="2" max="2" width="56" customWidth="1"/>
    <col min="3" max="3" width="16.84375" style="31" customWidth="1"/>
    <col min="4" max="4" width="8.69140625" customWidth="1"/>
    <col min="5" max="19" width="5.15234375" customWidth="1"/>
    <col min="20" max="20" width="15" customWidth="1"/>
    <col min="21" max="21" width="15.69140625" customWidth="1"/>
    <col min="22" max="22" width="15" customWidth="1"/>
    <col min="23" max="23" width="17.15234375" customWidth="1"/>
    <col min="24" max="24" width="15" customWidth="1"/>
    <col min="25" max="25" width="17.15234375" customWidth="1"/>
    <col min="26" max="26" width="13.69140625" customWidth="1"/>
    <col min="27" max="27" width="15.69140625" customWidth="1"/>
    <col min="28" max="28" width="13.69140625" customWidth="1"/>
    <col min="29" max="29" width="15.69140625" customWidth="1"/>
    <col min="30" max="30" width="13.69140625" customWidth="1"/>
    <col min="31" max="31" width="15.69140625" customWidth="1"/>
    <col min="32" max="32" width="13.69140625" customWidth="1"/>
    <col min="33" max="33" width="15.69140625" customWidth="1"/>
    <col min="34" max="34" width="13.69140625" customWidth="1"/>
    <col min="35" max="35" width="8.3828125" customWidth="1"/>
    <col min="36" max="36" width="15.53515625" customWidth="1"/>
  </cols>
  <sheetData>
    <row r="1" spans="1:36" ht="15" customHeight="1" x14ac:dyDescent="0.4">
      <c r="A1" s="233" t="s">
        <v>138</v>
      </c>
      <c r="B1" s="211"/>
      <c r="C1" s="211"/>
      <c r="D1" s="211"/>
      <c r="E1" s="236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68"/>
      <c r="P1" s="68"/>
      <c r="Q1" s="68"/>
      <c r="R1" s="68"/>
      <c r="S1" s="68"/>
      <c r="T1" s="235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69"/>
      <c r="P2" s="69"/>
      <c r="Q2" s="69"/>
      <c r="R2" s="69"/>
      <c r="S2" s="69"/>
      <c r="T2" s="37" t="e">
        <f t="shared" ref="T2:AH2" si="0">MROUND(SUM(T4:T12),1)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139</v>
      </c>
      <c r="M3" s="42" t="s">
        <v>140</v>
      </c>
      <c r="N3" s="42" t="s">
        <v>111</v>
      </c>
      <c r="O3" s="43">
        <v>11</v>
      </c>
      <c r="P3" s="43">
        <v>12</v>
      </c>
      <c r="Q3" s="43">
        <v>13</v>
      </c>
      <c r="R3" s="43">
        <v>14</v>
      </c>
      <c r="S3" s="43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0">
        <v>1</v>
      </c>
      <c r="P4" s="50">
        <v>1</v>
      </c>
      <c r="Q4" s="50">
        <v>1</v>
      </c>
      <c r="R4" s="50">
        <v>1</v>
      </c>
      <c r="S4" s="50">
        <v>1</v>
      </c>
      <c r="T4" s="52">
        <f t="shared" ref="T4:AH11" si="1">$D4*E4</f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2">
        <f t="shared" si="1"/>
        <v>79.900000000000006</v>
      </c>
      <c r="Z4" s="52">
        <f t="shared" si="1"/>
        <v>79.900000000000006</v>
      </c>
      <c r="AA4" s="52">
        <f t="shared" si="1"/>
        <v>79.900000000000006</v>
      </c>
      <c r="AB4" s="52">
        <f t="shared" si="1"/>
        <v>79.900000000000006</v>
      </c>
      <c r="AC4" s="52">
        <f t="shared" si="1"/>
        <v>79.900000000000006</v>
      </c>
      <c r="AD4" s="52">
        <f t="shared" si="1"/>
        <v>79.900000000000006</v>
      </c>
      <c r="AE4" s="52">
        <f t="shared" si="1"/>
        <v>79.900000000000006</v>
      </c>
      <c r="AF4" s="52">
        <f t="shared" si="1"/>
        <v>79.900000000000006</v>
      </c>
      <c r="AG4" s="52">
        <f t="shared" si="1"/>
        <v>79.900000000000006</v>
      </c>
      <c r="AH4" s="52">
        <f t="shared" si="1"/>
        <v>79.900000000000006</v>
      </c>
      <c r="AI4" s="53" t="e">
        <f t="shared" ref="AI4:AI12" si="2">AJ4/$AI$2</f>
        <v>#N/A</v>
      </c>
      <c r="AJ4" s="52">
        <f t="shared" ref="AJ4:AJ12" si="3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70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60">
        <f t="shared" si="1"/>
        <v>35.9</v>
      </c>
      <c r="AD5" s="60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61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7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89.9</v>
      </c>
      <c r="V6" s="52">
        <f t="shared" si="1"/>
        <v>0</v>
      </c>
      <c r="W6" s="52">
        <f t="shared" si="1"/>
        <v>89.9</v>
      </c>
      <c r="X6" s="52">
        <f t="shared" si="1"/>
        <v>0</v>
      </c>
      <c r="Y6" s="52">
        <f t="shared" si="1"/>
        <v>89.9</v>
      </c>
      <c r="Z6" s="52">
        <f t="shared" si="1"/>
        <v>0</v>
      </c>
      <c r="AA6" s="52">
        <f t="shared" si="1"/>
        <v>89.9</v>
      </c>
      <c r="AB6" s="52">
        <f t="shared" si="1"/>
        <v>0</v>
      </c>
      <c r="AC6" s="52">
        <f t="shared" si="1"/>
        <v>89.9</v>
      </c>
      <c r="AD6" s="52">
        <f t="shared" si="1"/>
        <v>0</v>
      </c>
      <c r="AE6" s="52">
        <f t="shared" si="1"/>
        <v>89.9</v>
      </c>
      <c r="AF6" s="52">
        <f t="shared" si="1"/>
        <v>0</v>
      </c>
      <c r="AG6" s="52">
        <f t="shared" si="1"/>
        <v>89.9</v>
      </c>
      <c r="AH6" s="52">
        <f t="shared" si="1"/>
        <v>0</v>
      </c>
      <c r="AI6" s="53" t="e">
        <f t="shared" si="2"/>
        <v>#N/A</v>
      </c>
      <c r="AJ6" s="52">
        <f t="shared" si="3"/>
        <v>629.29999999999995</v>
      </c>
    </row>
    <row r="7" spans="1:36" ht="1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4</v>
      </c>
      <c r="I7" s="59"/>
      <c r="J7" s="59"/>
      <c r="K7" s="59"/>
      <c r="L7" s="59">
        <v>4</v>
      </c>
      <c r="M7" s="59"/>
      <c r="N7" s="58"/>
      <c r="O7" s="70"/>
      <c r="P7" s="59">
        <v>4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703.6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703.6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703.6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61" t="e">
        <f t="shared" si="2"/>
        <v>#N/A</v>
      </c>
      <c r="AJ7" s="60">
        <f t="shared" si="3"/>
        <v>2110.8000000000002</v>
      </c>
    </row>
    <row r="8" spans="1:36" ht="1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143.22999999999999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143.22999999999999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53" t="e">
        <f t="shared" si="2"/>
        <v>#N/A</v>
      </c>
      <c r="AJ8" s="52">
        <f t="shared" si="3"/>
        <v>286.45999999999998</v>
      </c>
    </row>
    <row r="9" spans="1:36" ht="15" customHeight="1" x14ac:dyDescent="0.4">
      <c r="A9" s="54">
        <v>6</v>
      </c>
      <c r="B9" s="55" t="s">
        <v>122</v>
      </c>
      <c r="C9" s="56" t="s">
        <v>123</v>
      </c>
      <c r="D9" s="57">
        <f>VLOOKUP(C9,'[1]PREÇO ATUAL'!$A:$D,4,0)</f>
        <v>165.97811999999999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62">
        <v>2</v>
      </c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331.95623999999998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61" t="e">
        <f t="shared" si="2"/>
        <v>#N/A</v>
      </c>
      <c r="AJ9" s="60">
        <f t="shared" si="3"/>
        <v>331.95623999999998</v>
      </c>
    </row>
    <row r="10" spans="1:36" ht="1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52">
        <f t="shared" si="1"/>
        <v>0</v>
      </c>
      <c r="Z10" s="52">
        <f t="shared" si="1"/>
        <v>0</v>
      </c>
      <c r="AA10" s="52">
        <f t="shared" si="1"/>
        <v>0</v>
      </c>
      <c r="AB10" s="52">
        <f t="shared" si="1"/>
        <v>0</v>
      </c>
      <c r="AC10" s="52">
        <f t="shared" si="1"/>
        <v>0</v>
      </c>
      <c r="AD10" s="52">
        <f t="shared" si="1"/>
        <v>0</v>
      </c>
      <c r="AE10" s="52">
        <f t="shared" si="1"/>
        <v>0</v>
      </c>
      <c r="AF10" s="52">
        <f t="shared" si="1"/>
        <v>0</v>
      </c>
      <c r="AG10" s="52">
        <f t="shared" si="1"/>
        <v>0</v>
      </c>
      <c r="AH10" s="52">
        <f t="shared" si="1"/>
        <v>0</v>
      </c>
      <c r="AI10" s="53" t="e">
        <f t="shared" si="2"/>
        <v>#N/A</v>
      </c>
      <c r="AJ10" s="52">
        <f t="shared" si="3"/>
        <v>0</v>
      </c>
    </row>
    <row r="11" spans="1:36" ht="15" customHeight="1" x14ac:dyDescent="0.4">
      <c r="A11" s="54">
        <v>8</v>
      </c>
      <c r="B11" s="55" t="s">
        <v>126</v>
      </c>
      <c r="C11" s="56" t="s">
        <v>127</v>
      </c>
      <c r="D11" s="57">
        <f>VLOOKUP(C11,'[1]PREÇO ATUAL'!$A:$D,4,0)</f>
        <v>81.260000000000005</v>
      </c>
      <c r="E11" s="64">
        <v>3.36</v>
      </c>
      <c r="F11" s="64">
        <v>3.36</v>
      </c>
      <c r="G11" s="64">
        <v>3.36</v>
      </c>
      <c r="H11" s="64">
        <v>3.36</v>
      </c>
      <c r="I11" s="57">
        <v>3.36</v>
      </c>
      <c r="J11" s="57">
        <v>3.36</v>
      </c>
      <c r="K11" s="57">
        <v>3.36</v>
      </c>
      <c r="L11" s="57">
        <v>3.36</v>
      </c>
      <c r="M11" s="57">
        <v>3.36</v>
      </c>
      <c r="N11" s="64">
        <v>3.36</v>
      </c>
      <c r="O11" s="72">
        <v>3.36</v>
      </c>
      <c r="P11" s="57">
        <v>3.36</v>
      </c>
      <c r="Q11" s="57">
        <v>3.36</v>
      </c>
      <c r="R11" s="57">
        <v>3.36</v>
      </c>
      <c r="S11" s="57">
        <v>3.36</v>
      </c>
      <c r="T11" s="60">
        <f t="shared" si="1"/>
        <v>273.03360000000004</v>
      </c>
      <c r="U11" s="60">
        <f t="shared" si="1"/>
        <v>273.03360000000004</v>
      </c>
      <c r="V11" s="60">
        <f t="shared" si="1"/>
        <v>273.03360000000004</v>
      </c>
      <c r="W11" s="60">
        <f t="shared" si="1"/>
        <v>273.03360000000004</v>
      </c>
      <c r="X11" s="60">
        <f t="shared" si="1"/>
        <v>273.03360000000004</v>
      </c>
      <c r="Y11" s="60">
        <f t="shared" si="1"/>
        <v>273.03360000000004</v>
      </c>
      <c r="Z11" s="60">
        <f t="shared" si="1"/>
        <v>273.03360000000004</v>
      </c>
      <c r="AA11" s="60">
        <f t="shared" si="1"/>
        <v>273.03360000000004</v>
      </c>
      <c r="AB11" s="60">
        <f t="shared" si="1"/>
        <v>273.03360000000004</v>
      </c>
      <c r="AC11" s="60">
        <f t="shared" si="1"/>
        <v>273.03360000000004</v>
      </c>
      <c r="AD11" s="60">
        <f t="shared" si="1"/>
        <v>273.03360000000004</v>
      </c>
      <c r="AE11" s="60">
        <f t="shared" si="1"/>
        <v>273.03360000000004</v>
      </c>
      <c r="AF11" s="60">
        <f t="shared" si="1"/>
        <v>273.03360000000004</v>
      </c>
      <c r="AG11" s="60">
        <f t="shared" si="1"/>
        <v>273.03360000000004</v>
      </c>
      <c r="AH11" s="60">
        <f t="shared" si="1"/>
        <v>273.03360000000004</v>
      </c>
      <c r="AI11" s="61" t="e">
        <f t="shared" si="2"/>
        <v>#N/A</v>
      </c>
      <c r="AJ11" s="60">
        <f t="shared" si="3"/>
        <v>4095.5040000000017</v>
      </c>
    </row>
    <row r="12" spans="1:36" ht="1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63">
        <v>0.85</v>
      </c>
      <c r="F12" s="63">
        <v>1.2</v>
      </c>
      <c r="G12" s="63">
        <v>0.9</v>
      </c>
      <c r="H12" s="63">
        <v>2.15</v>
      </c>
      <c r="I12" s="63">
        <v>1</v>
      </c>
      <c r="J12" s="63">
        <v>1.45</v>
      </c>
      <c r="K12" s="63">
        <v>0.85</v>
      </c>
      <c r="L12" s="63">
        <v>2.15</v>
      </c>
      <c r="M12" s="63">
        <v>0.9</v>
      </c>
      <c r="N12" s="63">
        <v>1.35</v>
      </c>
      <c r="O12" s="63">
        <v>0.85</v>
      </c>
      <c r="P12" s="63">
        <v>1.5</v>
      </c>
      <c r="Q12" s="63">
        <v>0.85</v>
      </c>
      <c r="R12" s="63">
        <v>1.2</v>
      </c>
      <c r="S12" s="63">
        <v>1.05</v>
      </c>
      <c r="T12" s="52" t="e">
        <f>D12*E12</f>
        <v>#N/A</v>
      </c>
      <c r="U12" s="52" t="e">
        <f t="shared" ref="U12:AH12" si="4">$D12*F12</f>
        <v>#N/A</v>
      </c>
      <c r="V12" s="52" t="e">
        <f t="shared" si="4"/>
        <v>#N/A</v>
      </c>
      <c r="W12" s="52" t="e">
        <f t="shared" si="4"/>
        <v>#N/A</v>
      </c>
      <c r="X12" s="52" t="e">
        <f t="shared" si="4"/>
        <v>#N/A</v>
      </c>
      <c r="Y12" s="52" t="e">
        <f t="shared" si="4"/>
        <v>#N/A</v>
      </c>
      <c r="Z12" s="52" t="e">
        <f t="shared" si="4"/>
        <v>#N/A</v>
      </c>
      <c r="AA12" s="52" t="e">
        <f t="shared" si="4"/>
        <v>#N/A</v>
      </c>
      <c r="AB12" s="52" t="e">
        <f t="shared" si="4"/>
        <v>#N/A</v>
      </c>
      <c r="AC12" s="52" t="e">
        <f t="shared" si="4"/>
        <v>#N/A</v>
      </c>
      <c r="AD12" s="52" t="e">
        <f t="shared" si="4"/>
        <v>#N/A</v>
      </c>
      <c r="AE12" s="52" t="e">
        <f t="shared" si="4"/>
        <v>#N/A</v>
      </c>
      <c r="AF12" s="52" t="e">
        <f t="shared" si="4"/>
        <v>#N/A</v>
      </c>
      <c r="AG12" s="52" t="e">
        <f t="shared" si="4"/>
        <v>#N/A</v>
      </c>
      <c r="AH12" s="52" t="e">
        <f t="shared" si="4"/>
        <v>#N/A</v>
      </c>
      <c r="AI12" s="53" t="e">
        <f t="shared" si="2"/>
        <v>#N/A</v>
      </c>
      <c r="AJ12" s="52" t="e">
        <f t="shared" si="3"/>
        <v>#N/A</v>
      </c>
    </row>
    <row r="13" spans="1:36" ht="15" customHeight="1" x14ac:dyDescent="0.4">
      <c r="H13" s="65"/>
      <c r="L13" s="65"/>
    </row>
    <row r="14" spans="1:36" ht="25.5" customHeight="1" x14ac:dyDescent="0.4">
      <c r="A14" s="231" t="s">
        <v>141</v>
      </c>
      <c r="B14" s="211"/>
      <c r="C14" s="211"/>
      <c r="D14" s="212"/>
      <c r="E14" s="218" t="s">
        <v>1</v>
      </c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22" t="s">
        <v>2</v>
      </c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32" t="s">
        <v>3</v>
      </c>
      <c r="AJ14" s="209"/>
    </row>
    <row r="15" spans="1:36" ht="15" customHeight="1" x14ac:dyDescent="0.4">
      <c r="A15" s="32"/>
      <c r="B15" s="33"/>
      <c r="C15" s="33"/>
      <c r="D15" s="34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 t="e">
        <f t="shared" ref="T15:AH15" si="5">MROUND(SUM(T17:T26),1)</f>
        <v>#N/A</v>
      </c>
      <c r="U15" s="37" t="e">
        <f t="shared" si="5"/>
        <v>#N/A</v>
      </c>
      <c r="V15" s="37" t="e">
        <f t="shared" si="5"/>
        <v>#N/A</v>
      </c>
      <c r="W15" s="37" t="e">
        <f t="shared" si="5"/>
        <v>#N/A</v>
      </c>
      <c r="X15" s="37" t="e">
        <f t="shared" si="5"/>
        <v>#N/A</v>
      </c>
      <c r="Y15" s="37" t="e">
        <f t="shared" si="5"/>
        <v>#N/A</v>
      </c>
      <c r="Z15" s="37" t="e">
        <f t="shared" si="5"/>
        <v>#N/A</v>
      </c>
      <c r="AA15" s="37" t="e">
        <f t="shared" si="5"/>
        <v>#N/A</v>
      </c>
      <c r="AB15" s="37" t="e">
        <f t="shared" si="5"/>
        <v>#N/A</v>
      </c>
      <c r="AC15" s="37" t="e">
        <f t="shared" si="5"/>
        <v>#N/A</v>
      </c>
      <c r="AD15" s="37" t="e">
        <f t="shared" si="5"/>
        <v>#N/A</v>
      </c>
      <c r="AE15" s="37" t="e">
        <f t="shared" si="5"/>
        <v>#N/A</v>
      </c>
      <c r="AF15" s="37" t="e">
        <f t="shared" si="5"/>
        <v>#N/A</v>
      </c>
      <c r="AG15" s="37" t="e">
        <f t="shared" si="5"/>
        <v>#N/A</v>
      </c>
      <c r="AH15" s="37" t="e">
        <f t="shared" si="5"/>
        <v>#N/A</v>
      </c>
      <c r="AI15" s="208" t="e">
        <f>SUM(T15:AH15)</f>
        <v>#N/A</v>
      </c>
      <c r="AJ15" s="209"/>
    </row>
    <row r="16" spans="1:36" ht="15" customHeight="1" x14ac:dyDescent="0.4">
      <c r="A16" s="39" t="s">
        <v>5</v>
      </c>
      <c r="B16" s="39" t="s">
        <v>6</v>
      </c>
      <c r="C16" s="40" t="s">
        <v>7</v>
      </c>
      <c r="D16" s="41" t="s">
        <v>8</v>
      </c>
      <c r="E16" s="42" t="s">
        <v>102</v>
      </c>
      <c r="F16" s="42" t="s">
        <v>103</v>
      </c>
      <c r="G16" s="42" t="s">
        <v>104</v>
      </c>
      <c r="H16" s="42" t="s">
        <v>105</v>
      </c>
      <c r="I16" s="42" t="s">
        <v>106</v>
      </c>
      <c r="J16" s="42" t="s">
        <v>107</v>
      </c>
      <c r="K16" s="42" t="s">
        <v>108</v>
      </c>
      <c r="L16" s="42" t="s">
        <v>109</v>
      </c>
      <c r="M16" s="42" t="s">
        <v>110</v>
      </c>
      <c r="N16" s="43" t="s">
        <v>111</v>
      </c>
      <c r="O16" s="43">
        <v>11</v>
      </c>
      <c r="P16" s="43">
        <v>12</v>
      </c>
      <c r="Q16" s="43">
        <v>13</v>
      </c>
      <c r="R16" s="43">
        <v>14</v>
      </c>
      <c r="S16" s="43">
        <v>15</v>
      </c>
      <c r="T16" s="42">
        <v>10000</v>
      </c>
      <c r="U16" s="42">
        <v>20000</v>
      </c>
      <c r="V16" s="42">
        <v>30000</v>
      </c>
      <c r="W16" s="42">
        <v>40000</v>
      </c>
      <c r="X16" s="42">
        <v>50000</v>
      </c>
      <c r="Y16" s="42">
        <v>60000</v>
      </c>
      <c r="Z16" s="42">
        <v>70000</v>
      </c>
      <c r="AA16" s="42">
        <v>80000</v>
      </c>
      <c r="AB16" s="42">
        <v>90000</v>
      </c>
      <c r="AC16" s="42">
        <v>100000</v>
      </c>
      <c r="AD16" s="44">
        <f>AC16+10000</f>
        <v>110000</v>
      </c>
      <c r="AE16" s="44">
        <f>AD16+10000</f>
        <v>120000</v>
      </c>
      <c r="AF16" s="44">
        <f>AE16+10000</f>
        <v>130000</v>
      </c>
      <c r="AG16" s="44">
        <f>AF16+10000</f>
        <v>140000</v>
      </c>
      <c r="AH16" s="44">
        <f>AG16+10000</f>
        <v>150000</v>
      </c>
      <c r="AI16" s="45" t="s">
        <v>24</v>
      </c>
      <c r="AJ16" s="39" t="s">
        <v>25</v>
      </c>
    </row>
    <row r="17" spans="1:36" ht="15" customHeight="1" x14ac:dyDescent="0.4">
      <c r="A17" s="46">
        <v>1</v>
      </c>
      <c r="B17" s="66" t="s">
        <v>130</v>
      </c>
      <c r="C17" s="48" t="s">
        <v>113</v>
      </c>
      <c r="D17" s="49">
        <f>VLOOKUP(C17,'[1]PREÇO ATUAL'!$A:$D,4,0)</f>
        <v>79.900000000000006</v>
      </c>
      <c r="E17" s="50">
        <v>1</v>
      </c>
      <c r="F17" s="50">
        <v>1</v>
      </c>
      <c r="G17" s="50">
        <v>1</v>
      </c>
      <c r="H17" s="50">
        <v>1</v>
      </c>
      <c r="I17" s="51">
        <v>1</v>
      </c>
      <c r="J17" s="51">
        <v>1</v>
      </c>
      <c r="K17" s="51">
        <v>1</v>
      </c>
      <c r="L17" s="51">
        <v>1</v>
      </c>
      <c r="M17" s="51">
        <v>1</v>
      </c>
      <c r="N17" s="51">
        <v>1</v>
      </c>
      <c r="O17" s="51">
        <v>1</v>
      </c>
      <c r="P17" s="51">
        <v>1</v>
      </c>
      <c r="Q17" s="51">
        <v>1</v>
      </c>
      <c r="R17" s="51">
        <v>1</v>
      </c>
      <c r="S17" s="51">
        <v>1</v>
      </c>
      <c r="T17" s="52">
        <f t="shared" ref="T17:T26" si="6">$D17*E17</f>
        <v>79.900000000000006</v>
      </c>
      <c r="U17" s="52">
        <f t="shared" ref="U17:U26" si="7">$D17*F17</f>
        <v>79.900000000000006</v>
      </c>
      <c r="V17" s="52">
        <f t="shared" ref="V17:V26" si="8">$D17*G17</f>
        <v>79.900000000000006</v>
      </c>
      <c r="W17" s="52">
        <f t="shared" ref="W17:W26" si="9">$D17*H17</f>
        <v>79.900000000000006</v>
      </c>
      <c r="X17" s="52">
        <f t="shared" ref="X17:X26" si="10">$D17*I17</f>
        <v>79.900000000000006</v>
      </c>
      <c r="Y17" s="52">
        <f t="shared" ref="Y17:Y26" si="11">$D17*J17</f>
        <v>79.900000000000006</v>
      </c>
      <c r="Z17" s="52">
        <f t="shared" ref="Z17:Z26" si="12">$D17*K17</f>
        <v>79.900000000000006</v>
      </c>
      <c r="AA17" s="52">
        <f t="shared" ref="AA17:AA26" si="13">$D17*L17</f>
        <v>79.900000000000006</v>
      </c>
      <c r="AB17" s="52">
        <f t="shared" ref="AB17:AB26" si="14">$D17*M17</f>
        <v>79.900000000000006</v>
      </c>
      <c r="AC17" s="52">
        <f t="shared" ref="AC17:AC26" si="15">$D17*N17</f>
        <v>79.900000000000006</v>
      </c>
      <c r="AD17" s="52">
        <f t="shared" ref="AD17:AD26" si="16">$D17*O17</f>
        <v>79.900000000000006</v>
      </c>
      <c r="AE17" s="52">
        <f t="shared" ref="AE17:AE26" si="17">$D17*P17</f>
        <v>79.900000000000006</v>
      </c>
      <c r="AF17" s="52">
        <f t="shared" ref="AF17:AF26" si="18">$D17*Q17</f>
        <v>79.900000000000006</v>
      </c>
      <c r="AG17" s="52">
        <f t="shared" ref="AG17:AG26" si="19">$D17*R17</f>
        <v>79.900000000000006</v>
      </c>
      <c r="AH17" s="52">
        <f t="shared" ref="AH17:AH26" si="20">$D17*S17</f>
        <v>79.900000000000006</v>
      </c>
      <c r="AI17" s="53" t="e">
        <f t="shared" ref="AI17:AI26" si="21">AJ17/$AI$2</f>
        <v>#N/A</v>
      </c>
      <c r="AJ17" s="52">
        <f t="shared" ref="AJ17:AJ26" si="22">SUM(T17:AH17)</f>
        <v>1198.5</v>
      </c>
    </row>
    <row r="18" spans="1:36" ht="15" customHeight="1" x14ac:dyDescent="0.4">
      <c r="A18" s="54">
        <v>2</v>
      </c>
      <c r="B18" s="67" t="s">
        <v>114</v>
      </c>
      <c r="C18" s="56" t="s">
        <v>115</v>
      </c>
      <c r="D18" s="57">
        <f>VLOOKUP(C18,'[1]PREÇO ATUAL'!$A:$D,4,0)</f>
        <v>35.9</v>
      </c>
      <c r="E18" s="58"/>
      <c r="F18" s="58">
        <v>1</v>
      </c>
      <c r="G18" s="58"/>
      <c r="H18" s="58">
        <v>1</v>
      </c>
      <c r="I18" s="59"/>
      <c r="J18" s="58">
        <v>1</v>
      </c>
      <c r="K18" s="59"/>
      <c r="L18" s="58">
        <v>1</v>
      </c>
      <c r="M18" s="59"/>
      <c r="N18" s="58">
        <v>1</v>
      </c>
      <c r="O18" s="59"/>
      <c r="P18" s="58">
        <v>1</v>
      </c>
      <c r="Q18" s="59"/>
      <c r="R18" s="58">
        <v>1</v>
      </c>
      <c r="S18" s="59"/>
      <c r="T18" s="60">
        <f t="shared" si="6"/>
        <v>0</v>
      </c>
      <c r="U18" s="60">
        <f t="shared" si="7"/>
        <v>35.9</v>
      </c>
      <c r="V18" s="60">
        <f t="shared" si="8"/>
        <v>0</v>
      </c>
      <c r="W18" s="60">
        <f t="shared" si="9"/>
        <v>35.9</v>
      </c>
      <c r="X18" s="60">
        <f t="shared" si="10"/>
        <v>0</v>
      </c>
      <c r="Y18" s="60">
        <f t="shared" si="11"/>
        <v>35.9</v>
      </c>
      <c r="Z18" s="60">
        <f t="shared" si="12"/>
        <v>0</v>
      </c>
      <c r="AA18" s="60">
        <f t="shared" si="13"/>
        <v>35.9</v>
      </c>
      <c r="AB18" s="60">
        <f t="shared" si="14"/>
        <v>0</v>
      </c>
      <c r="AC18" s="60">
        <f t="shared" si="15"/>
        <v>35.9</v>
      </c>
      <c r="AD18" s="60">
        <f t="shared" si="16"/>
        <v>0</v>
      </c>
      <c r="AE18" s="60">
        <f t="shared" si="17"/>
        <v>35.9</v>
      </c>
      <c r="AF18" s="60">
        <f t="shared" si="18"/>
        <v>0</v>
      </c>
      <c r="AG18" s="60">
        <f t="shared" si="19"/>
        <v>35.9</v>
      </c>
      <c r="AH18" s="60">
        <f t="shared" si="20"/>
        <v>0</v>
      </c>
      <c r="AI18" s="61" t="e">
        <f t="shared" si="21"/>
        <v>#N/A</v>
      </c>
      <c r="AJ18" s="60">
        <f t="shared" si="22"/>
        <v>251.3</v>
      </c>
    </row>
    <row r="19" spans="1:36" ht="15" customHeight="1" x14ac:dyDescent="0.4">
      <c r="A19" s="46">
        <v>3</v>
      </c>
      <c r="B19" s="66" t="s">
        <v>60</v>
      </c>
      <c r="C19" s="48" t="s">
        <v>117</v>
      </c>
      <c r="D19" s="49">
        <f>VLOOKUP(C19,'[1]PREÇO ATUAL'!$A:$D,4,0)</f>
        <v>89.9</v>
      </c>
      <c r="E19" s="50"/>
      <c r="F19" s="50">
        <v>1</v>
      </c>
      <c r="G19" s="50"/>
      <c r="H19" s="50">
        <v>1</v>
      </c>
      <c r="I19" s="51"/>
      <c r="J19" s="50">
        <v>1</v>
      </c>
      <c r="K19" s="51"/>
      <c r="L19" s="50">
        <v>1</v>
      </c>
      <c r="M19" s="51"/>
      <c r="N19" s="50">
        <v>1</v>
      </c>
      <c r="O19" s="51"/>
      <c r="P19" s="50">
        <v>1</v>
      </c>
      <c r="Q19" s="51"/>
      <c r="R19" s="50">
        <v>1</v>
      </c>
      <c r="S19" s="51"/>
      <c r="T19" s="52">
        <f t="shared" si="6"/>
        <v>0</v>
      </c>
      <c r="U19" s="52">
        <f t="shared" si="7"/>
        <v>89.9</v>
      </c>
      <c r="V19" s="52">
        <f t="shared" si="8"/>
        <v>0</v>
      </c>
      <c r="W19" s="52">
        <f t="shared" si="9"/>
        <v>89.9</v>
      </c>
      <c r="X19" s="52">
        <f t="shared" si="10"/>
        <v>0</v>
      </c>
      <c r="Y19" s="52">
        <f t="shared" si="11"/>
        <v>89.9</v>
      </c>
      <c r="Z19" s="52">
        <f t="shared" si="12"/>
        <v>0</v>
      </c>
      <c r="AA19" s="52">
        <f t="shared" si="13"/>
        <v>89.9</v>
      </c>
      <c r="AB19" s="52">
        <f t="shared" si="14"/>
        <v>0</v>
      </c>
      <c r="AC19" s="52">
        <f t="shared" si="15"/>
        <v>89.9</v>
      </c>
      <c r="AD19" s="52">
        <f t="shared" si="16"/>
        <v>0</v>
      </c>
      <c r="AE19" s="52">
        <f t="shared" si="17"/>
        <v>89.9</v>
      </c>
      <c r="AF19" s="52">
        <f t="shared" si="18"/>
        <v>0</v>
      </c>
      <c r="AG19" s="52">
        <f t="shared" si="19"/>
        <v>89.9</v>
      </c>
      <c r="AH19" s="52">
        <f t="shared" si="20"/>
        <v>0</v>
      </c>
      <c r="AI19" s="53" t="e">
        <f t="shared" si="21"/>
        <v>#N/A</v>
      </c>
      <c r="AJ19" s="52">
        <f t="shared" si="22"/>
        <v>629.29999999999995</v>
      </c>
    </row>
    <row r="20" spans="1:36" ht="15" customHeight="1" x14ac:dyDescent="0.4">
      <c r="A20" s="54">
        <v>4</v>
      </c>
      <c r="B20" s="67" t="s">
        <v>131</v>
      </c>
      <c r="C20" s="56" t="s">
        <v>132</v>
      </c>
      <c r="D20" s="57">
        <f>VLOOKUP(C20,'[1]PREÇO ATUAL'!$A:$D,4,0)</f>
        <v>199.05</v>
      </c>
      <c r="E20" s="58">
        <v>1</v>
      </c>
      <c r="F20" s="58">
        <v>1</v>
      </c>
      <c r="G20" s="58">
        <v>1</v>
      </c>
      <c r="H20" s="58">
        <v>1</v>
      </c>
      <c r="I20" s="59">
        <v>1</v>
      </c>
      <c r="J20" s="59">
        <v>1</v>
      </c>
      <c r="K20" s="59">
        <v>1</v>
      </c>
      <c r="L20" s="59">
        <v>1</v>
      </c>
      <c r="M20" s="59">
        <v>1</v>
      </c>
      <c r="N20" s="59">
        <v>1</v>
      </c>
      <c r="O20" s="59">
        <v>1</v>
      </c>
      <c r="P20" s="59">
        <v>1</v>
      </c>
      <c r="Q20" s="59">
        <v>1</v>
      </c>
      <c r="R20" s="59">
        <v>1</v>
      </c>
      <c r="S20" s="59">
        <v>1</v>
      </c>
      <c r="T20" s="60">
        <f t="shared" si="6"/>
        <v>199.05</v>
      </c>
      <c r="U20" s="60">
        <f t="shared" si="7"/>
        <v>199.05</v>
      </c>
      <c r="V20" s="60">
        <f t="shared" si="8"/>
        <v>199.05</v>
      </c>
      <c r="W20" s="60">
        <f t="shared" si="9"/>
        <v>199.05</v>
      </c>
      <c r="X20" s="60">
        <f t="shared" si="10"/>
        <v>199.05</v>
      </c>
      <c r="Y20" s="60">
        <f t="shared" si="11"/>
        <v>199.05</v>
      </c>
      <c r="Z20" s="60">
        <f t="shared" si="12"/>
        <v>199.05</v>
      </c>
      <c r="AA20" s="60">
        <f t="shared" si="13"/>
        <v>199.05</v>
      </c>
      <c r="AB20" s="60">
        <f t="shared" si="14"/>
        <v>199.05</v>
      </c>
      <c r="AC20" s="60">
        <f t="shared" si="15"/>
        <v>199.05</v>
      </c>
      <c r="AD20" s="60">
        <f t="shared" si="16"/>
        <v>199.05</v>
      </c>
      <c r="AE20" s="60">
        <f t="shared" si="17"/>
        <v>199.05</v>
      </c>
      <c r="AF20" s="60">
        <f t="shared" si="18"/>
        <v>199.05</v>
      </c>
      <c r="AG20" s="60">
        <f t="shared" si="19"/>
        <v>199.05</v>
      </c>
      <c r="AH20" s="60">
        <f t="shared" si="20"/>
        <v>199.05</v>
      </c>
      <c r="AI20" s="61" t="e">
        <f t="shared" si="21"/>
        <v>#N/A</v>
      </c>
      <c r="AJ20" s="60">
        <f t="shared" si="22"/>
        <v>2985.7500000000005</v>
      </c>
    </row>
    <row r="21" spans="1:36" ht="25.5" customHeight="1" x14ac:dyDescent="0.4">
      <c r="A21" s="46">
        <v>5</v>
      </c>
      <c r="B21" s="66" t="s">
        <v>133</v>
      </c>
      <c r="C21" s="48" t="s">
        <v>119</v>
      </c>
      <c r="D21" s="49">
        <f>VLOOKUP(C21,'[1]PREÇO ATUAL'!$A:$D,4,0)</f>
        <v>175.9</v>
      </c>
      <c r="E21" s="50"/>
      <c r="F21" s="50"/>
      <c r="G21" s="50"/>
      <c r="H21" s="50">
        <v>4</v>
      </c>
      <c r="I21" s="51"/>
      <c r="J21" s="51"/>
      <c r="K21" s="51"/>
      <c r="L21" s="50">
        <v>4</v>
      </c>
      <c r="M21" s="51"/>
      <c r="N21" s="51"/>
      <c r="O21" s="51"/>
      <c r="P21" s="50">
        <v>4</v>
      </c>
      <c r="Q21" s="51"/>
      <c r="R21" s="51"/>
      <c r="S21" s="51"/>
      <c r="T21" s="52">
        <f t="shared" si="6"/>
        <v>0</v>
      </c>
      <c r="U21" s="52">
        <f t="shared" si="7"/>
        <v>0</v>
      </c>
      <c r="V21" s="52">
        <f t="shared" si="8"/>
        <v>0</v>
      </c>
      <c r="W21" s="52">
        <f t="shared" si="9"/>
        <v>703.6</v>
      </c>
      <c r="X21" s="52">
        <f t="shared" si="10"/>
        <v>0</v>
      </c>
      <c r="Y21" s="52">
        <f t="shared" si="11"/>
        <v>0</v>
      </c>
      <c r="Z21" s="52">
        <f t="shared" si="12"/>
        <v>0</v>
      </c>
      <c r="AA21" s="52">
        <f t="shared" si="13"/>
        <v>703.6</v>
      </c>
      <c r="AB21" s="52">
        <f t="shared" si="14"/>
        <v>0</v>
      </c>
      <c r="AC21" s="52">
        <f t="shared" si="15"/>
        <v>0</v>
      </c>
      <c r="AD21" s="52">
        <f t="shared" si="16"/>
        <v>0</v>
      </c>
      <c r="AE21" s="52">
        <f t="shared" si="17"/>
        <v>703.6</v>
      </c>
      <c r="AF21" s="52">
        <f t="shared" si="18"/>
        <v>0</v>
      </c>
      <c r="AG21" s="52">
        <f t="shared" si="19"/>
        <v>0</v>
      </c>
      <c r="AH21" s="52">
        <f t="shared" si="20"/>
        <v>0</v>
      </c>
      <c r="AI21" s="53" t="e">
        <f t="shared" si="21"/>
        <v>#N/A</v>
      </c>
      <c r="AJ21" s="52">
        <f t="shared" si="22"/>
        <v>2110.8000000000002</v>
      </c>
    </row>
    <row r="22" spans="1:36" ht="25.5" customHeight="1" x14ac:dyDescent="0.4">
      <c r="A22" s="54">
        <v>6</v>
      </c>
      <c r="B22" s="67" t="s">
        <v>134</v>
      </c>
      <c r="C22" s="56" t="s">
        <v>121</v>
      </c>
      <c r="D22" s="57">
        <f>VLOOKUP(C22,'[1]PREÇO ATUAL'!$A:$D,4,0)</f>
        <v>143.22999999999999</v>
      </c>
      <c r="E22" s="58"/>
      <c r="F22" s="58"/>
      <c r="G22" s="58"/>
      <c r="H22" s="58"/>
      <c r="I22" s="59"/>
      <c r="J22" s="59"/>
      <c r="K22" s="59"/>
      <c r="L22" s="59"/>
      <c r="M22" s="59"/>
      <c r="N22" s="59"/>
      <c r="O22" s="59"/>
      <c r="P22" s="62"/>
      <c r="Q22" s="59"/>
      <c r="R22" s="59"/>
      <c r="S22" s="59"/>
      <c r="T22" s="60">
        <f t="shared" si="6"/>
        <v>0</v>
      </c>
      <c r="U22" s="60">
        <f t="shared" si="7"/>
        <v>0</v>
      </c>
      <c r="V22" s="60">
        <f t="shared" si="8"/>
        <v>0</v>
      </c>
      <c r="W22" s="60">
        <f t="shared" si="9"/>
        <v>0</v>
      </c>
      <c r="X22" s="60">
        <f t="shared" si="10"/>
        <v>0</v>
      </c>
      <c r="Y22" s="60">
        <f t="shared" si="11"/>
        <v>0</v>
      </c>
      <c r="Z22" s="60">
        <f t="shared" si="12"/>
        <v>0</v>
      </c>
      <c r="AA22" s="60">
        <f t="shared" si="13"/>
        <v>0</v>
      </c>
      <c r="AB22" s="60">
        <f t="shared" si="14"/>
        <v>0</v>
      </c>
      <c r="AC22" s="60">
        <f t="shared" si="15"/>
        <v>0</v>
      </c>
      <c r="AD22" s="60">
        <f t="shared" si="16"/>
        <v>0</v>
      </c>
      <c r="AE22" s="60">
        <f t="shared" si="17"/>
        <v>0</v>
      </c>
      <c r="AF22" s="60">
        <f t="shared" si="18"/>
        <v>0</v>
      </c>
      <c r="AG22" s="60">
        <f t="shared" si="19"/>
        <v>0</v>
      </c>
      <c r="AH22" s="60">
        <f t="shared" si="20"/>
        <v>0</v>
      </c>
      <c r="AI22" s="61" t="e">
        <f t="shared" si="21"/>
        <v>#N/A</v>
      </c>
      <c r="AJ22" s="60">
        <f t="shared" si="22"/>
        <v>0</v>
      </c>
    </row>
    <row r="23" spans="1:36" ht="15" customHeight="1" x14ac:dyDescent="0.4">
      <c r="A23" s="46">
        <v>7</v>
      </c>
      <c r="B23" s="66" t="s">
        <v>135</v>
      </c>
      <c r="C23" s="48" t="s">
        <v>123</v>
      </c>
      <c r="D23" s="49">
        <f>VLOOKUP(C23,'[1]PREÇO ATUAL'!$A:$D,4,0)</f>
        <v>165.97811999999999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52">
        <f t="shared" si="6"/>
        <v>0</v>
      </c>
      <c r="U23" s="52">
        <f t="shared" si="7"/>
        <v>0</v>
      </c>
      <c r="V23" s="52">
        <f t="shared" si="8"/>
        <v>0</v>
      </c>
      <c r="W23" s="52">
        <f t="shared" si="9"/>
        <v>0</v>
      </c>
      <c r="X23" s="52">
        <f t="shared" si="10"/>
        <v>0</v>
      </c>
      <c r="Y23" s="52">
        <f t="shared" si="11"/>
        <v>0</v>
      </c>
      <c r="Z23" s="52">
        <f t="shared" si="12"/>
        <v>0</v>
      </c>
      <c r="AA23" s="52">
        <f t="shared" si="13"/>
        <v>0</v>
      </c>
      <c r="AB23" s="52">
        <f t="shared" si="14"/>
        <v>0</v>
      </c>
      <c r="AC23" s="52">
        <f t="shared" si="15"/>
        <v>0</v>
      </c>
      <c r="AD23" s="52">
        <f t="shared" si="16"/>
        <v>0</v>
      </c>
      <c r="AE23" s="52">
        <f t="shared" si="17"/>
        <v>0</v>
      </c>
      <c r="AF23" s="52">
        <f t="shared" si="18"/>
        <v>0</v>
      </c>
      <c r="AG23" s="52">
        <f t="shared" si="19"/>
        <v>0</v>
      </c>
      <c r="AH23" s="52">
        <f t="shared" si="20"/>
        <v>0</v>
      </c>
      <c r="AI23" s="53" t="e">
        <f t="shared" si="21"/>
        <v>#N/A</v>
      </c>
      <c r="AJ23" s="52">
        <f t="shared" si="22"/>
        <v>0</v>
      </c>
    </row>
    <row r="24" spans="1:36" ht="25.5" customHeight="1" x14ac:dyDescent="0.4">
      <c r="A24" s="54">
        <v>8</v>
      </c>
      <c r="B24" s="67" t="s">
        <v>136</v>
      </c>
      <c r="C24" s="56" t="s">
        <v>125</v>
      </c>
      <c r="D24" s="57">
        <f>VLOOKUP(C24,'[1]PREÇO ATUAL'!$A:$D,4,0)</f>
        <v>33.6224930838505</v>
      </c>
      <c r="E24" s="64"/>
      <c r="F24" s="64"/>
      <c r="G24" s="64"/>
      <c r="H24" s="64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60">
        <f t="shared" si="6"/>
        <v>0</v>
      </c>
      <c r="U24" s="60">
        <f t="shared" si="7"/>
        <v>0</v>
      </c>
      <c r="V24" s="60">
        <f t="shared" si="8"/>
        <v>0</v>
      </c>
      <c r="W24" s="60">
        <f t="shared" si="9"/>
        <v>0</v>
      </c>
      <c r="X24" s="60">
        <f t="shared" si="10"/>
        <v>0</v>
      </c>
      <c r="Y24" s="60">
        <f t="shared" si="11"/>
        <v>0</v>
      </c>
      <c r="Z24" s="60">
        <f t="shared" si="12"/>
        <v>0</v>
      </c>
      <c r="AA24" s="60">
        <f t="shared" si="13"/>
        <v>0</v>
      </c>
      <c r="AB24" s="60">
        <f t="shared" si="14"/>
        <v>0</v>
      </c>
      <c r="AC24" s="60">
        <f t="shared" si="15"/>
        <v>0</v>
      </c>
      <c r="AD24" s="60">
        <f t="shared" si="16"/>
        <v>0</v>
      </c>
      <c r="AE24" s="60">
        <f t="shared" si="17"/>
        <v>0</v>
      </c>
      <c r="AF24" s="60">
        <f t="shared" si="18"/>
        <v>0</v>
      </c>
      <c r="AG24" s="60">
        <f t="shared" si="19"/>
        <v>0</v>
      </c>
      <c r="AH24" s="60">
        <f t="shared" si="20"/>
        <v>0</v>
      </c>
      <c r="AI24" s="61" t="e">
        <f t="shared" si="21"/>
        <v>#N/A</v>
      </c>
      <c r="AJ24" s="60">
        <f t="shared" si="22"/>
        <v>0</v>
      </c>
    </row>
    <row r="25" spans="1:36" ht="25.5" customHeight="1" x14ac:dyDescent="0.4">
      <c r="A25" s="46">
        <v>9</v>
      </c>
      <c r="B25" s="66" t="s">
        <v>137</v>
      </c>
      <c r="C25" s="48" t="s">
        <v>127</v>
      </c>
      <c r="D25" s="49">
        <f>VLOOKUP(C25,'[1]PREÇO ATUAL'!$A:$D,4,0)</f>
        <v>81.260000000000005</v>
      </c>
      <c r="E25" s="63">
        <v>3.4</v>
      </c>
      <c r="F25" s="63">
        <v>3.4</v>
      </c>
      <c r="G25" s="63">
        <v>3.4</v>
      </c>
      <c r="H25" s="63">
        <v>3.4</v>
      </c>
      <c r="I25" s="63">
        <v>3.4</v>
      </c>
      <c r="J25" s="63">
        <v>3.4</v>
      </c>
      <c r="K25" s="63">
        <v>3.4</v>
      </c>
      <c r="L25" s="63">
        <v>3.4</v>
      </c>
      <c r="M25" s="63">
        <v>3.4</v>
      </c>
      <c r="N25" s="63">
        <v>3.4</v>
      </c>
      <c r="O25" s="63">
        <v>3.4</v>
      </c>
      <c r="P25" s="63">
        <v>3.4</v>
      </c>
      <c r="Q25" s="63">
        <v>3.4</v>
      </c>
      <c r="R25" s="63">
        <v>3.4</v>
      </c>
      <c r="S25" s="63">
        <v>3.4</v>
      </c>
      <c r="T25" s="52">
        <f t="shared" si="6"/>
        <v>276.28399999999999</v>
      </c>
      <c r="U25" s="52">
        <f t="shared" si="7"/>
        <v>276.28399999999999</v>
      </c>
      <c r="V25" s="52">
        <f t="shared" si="8"/>
        <v>276.28399999999999</v>
      </c>
      <c r="W25" s="52">
        <f t="shared" si="9"/>
        <v>276.28399999999999</v>
      </c>
      <c r="X25" s="52">
        <f t="shared" si="10"/>
        <v>276.28399999999999</v>
      </c>
      <c r="Y25" s="52">
        <f t="shared" si="11"/>
        <v>276.28399999999999</v>
      </c>
      <c r="Z25" s="52">
        <f t="shared" si="12"/>
        <v>276.28399999999999</v>
      </c>
      <c r="AA25" s="52">
        <f t="shared" si="13"/>
        <v>276.28399999999999</v>
      </c>
      <c r="AB25" s="52">
        <f t="shared" si="14"/>
        <v>276.28399999999999</v>
      </c>
      <c r="AC25" s="52">
        <f t="shared" si="15"/>
        <v>276.28399999999999</v>
      </c>
      <c r="AD25" s="52">
        <f t="shared" si="16"/>
        <v>276.28399999999999</v>
      </c>
      <c r="AE25" s="52">
        <f t="shared" si="17"/>
        <v>276.28399999999999</v>
      </c>
      <c r="AF25" s="52">
        <f t="shared" si="18"/>
        <v>276.28399999999999</v>
      </c>
      <c r="AG25" s="52">
        <f t="shared" si="19"/>
        <v>276.28399999999999</v>
      </c>
      <c r="AH25" s="52">
        <f t="shared" si="20"/>
        <v>276.28399999999999</v>
      </c>
      <c r="AI25" s="53" t="e">
        <f t="shared" si="21"/>
        <v>#N/A</v>
      </c>
      <c r="AJ25" s="52">
        <f t="shared" si="22"/>
        <v>4144.2600000000011</v>
      </c>
    </row>
    <row r="26" spans="1:36" ht="15" customHeight="1" x14ac:dyDescent="0.4">
      <c r="A26" s="54">
        <v>10</v>
      </c>
      <c r="B26" s="67" t="s">
        <v>128</v>
      </c>
      <c r="C26" s="56" t="s">
        <v>54</v>
      </c>
      <c r="D26" s="57" t="e">
        <f>VLOOKUP(C26,'[1]PREÇO ATUAL'!$A:$D,4,0)</f>
        <v>#N/A</v>
      </c>
      <c r="E26" s="64">
        <v>1.05</v>
      </c>
      <c r="F26" s="64">
        <v>1.4</v>
      </c>
      <c r="G26" s="64">
        <v>1.1000000000000001</v>
      </c>
      <c r="H26" s="64">
        <v>2.4</v>
      </c>
      <c r="I26" s="57">
        <v>1.2</v>
      </c>
      <c r="J26" s="57">
        <v>1.65</v>
      </c>
      <c r="K26" s="57">
        <v>1.05</v>
      </c>
      <c r="L26" s="57">
        <v>2.4</v>
      </c>
      <c r="M26" s="57">
        <v>1.1000000000000001</v>
      </c>
      <c r="N26" s="57">
        <v>1.55</v>
      </c>
      <c r="O26" s="57">
        <v>1.05</v>
      </c>
      <c r="P26" s="57">
        <v>1.7</v>
      </c>
      <c r="Q26" s="57">
        <v>1.05</v>
      </c>
      <c r="R26" s="57">
        <v>1.4</v>
      </c>
      <c r="S26" s="57">
        <v>1.25</v>
      </c>
      <c r="T26" s="60" t="e">
        <f t="shared" si="6"/>
        <v>#N/A</v>
      </c>
      <c r="U26" s="60" t="e">
        <f t="shared" si="7"/>
        <v>#N/A</v>
      </c>
      <c r="V26" s="60" t="e">
        <f t="shared" si="8"/>
        <v>#N/A</v>
      </c>
      <c r="W26" s="60" t="e">
        <f t="shared" si="9"/>
        <v>#N/A</v>
      </c>
      <c r="X26" s="60" t="e">
        <f t="shared" si="10"/>
        <v>#N/A</v>
      </c>
      <c r="Y26" s="60" t="e">
        <f t="shared" si="11"/>
        <v>#N/A</v>
      </c>
      <c r="Z26" s="60" t="e">
        <f t="shared" si="12"/>
        <v>#N/A</v>
      </c>
      <c r="AA26" s="60" t="e">
        <f t="shared" si="13"/>
        <v>#N/A</v>
      </c>
      <c r="AB26" s="60" t="e">
        <f t="shared" si="14"/>
        <v>#N/A</v>
      </c>
      <c r="AC26" s="60" t="e">
        <f t="shared" si="15"/>
        <v>#N/A</v>
      </c>
      <c r="AD26" s="60" t="e">
        <f t="shared" si="16"/>
        <v>#N/A</v>
      </c>
      <c r="AE26" s="60" t="e">
        <f t="shared" si="17"/>
        <v>#N/A</v>
      </c>
      <c r="AF26" s="60" t="e">
        <f t="shared" si="18"/>
        <v>#N/A</v>
      </c>
      <c r="AG26" s="60" t="e">
        <f t="shared" si="19"/>
        <v>#N/A</v>
      </c>
      <c r="AH26" s="60" t="e">
        <f t="shared" si="20"/>
        <v>#N/A</v>
      </c>
      <c r="AI26" s="61" t="e">
        <f t="shared" si="21"/>
        <v>#N/A</v>
      </c>
      <c r="AJ26" s="60" t="e">
        <f t="shared" si="22"/>
        <v>#N/A</v>
      </c>
    </row>
    <row r="27" spans="1:36" ht="15.75" customHeight="1" x14ac:dyDescent="0.4"/>
    <row r="28" spans="1:36" ht="25.5" customHeight="1" x14ac:dyDescent="0.4">
      <c r="A28" s="231" t="s">
        <v>142</v>
      </c>
      <c r="B28" s="211"/>
      <c r="C28" s="211"/>
      <c r="D28" s="212"/>
      <c r="E28" s="218" t="s">
        <v>1</v>
      </c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22" t="s">
        <v>2</v>
      </c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32" t="s">
        <v>3</v>
      </c>
      <c r="AJ28" s="209"/>
    </row>
    <row r="29" spans="1:36" ht="15" customHeight="1" x14ac:dyDescent="0.4">
      <c r="A29" s="32"/>
      <c r="B29" s="33"/>
      <c r="C29" s="33"/>
      <c r="D29" s="34"/>
      <c r="E29" s="35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7" t="e">
        <f t="shared" ref="T29:AH29" si="23">MROUND(SUM(T31:T39),1)</f>
        <v>#N/A</v>
      </c>
      <c r="U29" s="37" t="e">
        <f t="shared" si="23"/>
        <v>#N/A</v>
      </c>
      <c r="V29" s="37" t="e">
        <f t="shared" si="23"/>
        <v>#N/A</v>
      </c>
      <c r="W29" s="37" t="e">
        <f t="shared" si="23"/>
        <v>#N/A</v>
      </c>
      <c r="X29" s="37" t="e">
        <f t="shared" si="23"/>
        <v>#N/A</v>
      </c>
      <c r="Y29" s="37" t="e">
        <f t="shared" si="23"/>
        <v>#N/A</v>
      </c>
      <c r="Z29" s="37" t="e">
        <f t="shared" si="23"/>
        <v>#N/A</v>
      </c>
      <c r="AA29" s="37" t="e">
        <f t="shared" si="23"/>
        <v>#N/A</v>
      </c>
      <c r="AB29" s="37" t="e">
        <f t="shared" si="23"/>
        <v>#N/A</v>
      </c>
      <c r="AC29" s="37" t="e">
        <f t="shared" si="23"/>
        <v>#N/A</v>
      </c>
      <c r="AD29" s="37" t="e">
        <f t="shared" si="23"/>
        <v>#N/A</v>
      </c>
      <c r="AE29" s="37" t="e">
        <f t="shared" si="23"/>
        <v>#N/A</v>
      </c>
      <c r="AF29" s="37" t="e">
        <f t="shared" si="23"/>
        <v>#N/A</v>
      </c>
      <c r="AG29" s="37" t="e">
        <f t="shared" si="23"/>
        <v>#N/A</v>
      </c>
      <c r="AH29" s="37" t="e">
        <f t="shared" si="23"/>
        <v>#N/A</v>
      </c>
      <c r="AI29" s="208" t="e">
        <f>SUM(T29:AH29)</f>
        <v>#N/A</v>
      </c>
      <c r="AJ29" s="209"/>
    </row>
    <row r="30" spans="1:36" ht="15" customHeight="1" x14ac:dyDescent="0.4">
      <c r="A30" s="39" t="s">
        <v>5</v>
      </c>
      <c r="B30" s="39" t="s">
        <v>6</v>
      </c>
      <c r="C30" s="40" t="s">
        <v>7</v>
      </c>
      <c r="D30" s="41" t="s">
        <v>8</v>
      </c>
      <c r="E30" s="42" t="s">
        <v>102</v>
      </c>
      <c r="F30" s="42" t="s">
        <v>103</v>
      </c>
      <c r="G30" s="42" t="s">
        <v>104</v>
      </c>
      <c r="H30" s="42" t="s">
        <v>105</v>
      </c>
      <c r="I30" s="42" t="s">
        <v>106</v>
      </c>
      <c r="J30" s="42" t="s">
        <v>107</v>
      </c>
      <c r="K30" s="42" t="s">
        <v>108</v>
      </c>
      <c r="L30" s="42" t="s">
        <v>109</v>
      </c>
      <c r="M30" s="42" t="s">
        <v>110</v>
      </c>
      <c r="N30" s="43" t="s">
        <v>111</v>
      </c>
      <c r="O30" s="43">
        <v>11</v>
      </c>
      <c r="P30" s="43">
        <v>12</v>
      </c>
      <c r="Q30" s="43">
        <v>13</v>
      </c>
      <c r="R30" s="43">
        <v>14</v>
      </c>
      <c r="S30" s="43">
        <v>15</v>
      </c>
      <c r="T30" s="42">
        <v>10000</v>
      </c>
      <c r="U30" s="42">
        <v>20000</v>
      </c>
      <c r="V30" s="42">
        <v>30000</v>
      </c>
      <c r="W30" s="42">
        <v>40000</v>
      </c>
      <c r="X30" s="42">
        <v>50000</v>
      </c>
      <c r="Y30" s="42">
        <v>60000</v>
      </c>
      <c r="Z30" s="42">
        <v>70000</v>
      </c>
      <c r="AA30" s="42">
        <v>80000</v>
      </c>
      <c r="AB30" s="42">
        <v>90000</v>
      </c>
      <c r="AC30" s="42">
        <v>100000</v>
      </c>
      <c r="AD30" s="44">
        <f>AC30+10000</f>
        <v>110000</v>
      </c>
      <c r="AE30" s="44">
        <f>AD30+10000</f>
        <v>120000</v>
      </c>
      <c r="AF30" s="44">
        <f>AE30+10000</f>
        <v>130000</v>
      </c>
      <c r="AG30" s="44">
        <f>AF30+10000</f>
        <v>140000</v>
      </c>
      <c r="AH30" s="44">
        <f>AG30+10000</f>
        <v>150000</v>
      </c>
      <c r="AI30" s="45" t="s">
        <v>24</v>
      </c>
      <c r="AJ30" s="39" t="s">
        <v>25</v>
      </c>
    </row>
    <row r="31" spans="1:36" ht="15" customHeight="1" x14ac:dyDescent="0.4">
      <c r="A31" s="46">
        <v>1</v>
      </c>
      <c r="B31" s="66" t="s">
        <v>130</v>
      </c>
      <c r="C31" s="48" t="s">
        <v>113</v>
      </c>
      <c r="D31" s="49">
        <f>VLOOKUP(C31,'[1]PREÇO ATUAL'!$A:$D,4,0)</f>
        <v>79.900000000000006</v>
      </c>
      <c r="E31" s="50">
        <v>1</v>
      </c>
      <c r="F31" s="50">
        <v>1</v>
      </c>
      <c r="G31" s="50">
        <v>1</v>
      </c>
      <c r="H31" s="50">
        <v>1</v>
      </c>
      <c r="I31" s="51">
        <v>1</v>
      </c>
      <c r="J31" s="51">
        <v>1</v>
      </c>
      <c r="K31" s="51">
        <v>1</v>
      </c>
      <c r="L31" s="51">
        <v>1</v>
      </c>
      <c r="M31" s="51">
        <v>1</v>
      </c>
      <c r="N31" s="51">
        <v>1</v>
      </c>
      <c r="O31" s="51">
        <v>1</v>
      </c>
      <c r="P31" s="51">
        <v>1</v>
      </c>
      <c r="Q31" s="51">
        <v>1</v>
      </c>
      <c r="R31" s="51">
        <v>1</v>
      </c>
      <c r="S31" s="51">
        <v>1</v>
      </c>
      <c r="T31" s="52">
        <f t="shared" ref="T31:T39" si="24">$D31*E31</f>
        <v>79.900000000000006</v>
      </c>
      <c r="U31" s="52">
        <f t="shared" ref="U31:U39" si="25">$D31*F31</f>
        <v>79.900000000000006</v>
      </c>
      <c r="V31" s="52">
        <f t="shared" ref="V31:V39" si="26">$D31*G31</f>
        <v>79.900000000000006</v>
      </c>
      <c r="W31" s="52">
        <f t="shared" ref="W31:W39" si="27">$D31*H31</f>
        <v>79.900000000000006</v>
      </c>
      <c r="X31" s="52">
        <f t="shared" ref="X31:X39" si="28">$D31*I31</f>
        <v>79.900000000000006</v>
      </c>
      <c r="Y31" s="52">
        <f t="shared" ref="Y31:Y39" si="29">$D31*J31</f>
        <v>79.900000000000006</v>
      </c>
      <c r="Z31" s="52">
        <f t="shared" ref="Z31:Z39" si="30">$D31*K31</f>
        <v>79.900000000000006</v>
      </c>
      <c r="AA31" s="52">
        <f t="shared" ref="AA31:AA39" si="31">$D31*L31</f>
        <v>79.900000000000006</v>
      </c>
      <c r="AB31" s="52">
        <f t="shared" ref="AB31:AB39" si="32">$D31*M31</f>
        <v>79.900000000000006</v>
      </c>
      <c r="AC31" s="52">
        <f t="shared" ref="AC31:AC39" si="33">$D31*N31</f>
        <v>79.900000000000006</v>
      </c>
      <c r="AD31" s="52">
        <f t="shared" ref="AD31:AD39" si="34">$D31*O31</f>
        <v>79.900000000000006</v>
      </c>
      <c r="AE31" s="52">
        <f t="shared" ref="AE31:AE39" si="35">$D31*P31</f>
        <v>79.900000000000006</v>
      </c>
      <c r="AF31" s="52">
        <f t="shared" ref="AF31:AF39" si="36">$D31*Q31</f>
        <v>79.900000000000006</v>
      </c>
      <c r="AG31" s="52">
        <f t="shared" ref="AG31:AG39" si="37">$D31*R31</f>
        <v>79.900000000000006</v>
      </c>
      <c r="AH31" s="52">
        <f t="shared" ref="AH31:AH39" si="38">$D31*S31</f>
        <v>79.900000000000006</v>
      </c>
      <c r="AI31" s="53" t="e">
        <f t="shared" ref="AI31:AI39" si="39">AJ31/$AI$2</f>
        <v>#N/A</v>
      </c>
      <c r="AJ31" s="52">
        <f t="shared" ref="AJ31:AJ39" si="40">SUM(T31:AH31)</f>
        <v>1198.5</v>
      </c>
    </row>
    <row r="32" spans="1:36" ht="15" customHeight="1" x14ac:dyDescent="0.4">
      <c r="A32" s="54">
        <v>2</v>
      </c>
      <c r="B32" s="67" t="s">
        <v>114</v>
      </c>
      <c r="C32" s="56" t="s">
        <v>115</v>
      </c>
      <c r="D32" s="57">
        <f>VLOOKUP(C32,'[1]PREÇO ATUAL'!$A:$D,4,0)</f>
        <v>35.9</v>
      </c>
      <c r="E32" s="58"/>
      <c r="F32" s="58">
        <v>1</v>
      </c>
      <c r="G32" s="58"/>
      <c r="H32" s="58">
        <v>1</v>
      </c>
      <c r="I32" s="59"/>
      <c r="J32" s="58">
        <v>1</v>
      </c>
      <c r="K32" s="59"/>
      <c r="L32" s="58">
        <v>1</v>
      </c>
      <c r="M32" s="59"/>
      <c r="N32" s="58">
        <v>1</v>
      </c>
      <c r="O32" s="59"/>
      <c r="P32" s="58">
        <v>1</v>
      </c>
      <c r="Q32" s="59"/>
      <c r="R32" s="58">
        <v>1</v>
      </c>
      <c r="S32" s="59"/>
      <c r="T32" s="60">
        <f t="shared" si="24"/>
        <v>0</v>
      </c>
      <c r="U32" s="60">
        <f t="shared" si="25"/>
        <v>35.9</v>
      </c>
      <c r="V32" s="60">
        <f t="shared" si="26"/>
        <v>0</v>
      </c>
      <c r="W32" s="60">
        <f t="shared" si="27"/>
        <v>35.9</v>
      </c>
      <c r="X32" s="60">
        <f t="shared" si="28"/>
        <v>0</v>
      </c>
      <c r="Y32" s="60">
        <f t="shared" si="29"/>
        <v>35.9</v>
      </c>
      <c r="Z32" s="60">
        <f t="shared" si="30"/>
        <v>0</v>
      </c>
      <c r="AA32" s="60">
        <f t="shared" si="31"/>
        <v>35.9</v>
      </c>
      <c r="AB32" s="60">
        <f t="shared" si="32"/>
        <v>0</v>
      </c>
      <c r="AC32" s="60">
        <f t="shared" si="33"/>
        <v>35.9</v>
      </c>
      <c r="AD32" s="60">
        <f t="shared" si="34"/>
        <v>0</v>
      </c>
      <c r="AE32" s="60">
        <f t="shared" si="35"/>
        <v>35.9</v>
      </c>
      <c r="AF32" s="60">
        <f t="shared" si="36"/>
        <v>0</v>
      </c>
      <c r="AG32" s="60">
        <f t="shared" si="37"/>
        <v>35.9</v>
      </c>
      <c r="AH32" s="60">
        <f t="shared" si="38"/>
        <v>0</v>
      </c>
      <c r="AI32" s="61" t="e">
        <f t="shared" si="39"/>
        <v>#N/A</v>
      </c>
      <c r="AJ32" s="60">
        <f t="shared" si="40"/>
        <v>251.3</v>
      </c>
    </row>
    <row r="33" spans="1:36" ht="15" customHeight="1" x14ac:dyDescent="0.4">
      <c r="A33" s="46">
        <v>3</v>
      </c>
      <c r="B33" s="66" t="s">
        <v>60</v>
      </c>
      <c r="C33" s="48" t="s">
        <v>117</v>
      </c>
      <c r="D33" s="49">
        <f>VLOOKUP(C33,'[1]PREÇO ATUAL'!$A:$D,4,0)</f>
        <v>89.9</v>
      </c>
      <c r="E33" s="50"/>
      <c r="F33" s="50">
        <v>1</v>
      </c>
      <c r="G33" s="50"/>
      <c r="H33" s="50">
        <v>1</v>
      </c>
      <c r="I33" s="51"/>
      <c r="J33" s="50">
        <v>1</v>
      </c>
      <c r="K33" s="51"/>
      <c r="L33" s="50">
        <v>1</v>
      </c>
      <c r="M33" s="51"/>
      <c r="N33" s="50">
        <v>1</v>
      </c>
      <c r="O33" s="51"/>
      <c r="P33" s="50">
        <v>1</v>
      </c>
      <c r="Q33" s="51"/>
      <c r="R33" s="50">
        <v>1</v>
      </c>
      <c r="S33" s="51"/>
      <c r="T33" s="52">
        <f t="shared" si="24"/>
        <v>0</v>
      </c>
      <c r="U33" s="52">
        <f t="shared" si="25"/>
        <v>89.9</v>
      </c>
      <c r="V33" s="52">
        <f t="shared" si="26"/>
        <v>0</v>
      </c>
      <c r="W33" s="52">
        <f t="shared" si="27"/>
        <v>89.9</v>
      </c>
      <c r="X33" s="52">
        <f t="shared" si="28"/>
        <v>0</v>
      </c>
      <c r="Y33" s="52">
        <f t="shared" si="29"/>
        <v>89.9</v>
      </c>
      <c r="Z33" s="52">
        <f t="shared" si="30"/>
        <v>0</v>
      </c>
      <c r="AA33" s="52">
        <f t="shared" si="31"/>
        <v>89.9</v>
      </c>
      <c r="AB33" s="52">
        <f t="shared" si="32"/>
        <v>0</v>
      </c>
      <c r="AC33" s="52">
        <f t="shared" si="33"/>
        <v>89.9</v>
      </c>
      <c r="AD33" s="52">
        <f t="shared" si="34"/>
        <v>0</v>
      </c>
      <c r="AE33" s="52">
        <f t="shared" si="35"/>
        <v>89.9</v>
      </c>
      <c r="AF33" s="52">
        <f t="shared" si="36"/>
        <v>0</v>
      </c>
      <c r="AG33" s="52">
        <f t="shared" si="37"/>
        <v>89.9</v>
      </c>
      <c r="AH33" s="52">
        <f t="shared" si="38"/>
        <v>0</v>
      </c>
      <c r="AI33" s="53" t="e">
        <f t="shared" si="39"/>
        <v>#N/A</v>
      </c>
      <c r="AJ33" s="52">
        <f t="shared" si="40"/>
        <v>629.29999999999995</v>
      </c>
    </row>
    <row r="34" spans="1:36" ht="15" customHeight="1" x14ac:dyDescent="0.4">
      <c r="A34" s="54">
        <v>4</v>
      </c>
      <c r="B34" s="67" t="s">
        <v>131</v>
      </c>
      <c r="C34" s="56" t="s">
        <v>132</v>
      </c>
      <c r="D34" s="57">
        <f>VLOOKUP(C34,'[1]PREÇO ATUAL'!$A:$D,4,0)</f>
        <v>199.05</v>
      </c>
      <c r="E34" s="58">
        <v>1</v>
      </c>
      <c r="F34" s="58">
        <v>1</v>
      </c>
      <c r="G34" s="58">
        <v>1</v>
      </c>
      <c r="H34" s="58">
        <v>1</v>
      </c>
      <c r="I34" s="59">
        <v>1</v>
      </c>
      <c r="J34" s="59">
        <v>1</v>
      </c>
      <c r="K34" s="59">
        <v>1</v>
      </c>
      <c r="L34" s="59">
        <v>1</v>
      </c>
      <c r="M34" s="59">
        <v>1</v>
      </c>
      <c r="N34" s="59">
        <v>1</v>
      </c>
      <c r="O34" s="59">
        <v>1</v>
      </c>
      <c r="P34" s="59">
        <v>1</v>
      </c>
      <c r="Q34" s="59">
        <v>1</v>
      </c>
      <c r="R34" s="59">
        <v>1</v>
      </c>
      <c r="S34" s="59">
        <v>1</v>
      </c>
      <c r="T34" s="60">
        <f t="shared" si="24"/>
        <v>199.05</v>
      </c>
      <c r="U34" s="60">
        <f t="shared" si="25"/>
        <v>199.05</v>
      </c>
      <c r="V34" s="60">
        <f t="shared" si="26"/>
        <v>199.05</v>
      </c>
      <c r="W34" s="60">
        <f t="shared" si="27"/>
        <v>199.05</v>
      </c>
      <c r="X34" s="60">
        <f t="shared" si="28"/>
        <v>199.05</v>
      </c>
      <c r="Y34" s="60">
        <f t="shared" si="29"/>
        <v>199.05</v>
      </c>
      <c r="Z34" s="60">
        <f t="shared" si="30"/>
        <v>199.05</v>
      </c>
      <c r="AA34" s="60">
        <f t="shared" si="31"/>
        <v>199.05</v>
      </c>
      <c r="AB34" s="60">
        <f t="shared" si="32"/>
        <v>199.05</v>
      </c>
      <c r="AC34" s="60">
        <f t="shared" si="33"/>
        <v>199.05</v>
      </c>
      <c r="AD34" s="60">
        <f t="shared" si="34"/>
        <v>199.05</v>
      </c>
      <c r="AE34" s="60">
        <f t="shared" si="35"/>
        <v>199.05</v>
      </c>
      <c r="AF34" s="60">
        <f t="shared" si="36"/>
        <v>199.05</v>
      </c>
      <c r="AG34" s="60">
        <f t="shared" si="37"/>
        <v>199.05</v>
      </c>
      <c r="AH34" s="60">
        <f t="shared" si="38"/>
        <v>199.05</v>
      </c>
      <c r="AI34" s="61" t="e">
        <f t="shared" si="39"/>
        <v>#N/A</v>
      </c>
      <c r="AJ34" s="60">
        <f t="shared" si="40"/>
        <v>2985.7500000000005</v>
      </c>
    </row>
    <row r="35" spans="1:36" ht="25.5" customHeight="1" x14ac:dyDescent="0.4">
      <c r="A35" s="46">
        <v>5</v>
      </c>
      <c r="B35" s="66" t="s">
        <v>133</v>
      </c>
      <c r="C35" s="48" t="s">
        <v>119</v>
      </c>
      <c r="D35" s="49">
        <f>VLOOKUP(C35,'[1]PREÇO ATUAL'!$A:$D,4,0)</f>
        <v>175.9</v>
      </c>
      <c r="E35" s="50"/>
      <c r="F35" s="50"/>
      <c r="G35" s="50"/>
      <c r="H35" s="50">
        <v>4</v>
      </c>
      <c r="I35" s="51"/>
      <c r="J35" s="51"/>
      <c r="K35" s="51"/>
      <c r="L35" s="50">
        <v>4</v>
      </c>
      <c r="M35" s="51"/>
      <c r="N35" s="51"/>
      <c r="O35" s="51"/>
      <c r="P35" s="50">
        <v>4</v>
      </c>
      <c r="Q35" s="51"/>
      <c r="R35" s="51"/>
      <c r="S35" s="51"/>
      <c r="T35" s="52">
        <f t="shared" si="24"/>
        <v>0</v>
      </c>
      <c r="U35" s="52">
        <f t="shared" si="25"/>
        <v>0</v>
      </c>
      <c r="V35" s="52">
        <f t="shared" si="26"/>
        <v>0</v>
      </c>
      <c r="W35" s="52">
        <f t="shared" si="27"/>
        <v>703.6</v>
      </c>
      <c r="X35" s="52">
        <f t="shared" si="28"/>
        <v>0</v>
      </c>
      <c r="Y35" s="52">
        <f t="shared" si="29"/>
        <v>0</v>
      </c>
      <c r="Z35" s="52">
        <f t="shared" si="30"/>
        <v>0</v>
      </c>
      <c r="AA35" s="52">
        <f t="shared" si="31"/>
        <v>703.6</v>
      </c>
      <c r="AB35" s="52">
        <f t="shared" si="32"/>
        <v>0</v>
      </c>
      <c r="AC35" s="52">
        <f t="shared" si="33"/>
        <v>0</v>
      </c>
      <c r="AD35" s="52">
        <f t="shared" si="34"/>
        <v>0</v>
      </c>
      <c r="AE35" s="52">
        <f t="shared" si="35"/>
        <v>703.6</v>
      </c>
      <c r="AF35" s="52">
        <f t="shared" si="36"/>
        <v>0</v>
      </c>
      <c r="AG35" s="52">
        <f t="shared" si="37"/>
        <v>0</v>
      </c>
      <c r="AH35" s="52">
        <f t="shared" si="38"/>
        <v>0</v>
      </c>
      <c r="AI35" s="53" t="e">
        <f t="shared" si="39"/>
        <v>#N/A</v>
      </c>
      <c r="AJ35" s="52">
        <f t="shared" si="40"/>
        <v>2110.8000000000002</v>
      </c>
    </row>
    <row r="36" spans="1:36" ht="25.5" customHeight="1" x14ac:dyDescent="0.4">
      <c r="A36" s="54">
        <v>6</v>
      </c>
      <c r="B36" s="67" t="s">
        <v>134</v>
      </c>
      <c r="C36" s="56" t="s">
        <v>121</v>
      </c>
      <c r="D36" s="57">
        <f>VLOOKUP(C36,'[1]PREÇO ATUAL'!$A:$D,4,0)</f>
        <v>143.22999999999999</v>
      </c>
      <c r="E36" s="58"/>
      <c r="F36" s="58"/>
      <c r="G36" s="58"/>
      <c r="H36" s="58"/>
      <c r="I36" s="59"/>
      <c r="J36" s="59"/>
      <c r="K36" s="59"/>
      <c r="L36" s="59"/>
      <c r="M36" s="59"/>
      <c r="N36" s="59"/>
      <c r="O36" s="59"/>
      <c r="P36" s="62"/>
      <c r="Q36" s="59"/>
      <c r="R36" s="59"/>
      <c r="S36" s="59"/>
      <c r="T36" s="60">
        <f t="shared" si="24"/>
        <v>0</v>
      </c>
      <c r="U36" s="60">
        <f t="shared" si="25"/>
        <v>0</v>
      </c>
      <c r="V36" s="60">
        <f t="shared" si="26"/>
        <v>0</v>
      </c>
      <c r="W36" s="60">
        <f t="shared" si="27"/>
        <v>0</v>
      </c>
      <c r="X36" s="60">
        <f t="shared" si="28"/>
        <v>0</v>
      </c>
      <c r="Y36" s="60">
        <f t="shared" si="29"/>
        <v>0</v>
      </c>
      <c r="Z36" s="60">
        <f t="shared" si="30"/>
        <v>0</v>
      </c>
      <c r="AA36" s="60">
        <f t="shared" si="31"/>
        <v>0</v>
      </c>
      <c r="AB36" s="60">
        <f t="shared" si="32"/>
        <v>0</v>
      </c>
      <c r="AC36" s="60">
        <f t="shared" si="33"/>
        <v>0</v>
      </c>
      <c r="AD36" s="60">
        <f t="shared" si="34"/>
        <v>0</v>
      </c>
      <c r="AE36" s="60">
        <f t="shared" si="35"/>
        <v>0</v>
      </c>
      <c r="AF36" s="60">
        <f t="shared" si="36"/>
        <v>0</v>
      </c>
      <c r="AG36" s="60">
        <f t="shared" si="37"/>
        <v>0</v>
      </c>
      <c r="AH36" s="60">
        <f t="shared" si="38"/>
        <v>0</v>
      </c>
      <c r="AI36" s="61" t="e">
        <f t="shared" si="39"/>
        <v>#N/A</v>
      </c>
      <c r="AJ36" s="60">
        <f t="shared" si="40"/>
        <v>0</v>
      </c>
    </row>
    <row r="37" spans="1:36" ht="25.5" customHeight="1" x14ac:dyDescent="0.4">
      <c r="A37" s="46">
        <v>7</v>
      </c>
      <c r="B37" s="66" t="s">
        <v>136</v>
      </c>
      <c r="C37" s="48" t="s">
        <v>125</v>
      </c>
      <c r="D37" s="49">
        <f>VLOOKUP(C37,'[1]PREÇO ATUAL'!$A:$D,4,0)</f>
        <v>33.6224930838505</v>
      </c>
      <c r="E37" s="50"/>
      <c r="F37" s="50"/>
      <c r="G37" s="50"/>
      <c r="H37" s="50"/>
      <c r="I37" s="51"/>
      <c r="J37" s="51"/>
      <c r="K37" s="51"/>
      <c r="L37" s="50"/>
      <c r="M37" s="51"/>
      <c r="N37" s="51"/>
      <c r="O37" s="51"/>
      <c r="P37" s="50"/>
      <c r="Q37" s="51"/>
      <c r="R37" s="51"/>
      <c r="S37" s="51"/>
      <c r="T37" s="52">
        <f t="shared" si="24"/>
        <v>0</v>
      </c>
      <c r="U37" s="52">
        <f t="shared" si="25"/>
        <v>0</v>
      </c>
      <c r="V37" s="52">
        <f t="shared" si="26"/>
        <v>0</v>
      </c>
      <c r="W37" s="52">
        <f t="shared" si="27"/>
        <v>0</v>
      </c>
      <c r="X37" s="52">
        <f t="shared" si="28"/>
        <v>0</v>
      </c>
      <c r="Y37" s="52">
        <f t="shared" si="29"/>
        <v>0</v>
      </c>
      <c r="Z37" s="52">
        <f t="shared" si="30"/>
        <v>0</v>
      </c>
      <c r="AA37" s="52">
        <f t="shared" si="31"/>
        <v>0</v>
      </c>
      <c r="AB37" s="52">
        <f t="shared" si="32"/>
        <v>0</v>
      </c>
      <c r="AC37" s="52">
        <f t="shared" si="33"/>
        <v>0</v>
      </c>
      <c r="AD37" s="52">
        <f t="shared" si="34"/>
        <v>0</v>
      </c>
      <c r="AE37" s="52">
        <f t="shared" si="35"/>
        <v>0</v>
      </c>
      <c r="AF37" s="52">
        <f t="shared" si="36"/>
        <v>0</v>
      </c>
      <c r="AG37" s="52">
        <f t="shared" si="37"/>
        <v>0</v>
      </c>
      <c r="AH37" s="52">
        <f t="shared" si="38"/>
        <v>0</v>
      </c>
      <c r="AI37" s="53" t="e">
        <f t="shared" si="39"/>
        <v>#N/A</v>
      </c>
      <c r="AJ37" s="52">
        <f t="shared" si="40"/>
        <v>0</v>
      </c>
    </row>
    <row r="38" spans="1:36" ht="25.5" customHeight="1" x14ac:dyDescent="0.4">
      <c r="A38" s="54">
        <v>8</v>
      </c>
      <c r="B38" s="67" t="s">
        <v>137</v>
      </c>
      <c r="C38" s="56" t="s">
        <v>127</v>
      </c>
      <c r="D38" s="57">
        <f>VLOOKUP(C38,'[1]PREÇO ATUAL'!$A:$D,4,0)</f>
        <v>81.260000000000005</v>
      </c>
      <c r="E38" s="73">
        <v>3.4</v>
      </c>
      <c r="F38" s="73">
        <v>3.4</v>
      </c>
      <c r="G38" s="73">
        <v>3.4</v>
      </c>
      <c r="H38" s="73">
        <v>3.4</v>
      </c>
      <c r="I38" s="74">
        <v>3.4</v>
      </c>
      <c r="J38" s="74">
        <v>3.4</v>
      </c>
      <c r="K38" s="74">
        <v>3.4</v>
      </c>
      <c r="L38" s="74">
        <v>3.4</v>
      </c>
      <c r="M38" s="74">
        <v>3.4</v>
      </c>
      <c r="N38" s="74">
        <v>3.4</v>
      </c>
      <c r="O38" s="74">
        <v>3.4</v>
      </c>
      <c r="P38" s="74">
        <v>3.4</v>
      </c>
      <c r="Q38" s="74">
        <v>3.4</v>
      </c>
      <c r="R38" s="74">
        <v>3.4</v>
      </c>
      <c r="S38" s="74">
        <v>3.4</v>
      </c>
      <c r="T38" s="60">
        <f t="shared" si="24"/>
        <v>276.28399999999999</v>
      </c>
      <c r="U38" s="60">
        <f t="shared" si="25"/>
        <v>276.28399999999999</v>
      </c>
      <c r="V38" s="60">
        <f t="shared" si="26"/>
        <v>276.28399999999999</v>
      </c>
      <c r="W38" s="60">
        <f t="shared" si="27"/>
        <v>276.28399999999999</v>
      </c>
      <c r="X38" s="60">
        <f t="shared" si="28"/>
        <v>276.28399999999999</v>
      </c>
      <c r="Y38" s="60">
        <f t="shared" si="29"/>
        <v>276.28399999999999</v>
      </c>
      <c r="Z38" s="60">
        <f t="shared" si="30"/>
        <v>276.28399999999999</v>
      </c>
      <c r="AA38" s="60">
        <f t="shared" si="31"/>
        <v>276.28399999999999</v>
      </c>
      <c r="AB38" s="60">
        <f t="shared" si="32"/>
        <v>276.28399999999999</v>
      </c>
      <c r="AC38" s="60">
        <f t="shared" si="33"/>
        <v>276.28399999999999</v>
      </c>
      <c r="AD38" s="60">
        <f t="shared" si="34"/>
        <v>276.28399999999999</v>
      </c>
      <c r="AE38" s="60">
        <f t="shared" si="35"/>
        <v>276.28399999999999</v>
      </c>
      <c r="AF38" s="60">
        <f t="shared" si="36"/>
        <v>276.28399999999999</v>
      </c>
      <c r="AG38" s="60">
        <f t="shared" si="37"/>
        <v>276.28399999999999</v>
      </c>
      <c r="AH38" s="60">
        <f t="shared" si="38"/>
        <v>276.28399999999999</v>
      </c>
      <c r="AI38" s="61" t="e">
        <f t="shared" si="39"/>
        <v>#N/A</v>
      </c>
      <c r="AJ38" s="60">
        <f t="shared" si="40"/>
        <v>4144.2600000000011</v>
      </c>
    </row>
    <row r="39" spans="1:36" ht="15" customHeight="1" x14ac:dyDescent="0.4">
      <c r="A39" s="46">
        <v>9</v>
      </c>
      <c r="B39" s="66" t="s">
        <v>128</v>
      </c>
      <c r="C39" s="48" t="s">
        <v>54</v>
      </c>
      <c r="D39" s="49" t="e">
        <f>VLOOKUP(C39,'[1]PREÇO ATUAL'!$A:$D,4,0)</f>
        <v>#N/A</v>
      </c>
      <c r="E39" s="75">
        <v>1.05</v>
      </c>
      <c r="F39" s="75">
        <v>1.4</v>
      </c>
      <c r="G39" s="75">
        <v>1.1000000000000001</v>
      </c>
      <c r="H39" s="75">
        <v>2.4</v>
      </c>
      <c r="I39" s="76">
        <v>1.2</v>
      </c>
      <c r="J39" s="76">
        <v>1.65</v>
      </c>
      <c r="K39" s="76">
        <v>1.05</v>
      </c>
      <c r="L39" s="75">
        <v>2.4</v>
      </c>
      <c r="M39" s="76">
        <v>1.1000000000000001</v>
      </c>
      <c r="N39" s="76">
        <v>1.55</v>
      </c>
      <c r="O39" s="76">
        <v>1.05</v>
      </c>
      <c r="P39" s="75">
        <v>1.7</v>
      </c>
      <c r="Q39" s="76">
        <v>1.05</v>
      </c>
      <c r="R39" s="76">
        <v>1.4</v>
      </c>
      <c r="S39" s="76">
        <v>1.25</v>
      </c>
      <c r="T39" s="52" t="e">
        <f t="shared" si="24"/>
        <v>#N/A</v>
      </c>
      <c r="U39" s="52" t="e">
        <f t="shared" si="25"/>
        <v>#N/A</v>
      </c>
      <c r="V39" s="52" t="e">
        <f t="shared" si="26"/>
        <v>#N/A</v>
      </c>
      <c r="W39" s="52" t="e">
        <f t="shared" si="27"/>
        <v>#N/A</v>
      </c>
      <c r="X39" s="52" t="e">
        <f t="shared" si="28"/>
        <v>#N/A</v>
      </c>
      <c r="Y39" s="52" t="e">
        <f t="shared" si="29"/>
        <v>#N/A</v>
      </c>
      <c r="Z39" s="52" t="e">
        <f t="shared" si="30"/>
        <v>#N/A</v>
      </c>
      <c r="AA39" s="52" t="e">
        <f t="shared" si="31"/>
        <v>#N/A</v>
      </c>
      <c r="AB39" s="52" t="e">
        <f t="shared" si="32"/>
        <v>#N/A</v>
      </c>
      <c r="AC39" s="52" t="e">
        <f t="shared" si="33"/>
        <v>#N/A</v>
      </c>
      <c r="AD39" s="52" t="e">
        <f t="shared" si="34"/>
        <v>#N/A</v>
      </c>
      <c r="AE39" s="52" t="e">
        <f t="shared" si="35"/>
        <v>#N/A</v>
      </c>
      <c r="AF39" s="52" t="e">
        <f t="shared" si="36"/>
        <v>#N/A</v>
      </c>
      <c r="AG39" s="52" t="e">
        <f t="shared" si="37"/>
        <v>#N/A</v>
      </c>
      <c r="AH39" s="52" t="e">
        <f t="shared" si="38"/>
        <v>#N/A</v>
      </c>
      <c r="AI39" s="53" t="e">
        <f t="shared" si="39"/>
        <v>#N/A</v>
      </c>
      <c r="AJ39" s="52" t="e">
        <f t="shared" si="40"/>
        <v>#N/A</v>
      </c>
    </row>
    <row r="40" spans="1:36" ht="15.75" customHeight="1" x14ac:dyDescent="0.4"/>
    <row r="41" spans="1:36" ht="15.75" customHeight="1" x14ac:dyDescent="0.4"/>
    <row r="42" spans="1:36" ht="15.75" customHeight="1" x14ac:dyDescent="0.4"/>
    <row r="43" spans="1:36" ht="15.75" customHeight="1" x14ac:dyDescent="0.4"/>
    <row r="44" spans="1:36" ht="15.75" customHeight="1" x14ac:dyDescent="0.4"/>
    <row r="45" spans="1:36" ht="15.75" customHeight="1" x14ac:dyDescent="0.4"/>
    <row r="46" spans="1:36" ht="15.75" customHeight="1" x14ac:dyDescent="0.4"/>
    <row r="47" spans="1:36" ht="15.75" customHeight="1" x14ac:dyDescent="0.4"/>
    <row r="48" spans="1:36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</sheetData>
  <mergeCells count="15">
    <mergeCell ref="A1:D2"/>
    <mergeCell ref="AI15:AJ15"/>
    <mergeCell ref="AI29:AJ29"/>
    <mergeCell ref="E28:S28"/>
    <mergeCell ref="T14:AH14"/>
    <mergeCell ref="AI1:AJ1"/>
    <mergeCell ref="AI2:AJ2"/>
    <mergeCell ref="T1:AH1"/>
    <mergeCell ref="E14:S14"/>
    <mergeCell ref="T28:AH28"/>
    <mergeCell ref="AI28:AJ28"/>
    <mergeCell ref="AI14:AJ14"/>
    <mergeCell ref="A28:D28"/>
    <mergeCell ref="E1:N2"/>
    <mergeCell ref="A14:D14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AJ963"/>
  <sheetViews>
    <sheetView showGridLines="0" zoomScaleNormal="100" workbookViewId="0">
      <pane xSplit="4" topLeftCell="E1" activePane="topRight" state="frozen"/>
      <selection pane="topRight" activeCell="W20" sqref="W20"/>
    </sheetView>
  </sheetViews>
  <sheetFormatPr defaultColWidth="14.4609375" defaultRowHeight="14.6" x14ac:dyDescent="0.4"/>
  <cols>
    <col min="1" max="1" width="3.3046875" customWidth="1"/>
    <col min="2" max="2" width="46.3046875" customWidth="1"/>
    <col min="3" max="3" width="16.84375" style="31" customWidth="1"/>
    <col min="4" max="4" width="8.69140625" customWidth="1"/>
    <col min="5" max="19" width="5.15234375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3.69140625" customWidth="1"/>
    <col min="27" max="27" width="15.69140625" customWidth="1"/>
    <col min="28" max="30" width="13.69140625" customWidth="1"/>
    <col min="31" max="31" width="15.69140625" customWidth="1"/>
    <col min="32" max="34" width="13.69140625" customWidth="1"/>
    <col min="35" max="35" width="8.3828125" customWidth="1"/>
    <col min="36" max="36" width="15.53515625" customWidth="1"/>
  </cols>
  <sheetData>
    <row r="1" spans="1:36" ht="15" customHeight="1" x14ac:dyDescent="0.4">
      <c r="A1" s="233" t="s">
        <v>143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35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H2" si="0">MROUND(SUM(T4:T12),1)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139</v>
      </c>
      <c r="M3" s="42" t="s">
        <v>140</v>
      </c>
      <c r="N3" s="42" t="s">
        <v>111</v>
      </c>
      <c r="O3" s="77">
        <v>11</v>
      </c>
      <c r="P3" s="43">
        <v>12</v>
      </c>
      <c r="Q3" s="43">
        <v>13</v>
      </c>
      <c r="R3" s="43">
        <v>14</v>
      </c>
      <c r="S3" s="43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144</v>
      </c>
      <c r="D4" s="49">
        <f>VLOOKUP(C4,'[1]PREÇO ATUAL'!$A:$D,4,0)</f>
        <v>41.43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0">
        <v>1</v>
      </c>
      <c r="P4" s="50">
        <v>1</v>
      </c>
      <c r="Q4" s="50">
        <v>1</v>
      </c>
      <c r="R4" s="50">
        <v>1</v>
      </c>
      <c r="S4" s="50">
        <v>1</v>
      </c>
      <c r="T4" s="52">
        <f t="shared" ref="T4:AH11" si="1">$D4*E4</f>
        <v>41.43</v>
      </c>
      <c r="U4" s="52">
        <f t="shared" si="1"/>
        <v>41.43</v>
      </c>
      <c r="V4" s="52">
        <f t="shared" si="1"/>
        <v>41.43</v>
      </c>
      <c r="W4" s="52">
        <f t="shared" si="1"/>
        <v>41.43</v>
      </c>
      <c r="X4" s="52">
        <f t="shared" si="1"/>
        <v>41.43</v>
      </c>
      <c r="Y4" s="52">
        <f t="shared" si="1"/>
        <v>41.43</v>
      </c>
      <c r="Z4" s="52">
        <f t="shared" si="1"/>
        <v>41.43</v>
      </c>
      <c r="AA4" s="52">
        <f t="shared" si="1"/>
        <v>41.43</v>
      </c>
      <c r="AB4" s="52">
        <f t="shared" si="1"/>
        <v>41.43</v>
      </c>
      <c r="AC4" s="52">
        <f t="shared" si="1"/>
        <v>41.43</v>
      </c>
      <c r="AD4" s="52">
        <f t="shared" si="1"/>
        <v>41.43</v>
      </c>
      <c r="AE4" s="52">
        <f t="shared" si="1"/>
        <v>41.43</v>
      </c>
      <c r="AF4" s="52">
        <f t="shared" si="1"/>
        <v>41.43</v>
      </c>
      <c r="AG4" s="52">
        <f t="shared" si="1"/>
        <v>41.43</v>
      </c>
      <c r="AH4" s="52">
        <f t="shared" si="1"/>
        <v>41.43</v>
      </c>
      <c r="AI4" s="53" t="e">
        <f t="shared" ref="AI4:AI12" si="2">AJ4/$AI$2</f>
        <v>#N/A</v>
      </c>
      <c r="AJ4" s="52">
        <f t="shared" ref="AJ4:AJ12" si="3">SUM(T4:AH4)</f>
        <v>621.44999999999993</v>
      </c>
    </row>
    <row r="5" spans="1:36" ht="15" customHeight="1" x14ac:dyDescent="0.4">
      <c r="A5" s="54">
        <v>2</v>
      </c>
      <c r="B5" s="55" t="s">
        <v>145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70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60">
        <f t="shared" si="1"/>
        <v>35.9</v>
      </c>
      <c r="AD5" s="60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61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146</v>
      </c>
      <c r="D6" s="49">
        <f>VLOOKUP(C6,'[1]PREÇO ATUAL'!$A:$D,4,0)</f>
        <v>84.9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7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84.9</v>
      </c>
      <c r="V6" s="52">
        <f t="shared" si="1"/>
        <v>0</v>
      </c>
      <c r="W6" s="52">
        <f t="shared" si="1"/>
        <v>84.9</v>
      </c>
      <c r="X6" s="52">
        <f t="shared" si="1"/>
        <v>0</v>
      </c>
      <c r="Y6" s="52">
        <f t="shared" si="1"/>
        <v>84.9</v>
      </c>
      <c r="Z6" s="52">
        <f t="shared" si="1"/>
        <v>0</v>
      </c>
      <c r="AA6" s="52">
        <f t="shared" si="1"/>
        <v>84.9</v>
      </c>
      <c r="AB6" s="52">
        <f t="shared" si="1"/>
        <v>0</v>
      </c>
      <c r="AC6" s="52">
        <f t="shared" si="1"/>
        <v>84.9</v>
      </c>
      <c r="AD6" s="52">
        <f t="shared" si="1"/>
        <v>0</v>
      </c>
      <c r="AE6" s="52">
        <f t="shared" si="1"/>
        <v>84.9</v>
      </c>
      <c r="AF6" s="52">
        <f t="shared" si="1"/>
        <v>0</v>
      </c>
      <c r="AG6" s="52">
        <f t="shared" si="1"/>
        <v>84.9</v>
      </c>
      <c r="AH6" s="52">
        <f t="shared" si="1"/>
        <v>0</v>
      </c>
      <c r="AI6" s="53" t="e">
        <f t="shared" si="2"/>
        <v>#N/A</v>
      </c>
      <c r="AJ6" s="52">
        <f t="shared" si="3"/>
        <v>594.29999999999995</v>
      </c>
    </row>
    <row r="7" spans="1:36" ht="15.75" customHeight="1" x14ac:dyDescent="0.4">
      <c r="A7" s="54">
        <v>4</v>
      </c>
      <c r="B7" s="55" t="s">
        <v>147</v>
      </c>
      <c r="C7" s="56" t="s">
        <v>148</v>
      </c>
      <c r="D7" s="57">
        <f>VLOOKUP(C7,'[1]PREÇO ATUAL'!$A:$D,4,0)</f>
        <v>114.24</v>
      </c>
      <c r="E7" s="58"/>
      <c r="F7" s="58"/>
      <c r="G7" s="58"/>
      <c r="H7" s="58"/>
      <c r="I7" s="59"/>
      <c r="J7" s="59">
        <v>4</v>
      </c>
      <c r="K7" s="59"/>
      <c r="L7" s="59"/>
      <c r="M7" s="59"/>
      <c r="N7" s="58"/>
      <c r="O7" s="70"/>
      <c r="P7" s="59">
        <v>4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60">
        <f t="shared" si="1"/>
        <v>456.96</v>
      </c>
      <c r="Z7" s="60">
        <f t="shared" si="1"/>
        <v>0</v>
      </c>
      <c r="AA7" s="60">
        <f t="shared" si="1"/>
        <v>0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456.96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61" t="e">
        <f t="shared" si="2"/>
        <v>#N/A</v>
      </c>
      <c r="AJ7" s="60">
        <f t="shared" si="3"/>
        <v>913.92</v>
      </c>
    </row>
    <row r="8" spans="1:36" ht="15.75" customHeight="1" x14ac:dyDescent="0.4">
      <c r="A8" s="46">
        <v>5</v>
      </c>
      <c r="B8" s="47" t="s">
        <v>149</v>
      </c>
      <c r="C8" s="48" t="s">
        <v>150</v>
      </c>
      <c r="D8" s="49">
        <f>VLOOKUP(C8,'[1]PREÇO ATUAL'!$A:$D,4,0)</f>
        <v>169.01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169.01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169.01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53" t="e">
        <f t="shared" si="2"/>
        <v>#N/A</v>
      </c>
      <c r="AJ8" s="52">
        <f t="shared" si="3"/>
        <v>338.02</v>
      </c>
    </row>
    <row r="9" spans="1:36" ht="15.75" customHeight="1" x14ac:dyDescent="0.4">
      <c r="A9" s="54">
        <v>6</v>
      </c>
      <c r="B9" s="55" t="s">
        <v>122</v>
      </c>
      <c r="C9" s="56" t="s">
        <v>123</v>
      </c>
      <c r="D9" s="57">
        <f>VLOOKUP(C9,'[1]PREÇO ATUAL'!$A:$D,4,0)</f>
        <v>165.97811999999999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62">
        <v>2</v>
      </c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331.95623999999998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61" t="e">
        <f t="shared" si="2"/>
        <v>#N/A</v>
      </c>
      <c r="AJ9" s="60">
        <f t="shared" si="3"/>
        <v>331.95623999999998</v>
      </c>
    </row>
    <row r="10" spans="1:36" ht="15.7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78"/>
      <c r="P10" s="63"/>
      <c r="Q10" s="63"/>
      <c r="R10" s="63"/>
      <c r="S10" s="63"/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52">
        <f t="shared" si="1"/>
        <v>0</v>
      </c>
      <c r="Z10" s="52">
        <f t="shared" si="1"/>
        <v>0</v>
      </c>
      <c r="AA10" s="52">
        <f t="shared" si="1"/>
        <v>0</v>
      </c>
      <c r="AB10" s="52">
        <f t="shared" si="1"/>
        <v>0</v>
      </c>
      <c r="AC10" s="52">
        <f t="shared" si="1"/>
        <v>0</v>
      </c>
      <c r="AD10" s="52">
        <f t="shared" si="1"/>
        <v>0</v>
      </c>
      <c r="AE10" s="52">
        <f t="shared" si="1"/>
        <v>0</v>
      </c>
      <c r="AF10" s="52">
        <f t="shared" si="1"/>
        <v>0</v>
      </c>
      <c r="AG10" s="52">
        <f t="shared" si="1"/>
        <v>0</v>
      </c>
      <c r="AH10" s="52">
        <f t="shared" si="1"/>
        <v>0</v>
      </c>
      <c r="AI10" s="53" t="e">
        <f t="shared" si="2"/>
        <v>#N/A</v>
      </c>
      <c r="AJ10" s="52">
        <f t="shared" si="3"/>
        <v>0</v>
      </c>
    </row>
    <row r="11" spans="1:36" ht="15.75" customHeight="1" x14ac:dyDescent="0.4">
      <c r="A11" s="54">
        <v>8</v>
      </c>
      <c r="B11" s="55" t="s">
        <v>151</v>
      </c>
      <c r="C11" s="56" t="s">
        <v>152</v>
      </c>
      <c r="D11" s="57">
        <v>89.6</v>
      </c>
      <c r="E11" s="64">
        <v>4.7</v>
      </c>
      <c r="F11" s="64">
        <v>4.7</v>
      </c>
      <c r="G11" s="64">
        <v>4.7</v>
      </c>
      <c r="H11" s="64">
        <v>4.7</v>
      </c>
      <c r="I11" s="57">
        <v>4.7</v>
      </c>
      <c r="J11" s="57">
        <v>4.7</v>
      </c>
      <c r="K11" s="57">
        <v>4.7</v>
      </c>
      <c r="L11" s="57">
        <v>4.7</v>
      </c>
      <c r="M11" s="57">
        <v>4.7</v>
      </c>
      <c r="N11" s="64">
        <v>4.7</v>
      </c>
      <c r="O11" s="72">
        <v>4.7</v>
      </c>
      <c r="P11" s="57">
        <v>4.7</v>
      </c>
      <c r="Q11" s="57">
        <v>4.7</v>
      </c>
      <c r="R11" s="57">
        <v>4.7</v>
      </c>
      <c r="S11" s="57">
        <v>4.7</v>
      </c>
      <c r="T11" s="60">
        <f t="shared" si="1"/>
        <v>421.12</v>
      </c>
      <c r="U11" s="60">
        <f t="shared" si="1"/>
        <v>421.12</v>
      </c>
      <c r="V11" s="60">
        <f t="shared" si="1"/>
        <v>421.12</v>
      </c>
      <c r="W11" s="60">
        <f t="shared" si="1"/>
        <v>421.12</v>
      </c>
      <c r="X11" s="60">
        <f t="shared" si="1"/>
        <v>421.12</v>
      </c>
      <c r="Y11" s="60">
        <f t="shared" si="1"/>
        <v>421.12</v>
      </c>
      <c r="Z11" s="60">
        <f t="shared" si="1"/>
        <v>421.12</v>
      </c>
      <c r="AA11" s="60">
        <f t="shared" si="1"/>
        <v>421.12</v>
      </c>
      <c r="AB11" s="60">
        <f t="shared" si="1"/>
        <v>421.12</v>
      </c>
      <c r="AC11" s="60">
        <f t="shared" si="1"/>
        <v>421.12</v>
      </c>
      <c r="AD11" s="60">
        <f t="shared" si="1"/>
        <v>421.12</v>
      </c>
      <c r="AE11" s="60">
        <f t="shared" si="1"/>
        <v>421.12</v>
      </c>
      <c r="AF11" s="60">
        <f t="shared" si="1"/>
        <v>421.12</v>
      </c>
      <c r="AG11" s="60">
        <f t="shared" si="1"/>
        <v>421.12</v>
      </c>
      <c r="AH11" s="60">
        <f t="shared" si="1"/>
        <v>421.12</v>
      </c>
      <c r="AI11" s="61" t="e">
        <f t="shared" si="2"/>
        <v>#N/A</v>
      </c>
      <c r="AJ11" s="60">
        <f t="shared" si="3"/>
        <v>6316.7999999999993</v>
      </c>
    </row>
    <row r="12" spans="1:36" ht="15.7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63">
        <v>0.85</v>
      </c>
      <c r="F12" s="63">
        <v>1.2</v>
      </c>
      <c r="G12" s="63">
        <v>0.9</v>
      </c>
      <c r="H12" s="63">
        <v>1.65</v>
      </c>
      <c r="I12" s="63">
        <v>1</v>
      </c>
      <c r="J12" s="63">
        <v>2.5499999999999998</v>
      </c>
      <c r="K12" s="63">
        <v>0.9</v>
      </c>
      <c r="L12" s="63">
        <v>1.65</v>
      </c>
      <c r="M12" s="63">
        <v>0.9</v>
      </c>
      <c r="N12" s="63">
        <v>1.35</v>
      </c>
      <c r="O12" s="78">
        <v>0.85</v>
      </c>
      <c r="P12" s="63">
        <v>3.1</v>
      </c>
      <c r="Q12" s="63">
        <v>0.85</v>
      </c>
      <c r="R12" s="63">
        <v>1.25</v>
      </c>
      <c r="S12" s="63">
        <v>1.05</v>
      </c>
      <c r="T12" s="52" t="e">
        <f>D12*E12</f>
        <v>#N/A</v>
      </c>
      <c r="U12" s="52" t="e">
        <f t="shared" ref="U12:AH12" si="4">$D12*F12</f>
        <v>#N/A</v>
      </c>
      <c r="V12" s="52" t="e">
        <f t="shared" si="4"/>
        <v>#N/A</v>
      </c>
      <c r="W12" s="52" t="e">
        <f t="shared" si="4"/>
        <v>#N/A</v>
      </c>
      <c r="X12" s="52" t="e">
        <f t="shared" si="4"/>
        <v>#N/A</v>
      </c>
      <c r="Y12" s="52" t="e">
        <f t="shared" si="4"/>
        <v>#N/A</v>
      </c>
      <c r="Z12" s="52" t="e">
        <f t="shared" si="4"/>
        <v>#N/A</v>
      </c>
      <c r="AA12" s="52" t="e">
        <f t="shared" si="4"/>
        <v>#N/A</v>
      </c>
      <c r="AB12" s="52" t="e">
        <f t="shared" si="4"/>
        <v>#N/A</v>
      </c>
      <c r="AC12" s="52" t="e">
        <f t="shared" si="4"/>
        <v>#N/A</v>
      </c>
      <c r="AD12" s="52" t="e">
        <f t="shared" si="4"/>
        <v>#N/A</v>
      </c>
      <c r="AE12" s="52" t="e">
        <f t="shared" si="4"/>
        <v>#N/A</v>
      </c>
      <c r="AF12" s="52" t="e">
        <f t="shared" si="4"/>
        <v>#N/A</v>
      </c>
      <c r="AG12" s="52" t="e">
        <f t="shared" si="4"/>
        <v>#N/A</v>
      </c>
      <c r="AH12" s="52" t="e">
        <f t="shared" si="4"/>
        <v>#N/A</v>
      </c>
      <c r="AI12" s="53" t="e">
        <f t="shared" si="2"/>
        <v>#N/A</v>
      </c>
      <c r="AJ12" s="52" t="e">
        <f t="shared" si="3"/>
        <v>#N/A</v>
      </c>
    </row>
    <row r="13" spans="1:36" ht="15.75" customHeight="1" x14ac:dyDescent="0.4">
      <c r="H13" s="65"/>
      <c r="L13" s="65"/>
    </row>
    <row r="14" spans="1:36" ht="15.75" customHeight="1" x14ac:dyDescent="0.4">
      <c r="H14" s="65"/>
      <c r="L14" s="65"/>
    </row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</sheetData>
  <mergeCells count="5">
    <mergeCell ref="A1:D2"/>
    <mergeCell ref="E1:S2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Z960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3046875" customWidth="1"/>
    <col min="2" max="2" width="48.15234375" customWidth="1"/>
    <col min="3" max="3" width="16.84375" customWidth="1"/>
    <col min="4" max="4" width="7.84375" customWidth="1"/>
    <col min="5" max="5" width="6.3828125" customWidth="1"/>
    <col min="6" max="14" width="5.4609375" customWidth="1"/>
    <col min="15" max="15" width="14.53515625" customWidth="1"/>
    <col min="16" max="16" width="13.4609375" customWidth="1"/>
    <col min="17" max="18" width="15.69140625" customWidth="1"/>
    <col min="19" max="19" width="13.4609375" customWidth="1"/>
    <col min="20" max="20" width="16.84375" customWidth="1"/>
    <col min="21" max="21" width="14.53515625" customWidth="1"/>
    <col min="22" max="22" width="16.84375" customWidth="1"/>
    <col min="23" max="23" width="15.69140625" customWidth="1"/>
    <col min="24" max="24" width="14.53515625" customWidth="1"/>
    <col min="25" max="25" width="7.53515625" customWidth="1"/>
    <col min="26" max="26" width="15.53515625" customWidth="1"/>
  </cols>
  <sheetData>
    <row r="1" spans="1:26" ht="15.75" customHeight="1" x14ac:dyDescent="0.4">
      <c r="A1" s="239" t="s">
        <v>153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MROUND(SUM(O4:O13),1)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" customHeight="1" x14ac:dyDescent="0.4">
      <c r="A4" s="46">
        <v>1</v>
      </c>
      <c r="B4" s="47" t="s">
        <v>154</v>
      </c>
      <c r="C4" s="48" t="s">
        <v>155</v>
      </c>
      <c r="D4" s="49">
        <f>VLOOKUP(C4,'[1]PREÇO ATUAL'!$A:$D,4,0)</f>
        <v>24.15</v>
      </c>
      <c r="E4" s="50"/>
      <c r="F4" s="50"/>
      <c r="G4" s="50">
        <v>4</v>
      </c>
      <c r="H4" s="50"/>
      <c r="I4" s="51"/>
      <c r="J4" s="51">
        <v>4</v>
      </c>
      <c r="K4" s="51"/>
      <c r="L4" s="51"/>
      <c r="M4" s="51">
        <v>4</v>
      </c>
      <c r="N4" s="51"/>
      <c r="O4" s="52">
        <f t="shared" ref="O4:O12" si="1">$D4*E4</f>
        <v>0</v>
      </c>
      <c r="P4" s="52">
        <f t="shared" ref="P4:P12" si="2">$D4*F4</f>
        <v>0</v>
      </c>
      <c r="Q4" s="52">
        <f t="shared" ref="Q4:Q12" si="3">$D4*G4</f>
        <v>96.6</v>
      </c>
      <c r="R4" s="52">
        <f t="shared" ref="R4:R12" si="4">$D4*H4</f>
        <v>0</v>
      </c>
      <c r="S4" s="52">
        <f t="shared" ref="S4:S12" si="5">$D4*I4</f>
        <v>0</v>
      </c>
      <c r="T4" s="52">
        <f t="shared" ref="T4:T12" si="6">$D4*J4</f>
        <v>96.6</v>
      </c>
      <c r="U4" s="52">
        <f t="shared" ref="U4:U12" si="7">$D4*K4</f>
        <v>0</v>
      </c>
      <c r="V4" s="52">
        <f t="shared" ref="V4:V12" si="8">$D4*L4</f>
        <v>0</v>
      </c>
      <c r="W4" s="52">
        <f t="shared" ref="W4:W12" si="9">$D4*M4</f>
        <v>96.6</v>
      </c>
      <c r="X4" s="79">
        <f t="shared" ref="X4:X12" si="10">$D4*N4</f>
        <v>0</v>
      </c>
      <c r="Y4" s="53" t="e">
        <f t="shared" ref="Y4:Y13" si="11">Z4/$Y$2</f>
        <v>#N/A</v>
      </c>
      <c r="Z4" s="52">
        <f t="shared" ref="Z4:Z13" si="12">SUM(O4:X4)</f>
        <v>289.79999999999995</v>
      </c>
    </row>
    <row r="5" spans="1:26" ht="15" customHeight="1" x14ac:dyDescent="0.4">
      <c r="A5" s="54">
        <v>2</v>
      </c>
      <c r="B5" s="55" t="s">
        <v>156</v>
      </c>
      <c r="C5" s="56" t="s">
        <v>157</v>
      </c>
      <c r="D5" s="57">
        <f>VLOOKUP(C5,'[1]PREÇO ATUAL'!$A:$D,4,0)</f>
        <v>136.4</v>
      </c>
      <c r="E5" s="58"/>
      <c r="F5" s="58"/>
      <c r="G5" s="58"/>
      <c r="H5" s="58"/>
      <c r="I5" s="59"/>
      <c r="J5" s="59">
        <v>1</v>
      </c>
      <c r="K5" s="59"/>
      <c r="L5" s="59"/>
      <c r="M5" s="59"/>
      <c r="N5" s="59"/>
      <c r="O5" s="60">
        <f t="shared" si="1"/>
        <v>0</v>
      </c>
      <c r="P5" s="60">
        <f t="shared" si="2"/>
        <v>0</v>
      </c>
      <c r="Q5" s="60">
        <f t="shared" si="3"/>
        <v>0</v>
      </c>
      <c r="R5" s="60">
        <f t="shared" si="4"/>
        <v>0</v>
      </c>
      <c r="S5" s="60">
        <f t="shared" si="5"/>
        <v>0</v>
      </c>
      <c r="T5" s="60">
        <f t="shared" si="6"/>
        <v>136.4</v>
      </c>
      <c r="U5" s="60">
        <f t="shared" si="7"/>
        <v>0</v>
      </c>
      <c r="V5" s="60">
        <f t="shared" si="8"/>
        <v>0</v>
      </c>
      <c r="W5" s="60">
        <f t="shared" si="9"/>
        <v>0</v>
      </c>
      <c r="X5" s="80">
        <f t="shared" si="10"/>
        <v>0</v>
      </c>
      <c r="Y5" s="61" t="e">
        <f t="shared" si="11"/>
        <v>#N/A</v>
      </c>
      <c r="Z5" s="60">
        <f t="shared" si="12"/>
        <v>136.4</v>
      </c>
    </row>
    <row r="6" spans="1:26" ht="15" customHeight="1" x14ac:dyDescent="0.4">
      <c r="A6" s="46">
        <v>3</v>
      </c>
      <c r="B6" s="47" t="s">
        <v>158</v>
      </c>
      <c r="C6" s="48" t="s">
        <v>159</v>
      </c>
      <c r="D6" s="49">
        <f>VLOOKUP(C6,'[1]PREÇO ATUAL'!$A:$D,4,0)</f>
        <v>71.2</v>
      </c>
      <c r="E6" s="50">
        <v>1</v>
      </c>
      <c r="F6" s="50">
        <v>1</v>
      </c>
      <c r="G6" s="50">
        <v>1</v>
      </c>
      <c r="H6" s="50">
        <v>1</v>
      </c>
      <c r="I6" s="51">
        <v>1</v>
      </c>
      <c r="J6" s="51">
        <v>1</v>
      </c>
      <c r="K6" s="51">
        <v>1</v>
      </c>
      <c r="L6" s="51">
        <v>1</v>
      </c>
      <c r="M6" s="51">
        <v>1</v>
      </c>
      <c r="N6" s="51">
        <v>1</v>
      </c>
      <c r="O6" s="52">
        <f t="shared" si="1"/>
        <v>71.2</v>
      </c>
      <c r="P6" s="52">
        <f t="shared" si="2"/>
        <v>71.2</v>
      </c>
      <c r="Q6" s="52">
        <f t="shared" si="3"/>
        <v>71.2</v>
      </c>
      <c r="R6" s="52">
        <f t="shared" si="4"/>
        <v>71.2</v>
      </c>
      <c r="S6" s="52">
        <f t="shared" si="5"/>
        <v>71.2</v>
      </c>
      <c r="T6" s="52">
        <f t="shared" si="6"/>
        <v>71.2</v>
      </c>
      <c r="U6" s="52">
        <f t="shared" si="7"/>
        <v>71.2</v>
      </c>
      <c r="V6" s="52">
        <f t="shared" si="8"/>
        <v>71.2</v>
      </c>
      <c r="W6" s="52">
        <f t="shared" si="9"/>
        <v>71.2</v>
      </c>
      <c r="X6" s="79">
        <f t="shared" si="10"/>
        <v>71.2</v>
      </c>
      <c r="Y6" s="53" t="e">
        <f t="shared" si="11"/>
        <v>#N/A</v>
      </c>
      <c r="Z6" s="52">
        <f t="shared" si="12"/>
        <v>712.00000000000011</v>
      </c>
    </row>
    <row r="7" spans="1:26" ht="15" customHeight="1" x14ac:dyDescent="0.4">
      <c r="A7" s="54">
        <v>4</v>
      </c>
      <c r="B7" s="55" t="s">
        <v>30</v>
      </c>
      <c r="C7" s="56" t="s">
        <v>115</v>
      </c>
      <c r="D7" s="57">
        <f>VLOOKUP(C7,'[1]PREÇO ATUAL'!$A:$D,4,0)</f>
        <v>35.9</v>
      </c>
      <c r="E7" s="58"/>
      <c r="F7" s="58">
        <v>1</v>
      </c>
      <c r="G7" s="58"/>
      <c r="H7" s="58">
        <v>1</v>
      </c>
      <c r="I7" s="59"/>
      <c r="J7" s="59">
        <v>1</v>
      </c>
      <c r="K7" s="59"/>
      <c r="L7" s="59">
        <v>1</v>
      </c>
      <c r="M7" s="59"/>
      <c r="N7" s="59">
        <v>1</v>
      </c>
      <c r="O7" s="60">
        <f t="shared" si="1"/>
        <v>0</v>
      </c>
      <c r="P7" s="60">
        <f t="shared" si="2"/>
        <v>35.9</v>
      </c>
      <c r="Q7" s="60">
        <f t="shared" si="3"/>
        <v>0</v>
      </c>
      <c r="R7" s="60">
        <f t="shared" si="4"/>
        <v>35.9</v>
      </c>
      <c r="S7" s="60">
        <f t="shared" si="5"/>
        <v>0</v>
      </c>
      <c r="T7" s="60">
        <f t="shared" si="6"/>
        <v>35.9</v>
      </c>
      <c r="U7" s="60">
        <f t="shared" si="7"/>
        <v>0</v>
      </c>
      <c r="V7" s="60">
        <f t="shared" si="8"/>
        <v>35.9</v>
      </c>
      <c r="W7" s="60">
        <f t="shared" si="9"/>
        <v>0</v>
      </c>
      <c r="X7" s="80">
        <f t="shared" si="10"/>
        <v>35.9</v>
      </c>
      <c r="Y7" s="61" t="e">
        <f t="shared" si="11"/>
        <v>#N/A</v>
      </c>
      <c r="Z7" s="60">
        <f t="shared" si="12"/>
        <v>179.5</v>
      </c>
    </row>
    <row r="8" spans="1:26" ht="15" customHeight="1" x14ac:dyDescent="0.4">
      <c r="A8" s="46">
        <v>5</v>
      </c>
      <c r="B8" s="47" t="s">
        <v>160</v>
      </c>
      <c r="C8" s="48" t="s">
        <v>161</v>
      </c>
      <c r="D8" s="49">
        <f>VLOOKUP(C8,'[1]PREÇO ATUAL'!$A:$D,4,0)</f>
        <v>83.06</v>
      </c>
      <c r="E8" s="50"/>
      <c r="F8" s="50">
        <v>1</v>
      </c>
      <c r="G8" s="50"/>
      <c r="H8" s="50">
        <v>1</v>
      </c>
      <c r="I8" s="51"/>
      <c r="J8" s="51">
        <v>1</v>
      </c>
      <c r="K8" s="51"/>
      <c r="L8" s="51">
        <v>1</v>
      </c>
      <c r="M8" s="51"/>
      <c r="N8" s="51">
        <v>1</v>
      </c>
      <c r="O8" s="52">
        <f t="shared" si="1"/>
        <v>0</v>
      </c>
      <c r="P8" s="52">
        <f t="shared" si="2"/>
        <v>83.06</v>
      </c>
      <c r="Q8" s="52">
        <f t="shared" si="3"/>
        <v>0</v>
      </c>
      <c r="R8" s="52">
        <f t="shared" si="4"/>
        <v>83.06</v>
      </c>
      <c r="S8" s="52">
        <f t="shared" si="5"/>
        <v>0</v>
      </c>
      <c r="T8" s="52">
        <f t="shared" si="6"/>
        <v>83.06</v>
      </c>
      <c r="U8" s="52">
        <f t="shared" si="7"/>
        <v>0</v>
      </c>
      <c r="V8" s="52">
        <f t="shared" si="8"/>
        <v>83.06</v>
      </c>
      <c r="W8" s="52">
        <f t="shared" si="9"/>
        <v>0</v>
      </c>
      <c r="X8" s="79">
        <f t="shared" si="10"/>
        <v>83.06</v>
      </c>
      <c r="Y8" s="53" t="e">
        <f t="shared" si="11"/>
        <v>#N/A</v>
      </c>
      <c r="Z8" s="52">
        <f t="shared" si="12"/>
        <v>415.3</v>
      </c>
    </row>
    <row r="9" spans="1:26" ht="15" customHeight="1" x14ac:dyDescent="0.4">
      <c r="A9" s="54">
        <v>6</v>
      </c>
      <c r="B9" s="55" t="s">
        <v>162</v>
      </c>
      <c r="C9" s="56" t="s">
        <v>163</v>
      </c>
      <c r="D9" s="57">
        <f>VLOOKUP(C9,'[1]PREÇO ATUAL'!$A:$D,4,0)</f>
        <v>139.9</v>
      </c>
      <c r="E9" s="58"/>
      <c r="F9" s="58"/>
      <c r="G9" s="58"/>
      <c r="H9" s="58"/>
      <c r="I9" s="59"/>
      <c r="J9" s="59">
        <v>1</v>
      </c>
      <c r="K9" s="59"/>
      <c r="L9" s="59"/>
      <c r="M9" s="59"/>
      <c r="N9" s="59"/>
      <c r="O9" s="60">
        <f t="shared" si="1"/>
        <v>0</v>
      </c>
      <c r="P9" s="60">
        <f t="shared" si="2"/>
        <v>0</v>
      </c>
      <c r="Q9" s="60">
        <f t="shared" si="3"/>
        <v>0</v>
      </c>
      <c r="R9" s="60">
        <f t="shared" si="4"/>
        <v>0</v>
      </c>
      <c r="S9" s="60">
        <f t="shared" si="5"/>
        <v>0</v>
      </c>
      <c r="T9" s="60">
        <f t="shared" si="6"/>
        <v>139.9</v>
      </c>
      <c r="U9" s="60">
        <f t="shared" si="7"/>
        <v>0</v>
      </c>
      <c r="V9" s="60">
        <f t="shared" si="8"/>
        <v>0</v>
      </c>
      <c r="W9" s="60">
        <f t="shared" si="9"/>
        <v>0</v>
      </c>
      <c r="X9" s="80">
        <f t="shared" si="10"/>
        <v>0</v>
      </c>
      <c r="Y9" s="61" t="e">
        <f t="shared" si="11"/>
        <v>#N/A</v>
      </c>
      <c r="Z9" s="60">
        <f t="shared" si="12"/>
        <v>139.9</v>
      </c>
    </row>
    <row r="10" spans="1:26" ht="15" customHeight="1" x14ac:dyDescent="0.4">
      <c r="A10" s="46">
        <v>7</v>
      </c>
      <c r="B10" s="47" t="s">
        <v>164</v>
      </c>
      <c r="C10" s="48" t="s">
        <v>165</v>
      </c>
      <c r="D10" s="49">
        <f>VLOOKUP(C10,'[1]PREÇO ATUAL'!$A:$D,4,0)</f>
        <v>25.55</v>
      </c>
      <c r="E10" s="50"/>
      <c r="F10" s="50"/>
      <c r="G10" s="50"/>
      <c r="H10" s="50"/>
      <c r="I10" s="51"/>
      <c r="J10" s="51">
        <v>1</v>
      </c>
      <c r="K10" s="51"/>
      <c r="L10" s="51"/>
      <c r="M10" s="51"/>
      <c r="N10" s="51"/>
      <c r="O10" s="52">
        <f t="shared" si="1"/>
        <v>0</v>
      </c>
      <c r="P10" s="52">
        <f t="shared" si="2"/>
        <v>0</v>
      </c>
      <c r="Q10" s="52">
        <f t="shared" si="3"/>
        <v>0</v>
      </c>
      <c r="R10" s="52">
        <f t="shared" si="4"/>
        <v>0</v>
      </c>
      <c r="S10" s="52">
        <f t="shared" si="5"/>
        <v>0</v>
      </c>
      <c r="T10" s="52">
        <f t="shared" si="6"/>
        <v>25.55</v>
      </c>
      <c r="U10" s="52">
        <f t="shared" si="7"/>
        <v>0</v>
      </c>
      <c r="V10" s="52">
        <f t="shared" si="8"/>
        <v>0</v>
      </c>
      <c r="W10" s="52">
        <f t="shared" si="9"/>
        <v>0</v>
      </c>
      <c r="X10" s="79">
        <f t="shared" si="10"/>
        <v>0</v>
      </c>
      <c r="Y10" s="53" t="e">
        <f t="shared" si="11"/>
        <v>#N/A</v>
      </c>
      <c r="Z10" s="52">
        <f t="shared" si="12"/>
        <v>25.55</v>
      </c>
    </row>
    <row r="11" spans="1:26" ht="15" customHeight="1" x14ac:dyDescent="0.4">
      <c r="A11" s="54">
        <v>8</v>
      </c>
      <c r="B11" s="55" t="s">
        <v>151</v>
      </c>
      <c r="C11" s="56" t="s">
        <v>152</v>
      </c>
      <c r="D11" s="57">
        <v>89.6</v>
      </c>
      <c r="E11" s="64">
        <v>2.8</v>
      </c>
      <c r="F11" s="64">
        <v>2.8</v>
      </c>
      <c r="G11" s="64">
        <v>2.8</v>
      </c>
      <c r="H11" s="64">
        <v>2.8</v>
      </c>
      <c r="I11" s="64">
        <v>2.8</v>
      </c>
      <c r="J11" s="64">
        <v>2.8</v>
      </c>
      <c r="K11" s="64">
        <v>2.8</v>
      </c>
      <c r="L11" s="64">
        <v>2.8</v>
      </c>
      <c r="M11" s="64">
        <v>2.8</v>
      </c>
      <c r="N11" s="64">
        <v>2.8</v>
      </c>
      <c r="O11" s="60">
        <f t="shared" si="1"/>
        <v>250.87999999999997</v>
      </c>
      <c r="P11" s="60">
        <f t="shared" si="2"/>
        <v>250.87999999999997</v>
      </c>
      <c r="Q11" s="60">
        <f t="shared" si="3"/>
        <v>250.87999999999997</v>
      </c>
      <c r="R11" s="60">
        <f t="shared" si="4"/>
        <v>250.87999999999997</v>
      </c>
      <c r="S11" s="60">
        <f t="shared" si="5"/>
        <v>250.87999999999997</v>
      </c>
      <c r="T11" s="60">
        <f t="shared" si="6"/>
        <v>250.87999999999997</v>
      </c>
      <c r="U11" s="60">
        <f t="shared" si="7"/>
        <v>250.87999999999997</v>
      </c>
      <c r="V11" s="60">
        <f t="shared" si="8"/>
        <v>250.87999999999997</v>
      </c>
      <c r="W11" s="60">
        <f t="shared" si="9"/>
        <v>250.87999999999997</v>
      </c>
      <c r="X11" s="80">
        <f t="shared" si="10"/>
        <v>250.87999999999997</v>
      </c>
      <c r="Y11" s="61" t="e">
        <f t="shared" si="11"/>
        <v>#N/A</v>
      </c>
      <c r="Z11" s="60">
        <f t="shared" si="12"/>
        <v>2508.7999999999997</v>
      </c>
    </row>
    <row r="12" spans="1:26" ht="15" customHeight="1" x14ac:dyDescent="0.4">
      <c r="A12" s="46">
        <v>9</v>
      </c>
      <c r="B12" s="47" t="s">
        <v>124</v>
      </c>
      <c r="C12" s="48" t="s">
        <v>125</v>
      </c>
      <c r="D12" s="49">
        <f>VLOOKUP(C12,'[1]PREÇO ATUAL'!$A:$D,4,0)</f>
        <v>33.6224930838505</v>
      </c>
      <c r="E12" s="50"/>
      <c r="F12" s="50"/>
      <c r="G12" s="50"/>
      <c r="H12" s="50"/>
      <c r="I12" s="51"/>
      <c r="J12" s="51"/>
      <c r="K12" s="51"/>
      <c r="L12" s="51"/>
      <c r="M12" s="51"/>
      <c r="N12" s="51"/>
      <c r="O12" s="52">
        <f t="shared" si="1"/>
        <v>0</v>
      </c>
      <c r="P12" s="52">
        <f t="shared" si="2"/>
        <v>0</v>
      </c>
      <c r="Q12" s="52">
        <f t="shared" si="3"/>
        <v>0</v>
      </c>
      <c r="R12" s="52">
        <f t="shared" si="4"/>
        <v>0</v>
      </c>
      <c r="S12" s="52">
        <f t="shared" si="5"/>
        <v>0</v>
      </c>
      <c r="T12" s="52">
        <f t="shared" si="6"/>
        <v>0</v>
      </c>
      <c r="U12" s="52">
        <f t="shared" si="7"/>
        <v>0</v>
      </c>
      <c r="V12" s="52">
        <f t="shared" si="8"/>
        <v>0</v>
      </c>
      <c r="W12" s="52">
        <f t="shared" si="9"/>
        <v>0</v>
      </c>
      <c r="X12" s="79">
        <f t="shared" si="10"/>
        <v>0</v>
      </c>
      <c r="Y12" s="53" t="e">
        <f t="shared" si="11"/>
        <v>#N/A</v>
      </c>
      <c r="Z12" s="52">
        <f t="shared" si="12"/>
        <v>0</v>
      </c>
    </row>
    <row r="13" spans="1:26" ht="15" customHeight="1" x14ac:dyDescent="0.4">
      <c r="A13" s="54">
        <v>10</v>
      </c>
      <c r="B13" s="55" t="s">
        <v>128</v>
      </c>
      <c r="C13" s="56" t="s">
        <v>54</v>
      </c>
      <c r="D13" s="57" t="e">
        <f>VLOOKUP(C13,'[1]PREÇO ATUAL'!$A:$D,4,0)</f>
        <v>#N/A</v>
      </c>
      <c r="E13" s="73">
        <v>0.95</v>
      </c>
      <c r="F13" s="73">
        <v>1.2</v>
      </c>
      <c r="G13" s="73">
        <v>2.1</v>
      </c>
      <c r="H13" s="73">
        <v>1.5</v>
      </c>
      <c r="I13" s="74">
        <v>1.1499999999999999</v>
      </c>
      <c r="J13" s="74">
        <v>4.4000000000000004</v>
      </c>
      <c r="K13" s="74">
        <v>0.95</v>
      </c>
      <c r="L13" s="74">
        <v>1.5</v>
      </c>
      <c r="M13" s="74">
        <v>2.1</v>
      </c>
      <c r="N13" s="74">
        <v>1.3</v>
      </c>
      <c r="O13" s="60" t="e">
        <f>D13*E13</f>
        <v>#N/A</v>
      </c>
      <c r="P13" s="60" t="e">
        <f t="shared" ref="P13:X13" si="13">$D13*F13</f>
        <v>#N/A</v>
      </c>
      <c r="Q13" s="60" t="e">
        <f t="shared" si="13"/>
        <v>#N/A</v>
      </c>
      <c r="R13" s="60" t="e">
        <f t="shared" si="13"/>
        <v>#N/A</v>
      </c>
      <c r="S13" s="60" t="e">
        <f t="shared" si="13"/>
        <v>#N/A</v>
      </c>
      <c r="T13" s="60" t="e">
        <f t="shared" si="13"/>
        <v>#N/A</v>
      </c>
      <c r="U13" s="60" t="e">
        <f t="shared" si="13"/>
        <v>#N/A</v>
      </c>
      <c r="V13" s="60" t="e">
        <f t="shared" si="13"/>
        <v>#N/A</v>
      </c>
      <c r="W13" s="60" t="e">
        <f t="shared" si="13"/>
        <v>#N/A</v>
      </c>
      <c r="X13" s="80" t="e">
        <f t="shared" si="13"/>
        <v>#N/A</v>
      </c>
      <c r="Y13" s="61" t="e">
        <f t="shared" si="11"/>
        <v>#N/A</v>
      </c>
      <c r="Z13" s="60" t="e">
        <f t="shared" si="12"/>
        <v>#N/A</v>
      </c>
    </row>
    <row r="14" spans="1:26" ht="15.75" customHeight="1" x14ac:dyDescent="0.4">
      <c r="H14" s="81"/>
    </row>
    <row r="15" spans="1:26" ht="15.75" customHeight="1" x14ac:dyDescent="0.4">
      <c r="H15" s="81"/>
      <c r="L15" s="81"/>
    </row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Z960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3046875" customWidth="1"/>
    <col min="2" max="2" width="48.15234375" customWidth="1"/>
    <col min="3" max="3" width="16.84375" customWidth="1"/>
    <col min="4" max="4" width="7.84375" customWidth="1"/>
    <col min="5" max="5" width="5.69140625" customWidth="1"/>
    <col min="6" max="14" width="5.4609375" customWidth="1"/>
    <col min="15" max="16" width="14.53515625" customWidth="1"/>
    <col min="17" max="17" width="13.4609375" customWidth="1"/>
    <col min="18" max="18" width="15.3828125" customWidth="1"/>
    <col min="19" max="19" width="13.4609375" customWidth="1"/>
    <col min="20" max="20" width="16.84375" customWidth="1"/>
    <col min="21" max="21" width="14.53515625" customWidth="1"/>
    <col min="22" max="22" width="16.84375" customWidth="1"/>
    <col min="23" max="24" width="14.53515625" customWidth="1"/>
    <col min="25" max="25" width="7.53515625" customWidth="1"/>
    <col min="26" max="26" width="15.53515625" customWidth="1"/>
  </cols>
  <sheetData>
    <row r="1" spans="1:26" ht="15" customHeight="1" x14ac:dyDescent="0.4">
      <c r="A1" s="233" t="s">
        <v>166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MROUND(SUM(O4:O11),1)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2">
        <f t="shared" ref="O4:X10" si="1">$D4*E4</f>
        <v>79.900000000000006</v>
      </c>
      <c r="P4" s="52">
        <f t="shared" si="1"/>
        <v>79.900000000000006</v>
      </c>
      <c r="Q4" s="52">
        <f t="shared" si="1"/>
        <v>79.900000000000006</v>
      </c>
      <c r="R4" s="52">
        <f t="shared" si="1"/>
        <v>79.900000000000006</v>
      </c>
      <c r="S4" s="52">
        <f t="shared" si="1"/>
        <v>79.900000000000006</v>
      </c>
      <c r="T4" s="52">
        <f t="shared" si="1"/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3" t="e">
        <f t="shared" ref="Y4:Y11" si="2">Z4/$Y$2</f>
        <v>#N/A</v>
      </c>
      <c r="Z4" s="52">
        <f t="shared" ref="Z4:Z11" si="3">SUM(O4:X4)</f>
        <v>798.99999999999989</v>
      </c>
    </row>
    <row r="5" spans="1:2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9">
        <v>1</v>
      </c>
      <c r="O5" s="60">
        <f t="shared" si="1"/>
        <v>0</v>
      </c>
      <c r="P5" s="60">
        <f t="shared" si="1"/>
        <v>35.9</v>
      </c>
      <c r="Q5" s="60">
        <f t="shared" si="1"/>
        <v>0</v>
      </c>
      <c r="R5" s="60">
        <f t="shared" si="1"/>
        <v>35.9</v>
      </c>
      <c r="S5" s="60">
        <f t="shared" si="1"/>
        <v>0</v>
      </c>
      <c r="T5" s="60">
        <f t="shared" si="1"/>
        <v>35.9</v>
      </c>
      <c r="U5" s="60">
        <f t="shared" si="1"/>
        <v>0</v>
      </c>
      <c r="V5" s="60">
        <f t="shared" si="1"/>
        <v>35.9</v>
      </c>
      <c r="W5" s="60">
        <f t="shared" si="1"/>
        <v>0</v>
      </c>
      <c r="X5" s="60">
        <f t="shared" si="1"/>
        <v>35.9</v>
      </c>
      <c r="Y5" s="61" t="e">
        <f t="shared" si="2"/>
        <v>#N/A</v>
      </c>
      <c r="Z5" s="60">
        <f t="shared" si="3"/>
        <v>179.5</v>
      </c>
    </row>
    <row r="6" spans="1:26" ht="15.7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2">
        <f t="shared" si="1"/>
        <v>0</v>
      </c>
      <c r="P6" s="52">
        <f t="shared" si="1"/>
        <v>89.9</v>
      </c>
      <c r="Q6" s="52">
        <f t="shared" si="1"/>
        <v>0</v>
      </c>
      <c r="R6" s="52">
        <f t="shared" si="1"/>
        <v>89.9</v>
      </c>
      <c r="S6" s="52">
        <f t="shared" si="1"/>
        <v>0</v>
      </c>
      <c r="T6" s="52">
        <f t="shared" si="1"/>
        <v>89.9</v>
      </c>
      <c r="U6" s="52">
        <f t="shared" si="1"/>
        <v>0</v>
      </c>
      <c r="V6" s="52">
        <f t="shared" si="1"/>
        <v>89.9</v>
      </c>
      <c r="W6" s="52">
        <f t="shared" si="1"/>
        <v>0</v>
      </c>
      <c r="X6" s="52">
        <f t="shared" si="1"/>
        <v>89.9</v>
      </c>
      <c r="Y6" s="53" t="e">
        <f t="shared" si="2"/>
        <v>#N/A</v>
      </c>
      <c r="Z6" s="52">
        <f t="shared" si="3"/>
        <v>449.5</v>
      </c>
    </row>
    <row r="7" spans="1:26" ht="15.75" customHeight="1" x14ac:dyDescent="0.4">
      <c r="A7" s="54">
        <v>4</v>
      </c>
      <c r="B7" s="55" t="s">
        <v>167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3</v>
      </c>
      <c r="I7" s="59"/>
      <c r="J7" s="59"/>
      <c r="K7" s="59"/>
      <c r="L7" s="59">
        <v>3</v>
      </c>
      <c r="M7" s="59"/>
      <c r="N7" s="59"/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527.70000000000005</v>
      </c>
      <c r="S7" s="60">
        <f t="shared" si="1"/>
        <v>0</v>
      </c>
      <c r="T7" s="60">
        <f t="shared" si="1"/>
        <v>0</v>
      </c>
      <c r="U7" s="60">
        <f t="shared" si="1"/>
        <v>0</v>
      </c>
      <c r="V7" s="60">
        <f t="shared" si="1"/>
        <v>527.70000000000005</v>
      </c>
      <c r="W7" s="60">
        <f t="shared" si="1"/>
        <v>0</v>
      </c>
      <c r="X7" s="60">
        <f t="shared" si="1"/>
        <v>0</v>
      </c>
      <c r="Y7" s="61" t="e">
        <f t="shared" si="2"/>
        <v>#N/A</v>
      </c>
      <c r="Z7" s="60">
        <f t="shared" si="3"/>
        <v>1055.4000000000001</v>
      </c>
    </row>
    <row r="8" spans="1:26" ht="15.7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2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143.22999999999999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3" t="e">
        <f t="shared" si="2"/>
        <v>#N/A</v>
      </c>
      <c r="Z8" s="52">
        <f t="shared" si="3"/>
        <v>143.22999999999999</v>
      </c>
    </row>
    <row r="9" spans="1:26" ht="15.7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58"/>
      <c r="F9" s="58"/>
      <c r="G9" s="58"/>
      <c r="H9" s="58"/>
      <c r="I9" s="59"/>
      <c r="J9" s="59"/>
      <c r="K9" s="59"/>
      <c r="L9" s="59"/>
      <c r="M9" s="59"/>
      <c r="N9" s="59"/>
      <c r="O9" s="60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1" t="e">
        <f t="shared" si="2"/>
        <v>#N/A</v>
      </c>
      <c r="Z9" s="60">
        <f t="shared" si="3"/>
        <v>0</v>
      </c>
    </row>
    <row r="10" spans="1:26" ht="15.75" customHeight="1" x14ac:dyDescent="0.4">
      <c r="A10" s="46">
        <v>7</v>
      </c>
      <c r="B10" s="47" t="s">
        <v>126</v>
      </c>
      <c r="C10" s="48" t="s">
        <v>127</v>
      </c>
      <c r="D10" s="49">
        <f>VLOOKUP(C10,'[1]PREÇO ATUAL'!$A:$D,4,0)</f>
        <v>81.260000000000005</v>
      </c>
      <c r="E10" s="63">
        <v>2.54</v>
      </c>
      <c r="F10" s="63">
        <v>2.54</v>
      </c>
      <c r="G10" s="63">
        <v>2.54</v>
      </c>
      <c r="H10" s="63">
        <v>2.54</v>
      </c>
      <c r="I10" s="49">
        <v>2.54</v>
      </c>
      <c r="J10" s="49">
        <v>2.54</v>
      </c>
      <c r="K10" s="49">
        <v>2.54</v>
      </c>
      <c r="L10" s="49">
        <v>2.54</v>
      </c>
      <c r="M10" s="49">
        <v>2.54</v>
      </c>
      <c r="N10" s="49">
        <v>2.54</v>
      </c>
      <c r="O10" s="52">
        <f t="shared" si="1"/>
        <v>206.40040000000002</v>
      </c>
      <c r="P10" s="52">
        <f t="shared" si="1"/>
        <v>206.40040000000002</v>
      </c>
      <c r="Q10" s="52">
        <f t="shared" si="1"/>
        <v>206.40040000000002</v>
      </c>
      <c r="R10" s="52">
        <f t="shared" si="1"/>
        <v>206.40040000000002</v>
      </c>
      <c r="S10" s="52">
        <f t="shared" si="1"/>
        <v>206.40040000000002</v>
      </c>
      <c r="T10" s="52">
        <f t="shared" si="1"/>
        <v>206.40040000000002</v>
      </c>
      <c r="U10" s="52">
        <f t="shared" si="1"/>
        <v>206.40040000000002</v>
      </c>
      <c r="V10" s="52">
        <f t="shared" si="1"/>
        <v>206.40040000000002</v>
      </c>
      <c r="W10" s="52">
        <f t="shared" si="1"/>
        <v>206.40040000000002</v>
      </c>
      <c r="X10" s="52">
        <f t="shared" si="1"/>
        <v>206.40040000000002</v>
      </c>
      <c r="Y10" s="53" t="e">
        <f t="shared" si="2"/>
        <v>#N/A</v>
      </c>
      <c r="Z10" s="52">
        <f t="shared" si="3"/>
        <v>2064.0040000000004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64">
        <v>0.85</v>
      </c>
      <c r="F11" s="64">
        <v>1.1000000000000001</v>
      </c>
      <c r="G11" s="64">
        <v>0.95</v>
      </c>
      <c r="H11" s="64">
        <v>1.4</v>
      </c>
      <c r="I11" s="57">
        <v>1</v>
      </c>
      <c r="J11" s="57">
        <v>1.8</v>
      </c>
      <c r="K11" s="57">
        <v>0.85</v>
      </c>
      <c r="L11" s="57">
        <v>1.4</v>
      </c>
      <c r="M11" s="57">
        <v>0.95</v>
      </c>
      <c r="N11" s="57">
        <v>1.25</v>
      </c>
      <c r="O11" s="60" t="e">
        <f>D11*E11</f>
        <v>#N/A</v>
      </c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1" t="e">
        <f t="shared" si="2"/>
        <v>#N/A</v>
      </c>
      <c r="Z11" s="60" t="e">
        <f t="shared" si="3"/>
        <v>#N/A</v>
      </c>
    </row>
    <row r="12" spans="1:26" ht="15.75" customHeight="1" x14ac:dyDescent="0.4">
      <c r="H12" s="65"/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Z959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3046875" customWidth="1"/>
    <col min="2" max="2" width="48.15234375" customWidth="1"/>
    <col min="3" max="3" width="16.84375" customWidth="1"/>
    <col min="4" max="4" width="7.84375" customWidth="1"/>
    <col min="5" max="5" width="5.84375" customWidth="1"/>
    <col min="6" max="14" width="5.4609375" customWidth="1"/>
    <col min="15" max="15" width="14.53515625" customWidth="1"/>
    <col min="16" max="17" width="13.4609375" customWidth="1"/>
    <col min="18" max="18" width="15.3828125" customWidth="1"/>
    <col min="19" max="19" width="13.4609375" customWidth="1"/>
    <col min="20" max="20" width="16.84375" customWidth="1"/>
    <col min="21" max="21" width="14.53515625" customWidth="1"/>
    <col min="22" max="22" width="16.84375" customWidth="1"/>
    <col min="23" max="24" width="14.53515625" customWidth="1"/>
    <col min="25" max="25" width="7.53515625" customWidth="1"/>
    <col min="26" max="26" width="15.53515625" customWidth="1"/>
  </cols>
  <sheetData>
    <row r="1" spans="1:26" ht="15.75" customHeight="1" x14ac:dyDescent="0.4">
      <c r="A1" s="233" t="s">
        <v>168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35" t="s">
        <v>2</v>
      </c>
      <c r="P1" s="223"/>
      <c r="Q1" s="223"/>
      <c r="R1" s="223"/>
      <c r="S1" s="223"/>
      <c r="T1" s="223"/>
      <c r="U1" s="223"/>
      <c r="V1" s="223"/>
      <c r="W1" s="223"/>
      <c r="X1" s="223"/>
      <c r="Y1" s="232" t="s">
        <v>3</v>
      </c>
      <c r="Z1" s="209"/>
    </row>
    <row r="2" spans="1:26" ht="15.7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MROUND(SUM(O4:O11),1)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.7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.7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2">
        <f t="shared" ref="O4:X10" si="1">$D4*E4</f>
        <v>79.900000000000006</v>
      </c>
      <c r="P4" s="52">
        <f t="shared" si="1"/>
        <v>79.900000000000006</v>
      </c>
      <c r="Q4" s="52">
        <f t="shared" si="1"/>
        <v>79.900000000000006</v>
      </c>
      <c r="R4" s="52">
        <f t="shared" si="1"/>
        <v>79.900000000000006</v>
      </c>
      <c r="S4" s="52">
        <f t="shared" si="1"/>
        <v>79.900000000000006</v>
      </c>
      <c r="T4" s="52">
        <f t="shared" si="1"/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3" t="e">
        <f t="shared" ref="Y4:Y11" si="2">Z4/$Y$2</f>
        <v>#N/A</v>
      </c>
      <c r="Z4" s="52">
        <f t="shared" ref="Z4:Z11" si="3">SUM(O4:X4)</f>
        <v>798.99999999999989</v>
      </c>
    </row>
    <row r="5" spans="1:26" ht="15.7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9">
        <v>1</v>
      </c>
      <c r="O5" s="60">
        <f t="shared" si="1"/>
        <v>0</v>
      </c>
      <c r="P5" s="60">
        <f t="shared" si="1"/>
        <v>35.9</v>
      </c>
      <c r="Q5" s="60">
        <f t="shared" si="1"/>
        <v>0</v>
      </c>
      <c r="R5" s="60">
        <f t="shared" si="1"/>
        <v>35.9</v>
      </c>
      <c r="S5" s="60">
        <f t="shared" si="1"/>
        <v>0</v>
      </c>
      <c r="T5" s="60">
        <f t="shared" si="1"/>
        <v>35.9</v>
      </c>
      <c r="U5" s="60">
        <f t="shared" si="1"/>
        <v>0</v>
      </c>
      <c r="V5" s="60">
        <f t="shared" si="1"/>
        <v>35.9</v>
      </c>
      <c r="W5" s="60">
        <f t="shared" si="1"/>
        <v>0</v>
      </c>
      <c r="X5" s="60">
        <f t="shared" si="1"/>
        <v>35.9</v>
      </c>
      <c r="Y5" s="61" t="e">
        <f t="shared" si="2"/>
        <v>#N/A</v>
      </c>
      <c r="Z5" s="60">
        <f t="shared" si="3"/>
        <v>179.5</v>
      </c>
    </row>
    <row r="6" spans="1:26" ht="15.7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2">
        <f t="shared" si="1"/>
        <v>0</v>
      </c>
      <c r="P6" s="52">
        <f t="shared" si="1"/>
        <v>89.9</v>
      </c>
      <c r="Q6" s="52">
        <f t="shared" si="1"/>
        <v>0</v>
      </c>
      <c r="R6" s="52">
        <f t="shared" si="1"/>
        <v>89.9</v>
      </c>
      <c r="S6" s="52">
        <f t="shared" si="1"/>
        <v>0</v>
      </c>
      <c r="T6" s="52">
        <f t="shared" si="1"/>
        <v>89.9</v>
      </c>
      <c r="U6" s="52">
        <f t="shared" si="1"/>
        <v>0</v>
      </c>
      <c r="V6" s="52">
        <f t="shared" si="1"/>
        <v>89.9</v>
      </c>
      <c r="W6" s="52">
        <f t="shared" si="1"/>
        <v>0</v>
      </c>
      <c r="X6" s="52">
        <f t="shared" si="1"/>
        <v>89.9</v>
      </c>
      <c r="Y6" s="53" t="e">
        <f t="shared" si="2"/>
        <v>#N/A</v>
      </c>
      <c r="Z6" s="52">
        <f t="shared" si="3"/>
        <v>449.5</v>
      </c>
    </row>
    <row r="7" spans="1:26" ht="15.75" customHeight="1" x14ac:dyDescent="0.4">
      <c r="A7" s="54">
        <v>4</v>
      </c>
      <c r="B7" s="55" t="s">
        <v>167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4</v>
      </c>
      <c r="I7" s="59"/>
      <c r="J7" s="59"/>
      <c r="K7" s="59"/>
      <c r="L7" s="59">
        <v>4</v>
      </c>
      <c r="M7" s="59"/>
      <c r="N7" s="59"/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703.6</v>
      </c>
      <c r="S7" s="60">
        <f t="shared" si="1"/>
        <v>0</v>
      </c>
      <c r="T7" s="60">
        <f t="shared" si="1"/>
        <v>0</v>
      </c>
      <c r="U7" s="60">
        <f t="shared" si="1"/>
        <v>0</v>
      </c>
      <c r="V7" s="60">
        <f t="shared" si="1"/>
        <v>703.6</v>
      </c>
      <c r="W7" s="60">
        <f t="shared" si="1"/>
        <v>0</v>
      </c>
      <c r="X7" s="60">
        <f t="shared" si="1"/>
        <v>0</v>
      </c>
      <c r="Y7" s="61" t="e">
        <f t="shared" si="2"/>
        <v>#N/A</v>
      </c>
      <c r="Z7" s="60">
        <f t="shared" si="3"/>
        <v>1407.2</v>
      </c>
    </row>
    <row r="8" spans="1:26" ht="15.7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2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143.22999999999999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3" t="e">
        <f t="shared" si="2"/>
        <v>#N/A</v>
      </c>
      <c r="Z8" s="52">
        <f t="shared" si="3"/>
        <v>143.22999999999999</v>
      </c>
    </row>
    <row r="9" spans="1:26" ht="15.7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58"/>
      <c r="F9" s="58"/>
      <c r="G9" s="58"/>
      <c r="H9" s="58"/>
      <c r="I9" s="59"/>
      <c r="J9" s="59"/>
      <c r="K9" s="59"/>
      <c r="L9" s="59"/>
      <c r="M9" s="59"/>
      <c r="N9" s="59"/>
      <c r="O9" s="60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1" t="e">
        <f t="shared" si="2"/>
        <v>#N/A</v>
      </c>
      <c r="Z9" s="60">
        <f t="shared" si="3"/>
        <v>0</v>
      </c>
    </row>
    <row r="10" spans="1:26" ht="15.75" customHeight="1" x14ac:dyDescent="0.4">
      <c r="A10" s="46">
        <v>7</v>
      </c>
      <c r="B10" s="47" t="s">
        <v>126</v>
      </c>
      <c r="C10" s="48" t="s">
        <v>127</v>
      </c>
      <c r="D10" s="49">
        <f>VLOOKUP(C10,'[1]PREÇO ATUAL'!$A:$D,4,0)</f>
        <v>81.260000000000005</v>
      </c>
      <c r="E10" s="63">
        <v>3.36</v>
      </c>
      <c r="F10" s="63">
        <v>3.36</v>
      </c>
      <c r="G10" s="63">
        <v>3.36</v>
      </c>
      <c r="H10" s="63">
        <v>3.36</v>
      </c>
      <c r="I10" s="63">
        <v>3.36</v>
      </c>
      <c r="J10" s="63">
        <v>3.36</v>
      </c>
      <c r="K10" s="63">
        <v>3.36</v>
      </c>
      <c r="L10" s="63">
        <v>3.36</v>
      </c>
      <c r="M10" s="63">
        <v>3.36</v>
      </c>
      <c r="N10" s="63">
        <v>3.36</v>
      </c>
      <c r="O10" s="52">
        <f t="shared" si="1"/>
        <v>273.03360000000004</v>
      </c>
      <c r="P10" s="52">
        <f t="shared" si="1"/>
        <v>273.03360000000004</v>
      </c>
      <c r="Q10" s="52">
        <f t="shared" si="1"/>
        <v>273.03360000000004</v>
      </c>
      <c r="R10" s="52">
        <f t="shared" si="1"/>
        <v>273.03360000000004</v>
      </c>
      <c r="S10" s="52">
        <f t="shared" si="1"/>
        <v>273.03360000000004</v>
      </c>
      <c r="T10" s="52">
        <f t="shared" si="1"/>
        <v>273.03360000000004</v>
      </c>
      <c r="U10" s="52">
        <f t="shared" si="1"/>
        <v>273.03360000000004</v>
      </c>
      <c r="V10" s="52">
        <f t="shared" si="1"/>
        <v>273.03360000000004</v>
      </c>
      <c r="W10" s="52">
        <f t="shared" si="1"/>
        <v>273.03360000000004</v>
      </c>
      <c r="X10" s="52">
        <f t="shared" si="1"/>
        <v>273.03360000000004</v>
      </c>
      <c r="Y10" s="53" t="e">
        <f t="shared" si="2"/>
        <v>#N/A</v>
      </c>
      <c r="Z10" s="52">
        <f t="shared" si="3"/>
        <v>2730.3360000000007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64">
        <v>0.85</v>
      </c>
      <c r="F11" s="64">
        <v>1.1000000000000001</v>
      </c>
      <c r="G11" s="64">
        <v>0.95</v>
      </c>
      <c r="H11" s="64">
        <v>1.4</v>
      </c>
      <c r="I11" s="57">
        <v>1</v>
      </c>
      <c r="J11" s="57">
        <v>1.8</v>
      </c>
      <c r="K11" s="57">
        <v>0.85</v>
      </c>
      <c r="L11" s="57">
        <v>1.4</v>
      </c>
      <c r="M11" s="57">
        <v>0.95</v>
      </c>
      <c r="N11" s="57">
        <v>1.25</v>
      </c>
      <c r="O11" s="60" t="e">
        <f>D11*E11</f>
        <v>#N/A</v>
      </c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1" t="e">
        <f t="shared" si="2"/>
        <v>#N/A</v>
      </c>
      <c r="Z11" s="60" t="e">
        <f t="shared" si="3"/>
        <v>#N/A</v>
      </c>
    </row>
    <row r="12" spans="1:26" ht="15.75" customHeight="1" x14ac:dyDescent="0.4"/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AF973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44.84375" customWidth="1"/>
    <col min="3" max="3" width="16.84375" customWidth="1"/>
    <col min="4" max="4" width="7.84375" customWidth="1"/>
    <col min="5" max="9" width="5.4609375" customWidth="1"/>
    <col min="10" max="10" width="5.3046875" customWidth="1"/>
    <col min="11" max="14" width="5.4609375" customWidth="1"/>
    <col min="15" max="16" width="14.53515625" customWidth="1"/>
    <col min="17" max="17" width="15.69140625" customWidth="1"/>
    <col min="18" max="19" width="14.53515625" customWidth="1"/>
    <col min="20" max="20" width="16.84375" customWidth="1"/>
    <col min="21" max="22" width="14.53515625" customWidth="1"/>
    <col min="23" max="23" width="15.69140625" customWidth="1"/>
    <col min="24" max="24" width="14.53515625" customWidth="1"/>
    <col min="25" max="25" width="8.3828125" customWidth="1"/>
    <col min="26" max="26" width="15.53515625" customWidth="1"/>
    <col min="27" max="27" width="11.69140625" customWidth="1"/>
    <col min="28" max="28" width="9.15234375" customWidth="1"/>
    <col min="29" max="29" width="11.3828125" customWidth="1"/>
    <col min="30" max="32" width="9.15234375" customWidth="1"/>
  </cols>
  <sheetData>
    <row r="1" spans="1:32" ht="15" customHeight="1" x14ac:dyDescent="0.4">
      <c r="A1" s="233" t="s">
        <v>169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35" t="s">
        <v>2</v>
      </c>
      <c r="P1" s="223"/>
      <c r="Q1" s="223"/>
      <c r="R1" s="223"/>
      <c r="S1" s="223"/>
      <c r="T1" s="223"/>
      <c r="U1" s="223"/>
      <c r="V1" s="223"/>
      <c r="W1" s="223"/>
      <c r="X1" s="223"/>
      <c r="Y1" s="232" t="s">
        <v>3</v>
      </c>
      <c r="Z1" s="209"/>
    </row>
    <row r="2" spans="1:32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MROUND(SUM(O4:O13),1)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32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32" ht="15" customHeight="1" x14ac:dyDescent="0.4">
      <c r="A4" s="46">
        <v>1</v>
      </c>
      <c r="B4" s="47" t="s">
        <v>154</v>
      </c>
      <c r="C4" s="48" t="s">
        <v>155</v>
      </c>
      <c r="D4" s="49">
        <f>VLOOKUP(C4,'[1]PREÇO ATUAL'!$A:$D,4,0)</f>
        <v>24.15</v>
      </c>
      <c r="E4" s="50"/>
      <c r="F4" s="50"/>
      <c r="G4" s="50">
        <v>4</v>
      </c>
      <c r="H4" s="50"/>
      <c r="I4" s="51"/>
      <c r="J4" s="51">
        <v>4</v>
      </c>
      <c r="K4" s="51"/>
      <c r="L4" s="51"/>
      <c r="M4" s="51">
        <v>4</v>
      </c>
      <c r="N4" s="51"/>
      <c r="O4" s="52">
        <f t="shared" ref="O4:O12" si="1">$D4*E4</f>
        <v>0</v>
      </c>
      <c r="P4" s="52">
        <f t="shared" ref="P4:P12" si="2">$D4*F4</f>
        <v>0</v>
      </c>
      <c r="Q4" s="52">
        <f t="shared" ref="Q4:Q12" si="3">$D4*G4</f>
        <v>96.6</v>
      </c>
      <c r="R4" s="52">
        <f t="shared" ref="R4:R12" si="4">$D4*H4</f>
        <v>0</v>
      </c>
      <c r="S4" s="52">
        <f t="shared" ref="S4:S12" si="5">$D4*I4</f>
        <v>0</v>
      </c>
      <c r="T4" s="52">
        <f t="shared" ref="T4:T12" si="6">$D4*J4</f>
        <v>96.6</v>
      </c>
      <c r="U4" s="52">
        <f t="shared" ref="U4:U12" si="7">$D4*K4</f>
        <v>0</v>
      </c>
      <c r="V4" s="52">
        <f t="shared" ref="V4:V12" si="8">$D4*L4</f>
        <v>0</v>
      </c>
      <c r="W4" s="52">
        <f t="shared" ref="W4:W12" si="9">$D4*M4</f>
        <v>96.6</v>
      </c>
      <c r="X4" s="52">
        <f t="shared" ref="X4:X12" si="10">$D4*N4</f>
        <v>0</v>
      </c>
      <c r="Y4" s="82" t="e">
        <f t="shared" ref="Y4:Y13" si="11">Z4/$Y$2</f>
        <v>#N/A</v>
      </c>
      <c r="Z4" s="52">
        <f t="shared" ref="Z4:Z13" si="12">SUM(O4:X4)</f>
        <v>289.79999999999995</v>
      </c>
    </row>
    <row r="5" spans="1:32" ht="15" customHeight="1" x14ac:dyDescent="0.4">
      <c r="A5" s="54">
        <v>2</v>
      </c>
      <c r="B5" s="55" t="s">
        <v>158</v>
      </c>
      <c r="C5" s="56" t="s">
        <v>159</v>
      </c>
      <c r="D5" s="57">
        <f>VLOOKUP(C5,'[1]PREÇO ATUAL'!$A:$D,4,0)</f>
        <v>71.2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9">
        <v>1</v>
      </c>
      <c r="O5" s="60">
        <f t="shared" si="1"/>
        <v>71.2</v>
      </c>
      <c r="P5" s="60">
        <f t="shared" si="2"/>
        <v>71.2</v>
      </c>
      <c r="Q5" s="60">
        <f t="shared" si="3"/>
        <v>71.2</v>
      </c>
      <c r="R5" s="60">
        <f t="shared" si="4"/>
        <v>71.2</v>
      </c>
      <c r="S5" s="60">
        <f t="shared" si="5"/>
        <v>71.2</v>
      </c>
      <c r="T5" s="60">
        <f t="shared" si="6"/>
        <v>71.2</v>
      </c>
      <c r="U5" s="60">
        <f t="shared" si="7"/>
        <v>71.2</v>
      </c>
      <c r="V5" s="60">
        <f t="shared" si="8"/>
        <v>71.2</v>
      </c>
      <c r="W5" s="60">
        <f t="shared" si="9"/>
        <v>71.2</v>
      </c>
      <c r="X5" s="60">
        <f t="shared" si="10"/>
        <v>71.2</v>
      </c>
      <c r="Y5" s="83" t="e">
        <f t="shared" si="11"/>
        <v>#N/A</v>
      </c>
      <c r="Z5" s="60">
        <f t="shared" si="12"/>
        <v>712.00000000000011</v>
      </c>
    </row>
    <row r="6" spans="1:32" ht="15" customHeight="1" x14ac:dyDescent="0.4">
      <c r="A6" s="46">
        <v>3</v>
      </c>
      <c r="B6" s="47" t="s">
        <v>30</v>
      </c>
      <c r="C6" s="48" t="s">
        <v>115</v>
      </c>
      <c r="D6" s="49">
        <f>VLOOKUP(C6,'[1]PREÇO ATUAL'!$A:$D,4,0)</f>
        <v>35.9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2">
        <f t="shared" si="1"/>
        <v>0</v>
      </c>
      <c r="P6" s="52">
        <f t="shared" si="2"/>
        <v>35.9</v>
      </c>
      <c r="Q6" s="52">
        <f t="shared" si="3"/>
        <v>0</v>
      </c>
      <c r="R6" s="52">
        <f t="shared" si="4"/>
        <v>35.9</v>
      </c>
      <c r="S6" s="52">
        <f t="shared" si="5"/>
        <v>0</v>
      </c>
      <c r="T6" s="52">
        <f t="shared" si="6"/>
        <v>35.9</v>
      </c>
      <c r="U6" s="52">
        <f t="shared" si="7"/>
        <v>0</v>
      </c>
      <c r="V6" s="52">
        <f t="shared" si="8"/>
        <v>35.9</v>
      </c>
      <c r="W6" s="52">
        <f t="shared" si="9"/>
        <v>0</v>
      </c>
      <c r="X6" s="52">
        <f t="shared" si="10"/>
        <v>35.9</v>
      </c>
      <c r="Y6" s="82" t="e">
        <f t="shared" si="11"/>
        <v>#N/A</v>
      </c>
      <c r="Z6" s="52">
        <f t="shared" si="12"/>
        <v>179.5</v>
      </c>
    </row>
    <row r="7" spans="1:32" ht="15" customHeight="1" x14ac:dyDescent="0.4">
      <c r="A7" s="54">
        <v>4</v>
      </c>
      <c r="B7" s="55" t="s">
        <v>160</v>
      </c>
      <c r="C7" s="56" t="s">
        <v>170</v>
      </c>
      <c r="D7" s="57">
        <f>VLOOKUP(C7,'[1]PREÇO ATUAL'!$A:$D,4,0)</f>
        <v>45.9</v>
      </c>
      <c r="E7" s="58"/>
      <c r="F7" s="58">
        <v>1</v>
      </c>
      <c r="G7" s="58"/>
      <c r="H7" s="58">
        <v>1</v>
      </c>
      <c r="I7" s="59"/>
      <c r="J7" s="59">
        <v>1</v>
      </c>
      <c r="K7" s="59"/>
      <c r="L7" s="59">
        <v>1</v>
      </c>
      <c r="M7" s="59"/>
      <c r="N7" s="59">
        <v>1</v>
      </c>
      <c r="O7" s="60">
        <f t="shared" si="1"/>
        <v>0</v>
      </c>
      <c r="P7" s="60">
        <f t="shared" si="2"/>
        <v>45.9</v>
      </c>
      <c r="Q7" s="60">
        <f t="shared" si="3"/>
        <v>0</v>
      </c>
      <c r="R7" s="60">
        <f t="shared" si="4"/>
        <v>45.9</v>
      </c>
      <c r="S7" s="60">
        <f t="shared" si="5"/>
        <v>0</v>
      </c>
      <c r="T7" s="60">
        <f t="shared" si="6"/>
        <v>45.9</v>
      </c>
      <c r="U7" s="60">
        <f t="shared" si="7"/>
        <v>0</v>
      </c>
      <c r="V7" s="60">
        <f t="shared" si="8"/>
        <v>45.9</v>
      </c>
      <c r="W7" s="60">
        <f t="shared" si="9"/>
        <v>0</v>
      </c>
      <c r="X7" s="60">
        <f t="shared" si="10"/>
        <v>45.9</v>
      </c>
      <c r="Y7" s="83" t="e">
        <f t="shared" si="11"/>
        <v>#N/A</v>
      </c>
      <c r="Z7" s="60">
        <f t="shared" si="12"/>
        <v>229.5</v>
      </c>
    </row>
    <row r="8" spans="1:32" ht="15" customHeight="1" x14ac:dyDescent="0.4">
      <c r="A8" s="46">
        <v>5</v>
      </c>
      <c r="B8" s="47" t="s">
        <v>162</v>
      </c>
      <c r="C8" s="48" t="s">
        <v>163</v>
      </c>
      <c r="D8" s="49">
        <f>VLOOKUP(C8,'[1]PREÇO ATUAL'!$A:$D,4,0)</f>
        <v>139.9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2">
        <f t="shared" si="1"/>
        <v>0</v>
      </c>
      <c r="P8" s="52">
        <f t="shared" si="2"/>
        <v>0</v>
      </c>
      <c r="Q8" s="52">
        <f t="shared" si="3"/>
        <v>0</v>
      </c>
      <c r="R8" s="52">
        <f t="shared" si="4"/>
        <v>0</v>
      </c>
      <c r="S8" s="52">
        <f t="shared" si="5"/>
        <v>0</v>
      </c>
      <c r="T8" s="52">
        <f t="shared" si="6"/>
        <v>139.9</v>
      </c>
      <c r="U8" s="52">
        <f t="shared" si="7"/>
        <v>0</v>
      </c>
      <c r="V8" s="52">
        <f t="shared" si="8"/>
        <v>0</v>
      </c>
      <c r="W8" s="52">
        <f t="shared" si="9"/>
        <v>0</v>
      </c>
      <c r="X8" s="52">
        <f t="shared" si="10"/>
        <v>0</v>
      </c>
      <c r="Y8" s="82" t="e">
        <f t="shared" si="11"/>
        <v>#N/A</v>
      </c>
      <c r="Z8" s="52">
        <f t="shared" si="12"/>
        <v>139.9</v>
      </c>
    </row>
    <row r="9" spans="1:32" ht="15" customHeight="1" x14ac:dyDescent="0.4">
      <c r="A9" s="54">
        <v>6</v>
      </c>
      <c r="B9" s="55" t="s">
        <v>164</v>
      </c>
      <c r="C9" s="56" t="s">
        <v>165</v>
      </c>
      <c r="D9" s="57">
        <f>VLOOKUP(C9,'[1]PREÇO ATUAL'!$A:$D,4,0)</f>
        <v>25.55</v>
      </c>
      <c r="E9" s="58"/>
      <c r="F9" s="58"/>
      <c r="G9" s="58"/>
      <c r="H9" s="58"/>
      <c r="I9" s="59"/>
      <c r="J9" s="59">
        <v>1</v>
      </c>
      <c r="K9" s="59"/>
      <c r="L9" s="59"/>
      <c r="M9" s="59"/>
      <c r="N9" s="59"/>
      <c r="O9" s="60">
        <f t="shared" si="1"/>
        <v>0</v>
      </c>
      <c r="P9" s="60">
        <f t="shared" si="2"/>
        <v>0</v>
      </c>
      <c r="Q9" s="60">
        <f t="shared" si="3"/>
        <v>0</v>
      </c>
      <c r="R9" s="60">
        <f t="shared" si="4"/>
        <v>0</v>
      </c>
      <c r="S9" s="60">
        <f t="shared" si="5"/>
        <v>0</v>
      </c>
      <c r="T9" s="60">
        <f t="shared" si="6"/>
        <v>25.55</v>
      </c>
      <c r="U9" s="60">
        <f t="shared" si="7"/>
        <v>0</v>
      </c>
      <c r="V9" s="60">
        <f t="shared" si="8"/>
        <v>0</v>
      </c>
      <c r="W9" s="60">
        <f t="shared" si="9"/>
        <v>0</v>
      </c>
      <c r="X9" s="60">
        <f t="shared" si="10"/>
        <v>0</v>
      </c>
      <c r="Y9" s="83" t="e">
        <f t="shared" si="11"/>
        <v>#N/A</v>
      </c>
      <c r="Z9" s="60">
        <f t="shared" si="12"/>
        <v>25.55</v>
      </c>
    </row>
    <row r="10" spans="1:32" ht="15" customHeight="1" x14ac:dyDescent="0.4">
      <c r="A10" s="46">
        <v>7</v>
      </c>
      <c r="B10" s="47" t="s">
        <v>156</v>
      </c>
      <c r="C10" s="48" t="s">
        <v>157</v>
      </c>
      <c r="D10" s="49">
        <f>VLOOKUP(C10,'[1]PREÇO ATUAL'!$A:$D,4,0)</f>
        <v>136.4</v>
      </c>
      <c r="E10" s="50"/>
      <c r="F10" s="50"/>
      <c r="G10" s="50"/>
      <c r="H10" s="50"/>
      <c r="I10" s="51"/>
      <c r="J10" s="51">
        <v>1</v>
      </c>
      <c r="K10" s="51"/>
      <c r="L10" s="51"/>
      <c r="M10" s="51"/>
      <c r="N10" s="51"/>
      <c r="O10" s="52">
        <f t="shared" si="1"/>
        <v>0</v>
      </c>
      <c r="P10" s="52">
        <f t="shared" si="2"/>
        <v>0</v>
      </c>
      <c r="Q10" s="52">
        <f t="shared" si="3"/>
        <v>0</v>
      </c>
      <c r="R10" s="52">
        <f t="shared" si="4"/>
        <v>0</v>
      </c>
      <c r="S10" s="52">
        <f t="shared" si="5"/>
        <v>0</v>
      </c>
      <c r="T10" s="52">
        <f t="shared" si="6"/>
        <v>136.4</v>
      </c>
      <c r="U10" s="52">
        <f t="shared" si="7"/>
        <v>0</v>
      </c>
      <c r="V10" s="52">
        <f t="shared" si="8"/>
        <v>0</v>
      </c>
      <c r="W10" s="52">
        <f t="shared" si="9"/>
        <v>0</v>
      </c>
      <c r="X10" s="52">
        <f t="shared" si="10"/>
        <v>0</v>
      </c>
      <c r="Y10" s="82" t="e">
        <f t="shared" si="11"/>
        <v>#N/A</v>
      </c>
      <c r="Z10" s="52">
        <f t="shared" si="12"/>
        <v>136.4</v>
      </c>
    </row>
    <row r="11" spans="1:32" ht="15" customHeight="1" x14ac:dyDescent="0.4">
      <c r="A11" s="54">
        <v>8</v>
      </c>
      <c r="B11" s="55" t="s">
        <v>151</v>
      </c>
      <c r="C11" s="56" t="s">
        <v>152</v>
      </c>
      <c r="D11" s="57">
        <v>89.6</v>
      </c>
      <c r="E11" s="64">
        <v>2.7</v>
      </c>
      <c r="F11" s="64">
        <v>2.7</v>
      </c>
      <c r="G11" s="64">
        <v>2.7</v>
      </c>
      <c r="H11" s="64">
        <v>2.7</v>
      </c>
      <c r="I11" s="57">
        <v>2.7</v>
      </c>
      <c r="J11" s="57">
        <v>2.7</v>
      </c>
      <c r="K11" s="57">
        <v>2.7</v>
      </c>
      <c r="L11" s="57">
        <v>2.7</v>
      </c>
      <c r="M11" s="57">
        <v>2.7</v>
      </c>
      <c r="N11" s="57">
        <v>2.7</v>
      </c>
      <c r="O11" s="60">
        <f t="shared" si="1"/>
        <v>241.92</v>
      </c>
      <c r="P11" s="60">
        <f t="shared" si="2"/>
        <v>241.92</v>
      </c>
      <c r="Q11" s="60">
        <f t="shared" si="3"/>
        <v>241.92</v>
      </c>
      <c r="R11" s="60">
        <f t="shared" si="4"/>
        <v>241.92</v>
      </c>
      <c r="S11" s="60">
        <f t="shared" si="5"/>
        <v>241.92</v>
      </c>
      <c r="T11" s="60">
        <f t="shared" si="6"/>
        <v>241.92</v>
      </c>
      <c r="U11" s="60">
        <f t="shared" si="7"/>
        <v>241.92</v>
      </c>
      <c r="V11" s="60">
        <f t="shared" si="8"/>
        <v>241.92</v>
      </c>
      <c r="W11" s="60">
        <f t="shared" si="9"/>
        <v>241.92</v>
      </c>
      <c r="X11" s="60">
        <f t="shared" si="10"/>
        <v>241.92</v>
      </c>
      <c r="Y11" s="83" t="e">
        <f t="shared" si="11"/>
        <v>#N/A</v>
      </c>
      <c r="Z11" s="60">
        <f t="shared" si="12"/>
        <v>2419.2000000000003</v>
      </c>
      <c r="AF11" s="65"/>
    </row>
    <row r="12" spans="1:32" ht="15" customHeight="1" x14ac:dyDescent="0.4">
      <c r="A12" s="46">
        <v>9</v>
      </c>
      <c r="B12" s="47" t="s">
        <v>124</v>
      </c>
      <c r="C12" s="48" t="s">
        <v>125</v>
      </c>
      <c r="D12" s="49">
        <f>VLOOKUP(C12,'[1]PREÇO ATUAL'!$A:$D,4,0)</f>
        <v>33.6224930838505</v>
      </c>
      <c r="E12" s="50"/>
      <c r="F12" s="50"/>
      <c r="G12" s="50"/>
      <c r="H12" s="50"/>
      <c r="I12" s="51"/>
      <c r="J12" s="51"/>
      <c r="K12" s="51"/>
      <c r="L12" s="51"/>
      <c r="M12" s="51"/>
      <c r="N12" s="51"/>
      <c r="O12" s="52">
        <f t="shared" si="1"/>
        <v>0</v>
      </c>
      <c r="P12" s="52">
        <f t="shared" si="2"/>
        <v>0</v>
      </c>
      <c r="Q12" s="52">
        <f t="shared" si="3"/>
        <v>0</v>
      </c>
      <c r="R12" s="52">
        <f t="shared" si="4"/>
        <v>0</v>
      </c>
      <c r="S12" s="52">
        <f t="shared" si="5"/>
        <v>0</v>
      </c>
      <c r="T12" s="52">
        <f t="shared" si="6"/>
        <v>0</v>
      </c>
      <c r="U12" s="52">
        <f t="shared" si="7"/>
        <v>0</v>
      </c>
      <c r="V12" s="52">
        <f t="shared" si="8"/>
        <v>0</v>
      </c>
      <c r="W12" s="52">
        <f t="shared" si="9"/>
        <v>0</v>
      </c>
      <c r="X12" s="52">
        <f t="shared" si="10"/>
        <v>0</v>
      </c>
      <c r="Y12" s="82" t="e">
        <f t="shared" si="11"/>
        <v>#N/A</v>
      </c>
      <c r="Z12" s="52">
        <f t="shared" si="12"/>
        <v>0</v>
      </c>
      <c r="AF12" s="65"/>
    </row>
    <row r="13" spans="1:32" ht="15" customHeight="1" x14ac:dyDescent="0.4">
      <c r="A13" s="54">
        <v>10</v>
      </c>
      <c r="B13" s="55" t="s">
        <v>128</v>
      </c>
      <c r="C13" s="56" t="s">
        <v>54</v>
      </c>
      <c r="D13" s="57" t="e">
        <f>VLOOKUP(C13,'[1]PREÇO ATUAL'!$A:$D,4,0)</f>
        <v>#N/A</v>
      </c>
      <c r="E13" s="73">
        <v>0.95</v>
      </c>
      <c r="F13" s="73">
        <v>1.1499999999999999</v>
      </c>
      <c r="G13" s="73">
        <v>2.1</v>
      </c>
      <c r="H13" s="73">
        <v>1.5</v>
      </c>
      <c r="I13" s="74">
        <v>1.05</v>
      </c>
      <c r="J13" s="74">
        <v>4.3499999999999996</v>
      </c>
      <c r="K13" s="74">
        <v>0.95</v>
      </c>
      <c r="L13" s="74">
        <v>1.5</v>
      </c>
      <c r="M13" s="74">
        <v>2.1</v>
      </c>
      <c r="N13" s="74">
        <v>1.35</v>
      </c>
      <c r="O13" s="60" t="e">
        <f>D13*E13</f>
        <v>#N/A</v>
      </c>
      <c r="P13" s="60" t="e">
        <f t="shared" ref="P13:X13" si="13">$D13*F13</f>
        <v>#N/A</v>
      </c>
      <c r="Q13" s="60" t="e">
        <f t="shared" si="13"/>
        <v>#N/A</v>
      </c>
      <c r="R13" s="60" t="e">
        <f t="shared" si="13"/>
        <v>#N/A</v>
      </c>
      <c r="S13" s="60" t="e">
        <f t="shared" si="13"/>
        <v>#N/A</v>
      </c>
      <c r="T13" s="60" t="e">
        <f t="shared" si="13"/>
        <v>#N/A</v>
      </c>
      <c r="U13" s="60" t="e">
        <f t="shared" si="13"/>
        <v>#N/A</v>
      </c>
      <c r="V13" s="60" t="e">
        <f t="shared" si="13"/>
        <v>#N/A</v>
      </c>
      <c r="W13" s="60" t="e">
        <f t="shared" si="13"/>
        <v>#N/A</v>
      </c>
      <c r="X13" s="60" t="e">
        <f t="shared" si="13"/>
        <v>#N/A</v>
      </c>
      <c r="Y13" s="83" t="e">
        <f t="shared" si="11"/>
        <v>#N/A</v>
      </c>
      <c r="Z13" s="60" t="e">
        <f t="shared" si="12"/>
        <v>#N/A</v>
      </c>
    </row>
    <row r="14" spans="1:32" ht="15.75" customHeight="1" x14ac:dyDescent="0.4">
      <c r="H14" s="81"/>
    </row>
    <row r="15" spans="1:32" ht="15.75" customHeight="1" x14ac:dyDescent="0.4"/>
    <row r="16" spans="1:32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Z973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44.84375" customWidth="1"/>
    <col min="3" max="3" width="16.84375" customWidth="1"/>
    <col min="4" max="4" width="7.84375" customWidth="1"/>
    <col min="5" max="5" width="5.3046875" customWidth="1"/>
    <col min="6" max="14" width="5.4609375" customWidth="1"/>
    <col min="15" max="16" width="14.53515625" customWidth="1"/>
    <col min="17" max="18" width="15.69140625" customWidth="1"/>
    <col min="19" max="19" width="14.53515625" customWidth="1"/>
    <col min="20" max="20" width="16.84375" customWidth="1"/>
    <col min="21" max="21" width="14.53515625" customWidth="1"/>
    <col min="22" max="23" width="15.69140625" customWidth="1"/>
    <col min="24" max="24" width="14.53515625" customWidth="1"/>
    <col min="25" max="25" width="8.3828125" customWidth="1"/>
    <col min="26" max="26" width="15.53515625" customWidth="1"/>
    <col min="27" max="27" width="11.69140625" customWidth="1"/>
    <col min="28" max="28" width="9.15234375" customWidth="1"/>
    <col min="29" max="29" width="11.3828125" customWidth="1"/>
    <col min="30" max="32" width="9.15234375" customWidth="1"/>
  </cols>
  <sheetData>
    <row r="1" spans="1:26" ht="15" customHeight="1" x14ac:dyDescent="0.4">
      <c r="A1" s="233" t="s">
        <v>171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35" t="s">
        <v>2</v>
      </c>
      <c r="P1" s="223"/>
      <c r="Q1" s="223"/>
      <c r="R1" s="223"/>
      <c r="S1" s="223"/>
      <c r="T1" s="223"/>
      <c r="U1" s="223"/>
      <c r="V1" s="223"/>
      <c r="W1" s="223"/>
      <c r="X1" s="223"/>
      <c r="Y1" s="232" t="s">
        <v>3</v>
      </c>
      <c r="Z1" s="209"/>
    </row>
    <row r="2" spans="1:2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MROUND(SUM(O4:O11),1)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" customHeight="1" x14ac:dyDescent="0.4">
      <c r="A4" s="46">
        <v>1</v>
      </c>
      <c r="B4" s="47" t="s">
        <v>154</v>
      </c>
      <c r="C4" s="48" t="s">
        <v>172</v>
      </c>
      <c r="D4" s="49">
        <f>VLOOKUP(C4,'[1]PREÇO ATUAL'!$A:$D,4,0)</f>
        <v>49.9</v>
      </c>
      <c r="E4" s="50"/>
      <c r="F4" s="50"/>
      <c r="G4" s="50">
        <v>4</v>
      </c>
      <c r="H4" s="50"/>
      <c r="I4" s="51"/>
      <c r="J4" s="51">
        <v>4</v>
      </c>
      <c r="K4" s="51"/>
      <c r="L4" s="51"/>
      <c r="M4" s="51">
        <v>4</v>
      </c>
      <c r="N4" s="51"/>
      <c r="O4" s="52">
        <f t="shared" ref="O4:X10" si="1">$D4*E4</f>
        <v>0</v>
      </c>
      <c r="P4" s="52">
        <f t="shared" si="1"/>
        <v>0</v>
      </c>
      <c r="Q4" s="52">
        <f t="shared" si="1"/>
        <v>199.6</v>
      </c>
      <c r="R4" s="52">
        <f t="shared" si="1"/>
        <v>0</v>
      </c>
      <c r="S4" s="52">
        <f t="shared" si="1"/>
        <v>0</v>
      </c>
      <c r="T4" s="52">
        <f t="shared" si="1"/>
        <v>199.6</v>
      </c>
      <c r="U4" s="52">
        <f t="shared" si="1"/>
        <v>0</v>
      </c>
      <c r="V4" s="52">
        <f t="shared" si="1"/>
        <v>0</v>
      </c>
      <c r="W4" s="52">
        <f t="shared" si="1"/>
        <v>199.6</v>
      </c>
      <c r="X4" s="52">
        <f t="shared" si="1"/>
        <v>0</v>
      </c>
      <c r="Y4" s="82" t="e">
        <f t="shared" ref="Y4:Y11" si="2">Z4/$Y$2</f>
        <v>#N/A</v>
      </c>
      <c r="Z4" s="52">
        <f t="shared" ref="Z4:Z11" si="3">SUM(O4:X4)</f>
        <v>598.79999999999995</v>
      </c>
    </row>
    <row r="5" spans="1:26" ht="15" customHeight="1" x14ac:dyDescent="0.4">
      <c r="A5" s="54">
        <v>2</v>
      </c>
      <c r="B5" s="55" t="s">
        <v>158</v>
      </c>
      <c r="C5" s="56" t="s">
        <v>144</v>
      </c>
      <c r="D5" s="57">
        <f>VLOOKUP(C5,'[1]PREÇO ATUAL'!$A:$D,4,0)</f>
        <v>41.43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9">
        <v>1</v>
      </c>
      <c r="O5" s="60">
        <f t="shared" si="1"/>
        <v>41.43</v>
      </c>
      <c r="P5" s="60">
        <f t="shared" si="1"/>
        <v>41.43</v>
      </c>
      <c r="Q5" s="60">
        <f t="shared" si="1"/>
        <v>41.43</v>
      </c>
      <c r="R5" s="60">
        <f t="shared" si="1"/>
        <v>41.43</v>
      </c>
      <c r="S5" s="60">
        <f t="shared" si="1"/>
        <v>41.43</v>
      </c>
      <c r="T5" s="60">
        <f t="shared" si="1"/>
        <v>41.43</v>
      </c>
      <c r="U5" s="60">
        <f t="shared" si="1"/>
        <v>41.43</v>
      </c>
      <c r="V5" s="60">
        <f t="shared" si="1"/>
        <v>41.43</v>
      </c>
      <c r="W5" s="60">
        <f t="shared" si="1"/>
        <v>41.43</v>
      </c>
      <c r="X5" s="60">
        <f t="shared" si="1"/>
        <v>41.43</v>
      </c>
      <c r="Y5" s="83" t="e">
        <f t="shared" si="2"/>
        <v>#N/A</v>
      </c>
      <c r="Z5" s="60">
        <f t="shared" si="3"/>
        <v>414.3</v>
      </c>
    </row>
    <row r="6" spans="1:26" ht="15.75" customHeight="1" x14ac:dyDescent="0.4">
      <c r="A6" s="46">
        <v>3</v>
      </c>
      <c r="B6" s="47" t="s">
        <v>30</v>
      </c>
      <c r="C6" s="48" t="s">
        <v>115</v>
      </c>
      <c r="D6" s="49">
        <f>VLOOKUP(C6,'[1]PREÇO ATUAL'!$A:$D,4,0)</f>
        <v>35.9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2">
        <f t="shared" si="1"/>
        <v>0</v>
      </c>
      <c r="P6" s="52">
        <f t="shared" si="1"/>
        <v>35.9</v>
      </c>
      <c r="Q6" s="52">
        <f t="shared" si="1"/>
        <v>0</v>
      </c>
      <c r="R6" s="52">
        <f t="shared" si="1"/>
        <v>35.9</v>
      </c>
      <c r="S6" s="52">
        <f t="shared" si="1"/>
        <v>0</v>
      </c>
      <c r="T6" s="52">
        <f t="shared" si="1"/>
        <v>35.9</v>
      </c>
      <c r="U6" s="52">
        <f t="shared" si="1"/>
        <v>0</v>
      </c>
      <c r="V6" s="52">
        <f t="shared" si="1"/>
        <v>35.9</v>
      </c>
      <c r="W6" s="52">
        <f t="shared" si="1"/>
        <v>0</v>
      </c>
      <c r="X6" s="52">
        <f t="shared" si="1"/>
        <v>35.9</v>
      </c>
      <c r="Y6" s="82" t="e">
        <f t="shared" si="2"/>
        <v>#N/A</v>
      </c>
      <c r="Z6" s="52">
        <f t="shared" si="3"/>
        <v>179.5</v>
      </c>
    </row>
    <row r="7" spans="1:26" ht="15.75" customHeight="1" x14ac:dyDescent="0.4">
      <c r="A7" s="54">
        <v>4</v>
      </c>
      <c r="B7" s="55" t="s">
        <v>160</v>
      </c>
      <c r="C7" s="56" t="s">
        <v>173</v>
      </c>
      <c r="D7" s="57">
        <f>VLOOKUP(C7,'[1]PREÇO ATUAL'!$A:$D,4,0)</f>
        <v>90.75</v>
      </c>
      <c r="E7" s="58"/>
      <c r="F7" s="58">
        <v>1</v>
      </c>
      <c r="G7" s="58"/>
      <c r="H7" s="58">
        <v>1</v>
      </c>
      <c r="I7" s="59"/>
      <c r="J7" s="59">
        <v>1</v>
      </c>
      <c r="K7" s="59"/>
      <c r="L7" s="59">
        <v>1</v>
      </c>
      <c r="M7" s="59"/>
      <c r="N7" s="59">
        <v>1</v>
      </c>
      <c r="O7" s="60">
        <f t="shared" si="1"/>
        <v>0</v>
      </c>
      <c r="P7" s="60">
        <f t="shared" si="1"/>
        <v>90.75</v>
      </c>
      <c r="Q7" s="60">
        <f t="shared" si="1"/>
        <v>0</v>
      </c>
      <c r="R7" s="60">
        <f t="shared" si="1"/>
        <v>90.75</v>
      </c>
      <c r="S7" s="60">
        <f t="shared" si="1"/>
        <v>0</v>
      </c>
      <c r="T7" s="60">
        <f t="shared" si="1"/>
        <v>90.75</v>
      </c>
      <c r="U7" s="60">
        <f t="shared" si="1"/>
        <v>0</v>
      </c>
      <c r="V7" s="60">
        <f t="shared" si="1"/>
        <v>90.75</v>
      </c>
      <c r="W7" s="60">
        <f t="shared" si="1"/>
        <v>0</v>
      </c>
      <c r="X7" s="60">
        <f t="shared" si="1"/>
        <v>90.75</v>
      </c>
      <c r="Y7" s="83" t="e">
        <f t="shared" si="2"/>
        <v>#N/A</v>
      </c>
      <c r="Z7" s="60">
        <f t="shared" si="3"/>
        <v>453.75</v>
      </c>
    </row>
    <row r="8" spans="1:26" ht="15.75" customHeight="1" x14ac:dyDescent="0.4">
      <c r="A8" s="46">
        <v>5</v>
      </c>
      <c r="B8" s="47" t="s">
        <v>162</v>
      </c>
      <c r="C8" s="48" t="s">
        <v>174</v>
      </c>
      <c r="D8" s="49">
        <f>VLOOKUP(C8,'[1]PREÇO ATUAL'!$A:$D,4,0)</f>
        <v>213.66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2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213.66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82" t="e">
        <f t="shared" si="2"/>
        <v>#N/A</v>
      </c>
      <c r="Z8" s="52">
        <f t="shared" si="3"/>
        <v>213.66</v>
      </c>
    </row>
    <row r="9" spans="1:26" ht="15.75" customHeight="1" x14ac:dyDescent="0.4">
      <c r="A9" s="54">
        <v>6</v>
      </c>
      <c r="B9" s="55" t="s">
        <v>151</v>
      </c>
      <c r="C9" s="56" t="s">
        <v>152</v>
      </c>
      <c r="D9" s="57">
        <v>89.6</v>
      </c>
      <c r="E9" s="64">
        <v>4.3</v>
      </c>
      <c r="F9" s="64">
        <v>4.3</v>
      </c>
      <c r="G9" s="64">
        <v>4.3</v>
      </c>
      <c r="H9" s="64">
        <v>4.3</v>
      </c>
      <c r="I9" s="57">
        <v>4.3</v>
      </c>
      <c r="J9" s="57">
        <v>4.3</v>
      </c>
      <c r="K9" s="57">
        <v>4.3</v>
      </c>
      <c r="L9" s="57">
        <v>4.3</v>
      </c>
      <c r="M9" s="57">
        <v>4.3</v>
      </c>
      <c r="N9" s="57">
        <v>4.3</v>
      </c>
      <c r="O9" s="60">
        <f t="shared" si="1"/>
        <v>385.28</v>
      </c>
      <c r="P9" s="60">
        <f t="shared" si="1"/>
        <v>385.28</v>
      </c>
      <c r="Q9" s="60">
        <f t="shared" si="1"/>
        <v>385.28</v>
      </c>
      <c r="R9" s="60">
        <f t="shared" si="1"/>
        <v>385.28</v>
      </c>
      <c r="S9" s="60">
        <f t="shared" si="1"/>
        <v>385.28</v>
      </c>
      <c r="T9" s="60">
        <f t="shared" si="1"/>
        <v>385.28</v>
      </c>
      <c r="U9" s="60">
        <f t="shared" si="1"/>
        <v>385.28</v>
      </c>
      <c r="V9" s="60">
        <f t="shared" si="1"/>
        <v>385.28</v>
      </c>
      <c r="W9" s="60">
        <f t="shared" si="1"/>
        <v>385.28</v>
      </c>
      <c r="X9" s="60">
        <f t="shared" si="1"/>
        <v>385.28</v>
      </c>
      <c r="Y9" s="83" t="e">
        <f t="shared" si="2"/>
        <v>#N/A</v>
      </c>
      <c r="Z9" s="60">
        <f t="shared" si="3"/>
        <v>3852.7999999999993</v>
      </c>
    </row>
    <row r="10" spans="1:26" ht="15.7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50"/>
      <c r="F10" s="50"/>
      <c r="G10" s="50"/>
      <c r="H10" s="50"/>
      <c r="I10" s="51"/>
      <c r="J10" s="51"/>
      <c r="K10" s="51"/>
      <c r="L10" s="51"/>
      <c r="M10" s="51"/>
      <c r="N10" s="51"/>
      <c r="O10" s="52">
        <f t="shared" si="1"/>
        <v>0</v>
      </c>
      <c r="P10" s="52">
        <f t="shared" si="1"/>
        <v>0</v>
      </c>
      <c r="Q10" s="52">
        <f t="shared" si="1"/>
        <v>0</v>
      </c>
      <c r="R10" s="52">
        <f t="shared" si="1"/>
        <v>0</v>
      </c>
      <c r="S10" s="52">
        <f t="shared" si="1"/>
        <v>0</v>
      </c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82" t="e">
        <f t="shared" si="2"/>
        <v>#N/A</v>
      </c>
      <c r="Z10" s="52">
        <f t="shared" si="3"/>
        <v>0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73">
        <v>1.25</v>
      </c>
      <c r="F11" s="73">
        <v>1.45</v>
      </c>
      <c r="G11" s="73">
        <v>1.5</v>
      </c>
      <c r="H11" s="73">
        <v>1.7</v>
      </c>
      <c r="I11" s="74">
        <v>1.3</v>
      </c>
      <c r="J11" s="74">
        <v>2.75</v>
      </c>
      <c r="K11" s="74">
        <v>1.25</v>
      </c>
      <c r="L11" s="74">
        <v>1.7</v>
      </c>
      <c r="M11" s="74">
        <v>1.5</v>
      </c>
      <c r="N11" s="74">
        <v>1.6</v>
      </c>
      <c r="O11" s="60" t="e">
        <f>D11*E11</f>
        <v>#N/A</v>
      </c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83" t="e">
        <f t="shared" si="2"/>
        <v>#N/A</v>
      </c>
      <c r="Z11" s="60" t="e">
        <f t="shared" si="3"/>
        <v>#N/A</v>
      </c>
    </row>
    <row r="12" spans="1:26" ht="15.75" customHeight="1" x14ac:dyDescent="0.4">
      <c r="H12" s="81"/>
    </row>
    <row r="13" spans="1:26" ht="15.75" customHeight="1" x14ac:dyDescent="0.4">
      <c r="H13" s="81"/>
    </row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Z974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44" customWidth="1"/>
    <col min="3" max="3" width="16.84375" customWidth="1"/>
    <col min="4" max="4" width="8.69140625" customWidth="1"/>
    <col min="5" max="5" width="5.3046875" customWidth="1"/>
    <col min="6" max="13" width="5.4609375" customWidth="1"/>
    <col min="14" max="14" width="5.53515625" customWidth="1"/>
    <col min="15" max="16" width="14.53515625" customWidth="1"/>
    <col min="17" max="23" width="15.69140625" customWidth="1"/>
    <col min="24" max="24" width="14.53515625" customWidth="1"/>
    <col min="25" max="25" width="13.69140625" customWidth="1"/>
    <col min="26" max="26" width="15.53515625" customWidth="1"/>
  </cols>
  <sheetData>
    <row r="1" spans="1:26" ht="15.75" customHeight="1" x14ac:dyDescent="0.4">
      <c r="A1" s="239" t="s">
        <v>175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MROUND(SUM(O4:O12),1)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" customHeight="1" x14ac:dyDescent="0.4">
      <c r="A4" s="46">
        <v>1</v>
      </c>
      <c r="B4" s="47" t="s">
        <v>176</v>
      </c>
      <c r="C4" s="48" t="s">
        <v>159</v>
      </c>
      <c r="D4" s="49">
        <f>VLOOKUP(C4,'[1]PREÇO ATUAL'!$A:$D,4,0)</f>
        <v>71.2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84">
        <v>1</v>
      </c>
      <c r="O4" s="52">
        <f t="shared" ref="O4:X11" si="1">$D4*E4</f>
        <v>71.2</v>
      </c>
      <c r="P4" s="52">
        <f t="shared" si="1"/>
        <v>71.2</v>
      </c>
      <c r="Q4" s="52">
        <f t="shared" si="1"/>
        <v>71.2</v>
      </c>
      <c r="R4" s="52">
        <f t="shared" si="1"/>
        <v>71.2</v>
      </c>
      <c r="S4" s="52">
        <f t="shared" si="1"/>
        <v>71.2</v>
      </c>
      <c r="T4" s="52">
        <f t="shared" si="1"/>
        <v>71.2</v>
      </c>
      <c r="U4" s="52">
        <f t="shared" si="1"/>
        <v>71.2</v>
      </c>
      <c r="V4" s="52">
        <f t="shared" si="1"/>
        <v>71.2</v>
      </c>
      <c r="W4" s="52">
        <f t="shared" si="1"/>
        <v>71.2</v>
      </c>
      <c r="X4" s="79">
        <f t="shared" si="1"/>
        <v>71.2</v>
      </c>
      <c r="Y4" s="82" t="e">
        <f t="shared" ref="Y4:Y12" si="2">Z4/$Y$2</f>
        <v>#N/A</v>
      </c>
      <c r="Z4" s="52">
        <f t="shared" ref="Z4:Z12" si="3">SUM(O4:X4)</f>
        <v>712.00000000000011</v>
      </c>
    </row>
    <row r="5" spans="1:2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85">
        <v>1</v>
      </c>
      <c r="O5" s="60">
        <f t="shared" si="1"/>
        <v>0</v>
      </c>
      <c r="P5" s="60">
        <f t="shared" si="1"/>
        <v>35.9</v>
      </c>
      <c r="Q5" s="60">
        <f t="shared" si="1"/>
        <v>0</v>
      </c>
      <c r="R5" s="60">
        <f t="shared" si="1"/>
        <v>35.9</v>
      </c>
      <c r="S5" s="60">
        <f t="shared" si="1"/>
        <v>0</v>
      </c>
      <c r="T5" s="60">
        <f t="shared" si="1"/>
        <v>35.9</v>
      </c>
      <c r="U5" s="60">
        <f t="shared" si="1"/>
        <v>0</v>
      </c>
      <c r="V5" s="60">
        <f t="shared" si="1"/>
        <v>35.9</v>
      </c>
      <c r="W5" s="60">
        <f t="shared" si="1"/>
        <v>0</v>
      </c>
      <c r="X5" s="80">
        <f t="shared" si="1"/>
        <v>35.9</v>
      </c>
      <c r="Y5" s="83" t="e">
        <f t="shared" si="2"/>
        <v>#N/A</v>
      </c>
      <c r="Z5" s="60">
        <f t="shared" si="3"/>
        <v>179.5</v>
      </c>
    </row>
    <row r="6" spans="1:26" ht="15" customHeight="1" x14ac:dyDescent="0.4">
      <c r="A6" s="46">
        <v>3</v>
      </c>
      <c r="B6" s="47" t="s">
        <v>177</v>
      </c>
      <c r="C6" s="48" t="s">
        <v>161</v>
      </c>
      <c r="D6" s="49">
        <f>VLOOKUP(C6,'[1]PREÇO ATUAL'!$A:$D,4,0)</f>
        <v>83.06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84">
        <v>1</v>
      </c>
      <c r="O6" s="52">
        <f t="shared" si="1"/>
        <v>0</v>
      </c>
      <c r="P6" s="52">
        <f t="shared" si="1"/>
        <v>83.06</v>
      </c>
      <c r="Q6" s="52">
        <f t="shared" si="1"/>
        <v>0</v>
      </c>
      <c r="R6" s="52">
        <f t="shared" si="1"/>
        <v>83.06</v>
      </c>
      <c r="S6" s="52">
        <f t="shared" si="1"/>
        <v>0</v>
      </c>
      <c r="T6" s="52">
        <f t="shared" si="1"/>
        <v>83.06</v>
      </c>
      <c r="U6" s="52">
        <f t="shared" si="1"/>
        <v>0</v>
      </c>
      <c r="V6" s="52">
        <f t="shared" si="1"/>
        <v>83.06</v>
      </c>
      <c r="W6" s="52">
        <f t="shared" si="1"/>
        <v>0</v>
      </c>
      <c r="X6" s="79">
        <f t="shared" si="1"/>
        <v>83.06</v>
      </c>
      <c r="Y6" s="82" t="e">
        <f t="shared" si="2"/>
        <v>#N/A</v>
      </c>
      <c r="Z6" s="52">
        <f t="shared" si="3"/>
        <v>415.3</v>
      </c>
    </row>
    <row r="7" spans="1:26" ht="15" customHeight="1" x14ac:dyDescent="0.4">
      <c r="A7" s="54">
        <v>4</v>
      </c>
      <c r="B7" s="55" t="s">
        <v>147</v>
      </c>
      <c r="C7" s="56" t="s">
        <v>172</v>
      </c>
      <c r="D7" s="57">
        <f>VLOOKUP(C7,'[1]PREÇO ATUAL'!$A:$D,4,0)</f>
        <v>49.9</v>
      </c>
      <c r="E7" s="58"/>
      <c r="F7" s="58"/>
      <c r="G7" s="58">
        <v>4</v>
      </c>
      <c r="H7" s="58"/>
      <c r="I7" s="59"/>
      <c r="J7" s="59">
        <v>4</v>
      </c>
      <c r="K7" s="59"/>
      <c r="L7" s="59"/>
      <c r="M7" s="59">
        <v>4</v>
      </c>
      <c r="N7" s="85"/>
      <c r="O7" s="60">
        <f t="shared" si="1"/>
        <v>0</v>
      </c>
      <c r="P7" s="60">
        <f t="shared" si="1"/>
        <v>0</v>
      </c>
      <c r="Q7" s="60">
        <f t="shared" si="1"/>
        <v>199.6</v>
      </c>
      <c r="R7" s="60">
        <f t="shared" si="1"/>
        <v>0</v>
      </c>
      <c r="S7" s="60">
        <f t="shared" si="1"/>
        <v>0</v>
      </c>
      <c r="T7" s="60">
        <f t="shared" si="1"/>
        <v>199.6</v>
      </c>
      <c r="U7" s="60">
        <f t="shared" si="1"/>
        <v>0</v>
      </c>
      <c r="V7" s="60">
        <f t="shared" si="1"/>
        <v>0</v>
      </c>
      <c r="W7" s="60">
        <f t="shared" si="1"/>
        <v>199.6</v>
      </c>
      <c r="X7" s="80">
        <f t="shared" si="1"/>
        <v>0</v>
      </c>
      <c r="Y7" s="83" t="e">
        <f t="shared" si="2"/>
        <v>#N/A</v>
      </c>
      <c r="Z7" s="60">
        <f t="shared" si="3"/>
        <v>598.79999999999995</v>
      </c>
    </row>
    <row r="8" spans="1:26" ht="15" customHeight="1" x14ac:dyDescent="0.4">
      <c r="A8" s="46">
        <v>5</v>
      </c>
      <c r="B8" s="47" t="s">
        <v>178</v>
      </c>
      <c r="C8" s="48" t="s">
        <v>179</v>
      </c>
      <c r="D8" s="49">
        <f>VLOOKUP(C8,'[1]PREÇO ATUAL'!$A:$D,4,0)</f>
        <v>110.87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84"/>
      <c r="O8" s="52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110.87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79">
        <f t="shared" si="1"/>
        <v>0</v>
      </c>
      <c r="Y8" s="82" t="e">
        <f t="shared" si="2"/>
        <v>#N/A</v>
      </c>
      <c r="Z8" s="52">
        <f t="shared" si="3"/>
        <v>110.87</v>
      </c>
    </row>
    <row r="9" spans="1:26" ht="15" customHeight="1" x14ac:dyDescent="0.4">
      <c r="A9" s="54">
        <v>6</v>
      </c>
      <c r="B9" s="55" t="s">
        <v>180</v>
      </c>
      <c r="C9" s="56" t="s">
        <v>157</v>
      </c>
      <c r="D9" s="57">
        <f>VLOOKUP(C9,'[1]PREÇO ATUAL'!$A:$D,4,0)</f>
        <v>136.4</v>
      </c>
      <c r="E9" s="58"/>
      <c r="F9" s="58"/>
      <c r="G9" s="58"/>
      <c r="H9" s="58"/>
      <c r="I9" s="59"/>
      <c r="J9" s="59">
        <v>1</v>
      </c>
      <c r="K9" s="59"/>
      <c r="L9" s="59"/>
      <c r="M9" s="59"/>
      <c r="N9" s="85"/>
      <c r="O9" s="60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136.4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80">
        <f t="shared" si="1"/>
        <v>0</v>
      </c>
      <c r="Y9" s="83" t="e">
        <f t="shared" si="2"/>
        <v>#N/A</v>
      </c>
      <c r="Z9" s="60">
        <f t="shared" si="3"/>
        <v>136.4</v>
      </c>
    </row>
    <row r="10" spans="1:26" ht="15" customHeight="1" x14ac:dyDescent="0.4">
      <c r="A10" s="46">
        <v>7</v>
      </c>
      <c r="B10" s="47" t="s">
        <v>151</v>
      </c>
      <c r="C10" s="48" t="s">
        <v>152</v>
      </c>
      <c r="D10" s="49">
        <v>89.6</v>
      </c>
      <c r="E10" s="63">
        <v>2.7</v>
      </c>
      <c r="F10" s="63">
        <v>2.7</v>
      </c>
      <c r="G10" s="63">
        <v>2.7</v>
      </c>
      <c r="H10" s="63">
        <v>2.7</v>
      </c>
      <c r="I10" s="49">
        <v>2.7</v>
      </c>
      <c r="J10" s="49">
        <v>2.7</v>
      </c>
      <c r="K10" s="49">
        <v>2.7</v>
      </c>
      <c r="L10" s="49">
        <v>2.7</v>
      </c>
      <c r="M10" s="49">
        <v>2.7</v>
      </c>
      <c r="N10" s="49">
        <v>2.7</v>
      </c>
      <c r="O10" s="52">
        <f t="shared" si="1"/>
        <v>241.92</v>
      </c>
      <c r="P10" s="52">
        <f t="shared" si="1"/>
        <v>241.92</v>
      </c>
      <c r="Q10" s="52">
        <f t="shared" si="1"/>
        <v>241.92</v>
      </c>
      <c r="R10" s="52">
        <f t="shared" si="1"/>
        <v>241.92</v>
      </c>
      <c r="S10" s="52">
        <f t="shared" si="1"/>
        <v>241.92</v>
      </c>
      <c r="T10" s="52">
        <f t="shared" si="1"/>
        <v>241.92</v>
      </c>
      <c r="U10" s="52">
        <f t="shared" si="1"/>
        <v>241.92</v>
      </c>
      <c r="V10" s="52">
        <f t="shared" si="1"/>
        <v>241.92</v>
      </c>
      <c r="W10" s="52">
        <f t="shared" si="1"/>
        <v>241.92</v>
      </c>
      <c r="X10" s="79">
        <f t="shared" si="1"/>
        <v>241.92</v>
      </c>
      <c r="Y10" s="82" t="e">
        <f t="shared" si="2"/>
        <v>#N/A</v>
      </c>
      <c r="Z10" s="52">
        <f t="shared" si="3"/>
        <v>2419.2000000000003</v>
      </c>
    </row>
    <row r="11" spans="1:26" ht="15" customHeight="1" x14ac:dyDescent="0.4">
      <c r="A11" s="54">
        <v>8</v>
      </c>
      <c r="B11" s="55" t="s">
        <v>124</v>
      </c>
      <c r="C11" s="56" t="s">
        <v>125</v>
      </c>
      <c r="D11" s="57">
        <f>VLOOKUP(C11,'[1]PREÇO ATUAL'!$A:$D,4,0)</f>
        <v>33.6224930838505</v>
      </c>
      <c r="E11" s="86"/>
      <c r="F11" s="86"/>
      <c r="G11" s="86"/>
      <c r="H11" s="87"/>
      <c r="I11" s="88"/>
      <c r="J11" s="88"/>
      <c r="K11" s="88"/>
      <c r="L11" s="89"/>
      <c r="M11" s="88"/>
      <c r="N11" s="90"/>
      <c r="O11" s="60">
        <f t="shared" si="1"/>
        <v>0</v>
      </c>
      <c r="P11" s="60">
        <f t="shared" si="1"/>
        <v>0</v>
      </c>
      <c r="Q11" s="60">
        <f t="shared" si="1"/>
        <v>0</v>
      </c>
      <c r="R11" s="60">
        <f t="shared" si="1"/>
        <v>0</v>
      </c>
      <c r="S11" s="60">
        <f t="shared" si="1"/>
        <v>0</v>
      </c>
      <c r="T11" s="60">
        <f t="shared" si="1"/>
        <v>0</v>
      </c>
      <c r="U11" s="60">
        <f t="shared" si="1"/>
        <v>0</v>
      </c>
      <c r="V11" s="60">
        <f t="shared" si="1"/>
        <v>0</v>
      </c>
      <c r="W11" s="60">
        <f t="shared" si="1"/>
        <v>0</v>
      </c>
      <c r="X11" s="80">
        <f t="shared" si="1"/>
        <v>0</v>
      </c>
      <c r="Y11" s="83" t="e">
        <f t="shared" si="2"/>
        <v>#N/A</v>
      </c>
      <c r="Z11" s="60">
        <f t="shared" si="3"/>
        <v>0</v>
      </c>
    </row>
    <row r="12" spans="1:26" ht="1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75">
        <v>0.95</v>
      </c>
      <c r="F12" s="75">
        <v>1.1499999999999999</v>
      </c>
      <c r="G12" s="75">
        <v>2.1</v>
      </c>
      <c r="H12" s="75">
        <v>1.5</v>
      </c>
      <c r="I12" s="76">
        <v>1.1000000000000001</v>
      </c>
      <c r="J12" s="76">
        <v>4.5</v>
      </c>
      <c r="K12" s="76">
        <v>0.95</v>
      </c>
      <c r="L12" s="76">
        <v>1.5</v>
      </c>
      <c r="M12" s="76">
        <v>2.1</v>
      </c>
      <c r="N12" s="91">
        <v>1.35</v>
      </c>
      <c r="O12" s="52" t="e">
        <f>D12*E12</f>
        <v>#N/A</v>
      </c>
      <c r="P12" s="52" t="e">
        <f t="shared" ref="P12:X12" si="4">$D12*F12</f>
        <v>#N/A</v>
      </c>
      <c r="Q12" s="52" t="e">
        <f t="shared" si="4"/>
        <v>#N/A</v>
      </c>
      <c r="R12" s="52" t="e">
        <f t="shared" si="4"/>
        <v>#N/A</v>
      </c>
      <c r="S12" s="52" t="e">
        <f t="shared" si="4"/>
        <v>#N/A</v>
      </c>
      <c r="T12" s="52" t="e">
        <f t="shared" si="4"/>
        <v>#N/A</v>
      </c>
      <c r="U12" s="52" t="e">
        <f t="shared" si="4"/>
        <v>#N/A</v>
      </c>
      <c r="V12" s="52" t="e">
        <f t="shared" si="4"/>
        <v>#N/A</v>
      </c>
      <c r="W12" s="52" t="e">
        <f t="shared" si="4"/>
        <v>#N/A</v>
      </c>
      <c r="X12" s="79" t="e">
        <f t="shared" si="4"/>
        <v>#N/A</v>
      </c>
      <c r="Y12" s="82" t="e">
        <f t="shared" si="2"/>
        <v>#N/A</v>
      </c>
      <c r="Z12" s="52" t="e">
        <f t="shared" si="3"/>
        <v>#N/A</v>
      </c>
    </row>
    <row r="13" spans="1:26" ht="15" customHeight="1" x14ac:dyDescent="0.4">
      <c r="H13" s="81"/>
    </row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A1:Z973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44" customWidth="1"/>
    <col min="3" max="3" width="16.84375" customWidth="1"/>
    <col min="4" max="4" width="8.69140625" customWidth="1"/>
    <col min="5" max="5" width="5.3046875" customWidth="1"/>
    <col min="6" max="13" width="5.4609375" customWidth="1"/>
    <col min="14" max="14" width="5.53515625" customWidth="1"/>
    <col min="15" max="16" width="14.53515625" customWidth="1"/>
    <col min="17" max="23" width="15.69140625" customWidth="1"/>
    <col min="24" max="24" width="14.53515625" customWidth="1"/>
    <col min="25" max="25" width="13.69140625" customWidth="1"/>
    <col min="26" max="26" width="15.53515625" customWidth="1"/>
  </cols>
  <sheetData>
    <row r="1" spans="1:26" ht="15.75" customHeight="1" x14ac:dyDescent="0.4">
      <c r="A1" s="239" t="s">
        <v>181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MROUND(SUM(O4:O12),1)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" customHeight="1" x14ac:dyDescent="0.4">
      <c r="A4" s="46">
        <v>1</v>
      </c>
      <c r="B4" s="47" t="s">
        <v>154</v>
      </c>
      <c r="C4" s="48" t="s">
        <v>182</v>
      </c>
      <c r="D4" s="49">
        <f>VLOOKUP(C4,'[1]PREÇO ATUAL'!$A:$D,4,0)</f>
        <v>41.9</v>
      </c>
      <c r="E4" s="50"/>
      <c r="F4" s="50"/>
      <c r="G4" s="50">
        <v>4</v>
      </c>
      <c r="H4" s="50"/>
      <c r="I4" s="51"/>
      <c r="J4" s="51">
        <v>4</v>
      </c>
      <c r="K4" s="51"/>
      <c r="L4" s="51"/>
      <c r="M4" s="51">
        <v>4</v>
      </c>
      <c r="N4" s="84"/>
      <c r="O4" s="52">
        <f t="shared" ref="O4:X11" si="1">$D4*E4</f>
        <v>0</v>
      </c>
      <c r="P4" s="52">
        <f t="shared" si="1"/>
        <v>0</v>
      </c>
      <c r="Q4" s="52">
        <f t="shared" si="1"/>
        <v>167.6</v>
      </c>
      <c r="R4" s="52">
        <f t="shared" si="1"/>
        <v>0</v>
      </c>
      <c r="S4" s="52">
        <f t="shared" si="1"/>
        <v>0</v>
      </c>
      <c r="T4" s="52">
        <f t="shared" si="1"/>
        <v>167.6</v>
      </c>
      <c r="U4" s="52">
        <f t="shared" si="1"/>
        <v>0</v>
      </c>
      <c r="V4" s="52">
        <f t="shared" si="1"/>
        <v>0</v>
      </c>
      <c r="W4" s="52">
        <f t="shared" si="1"/>
        <v>167.6</v>
      </c>
      <c r="X4" s="79">
        <f t="shared" si="1"/>
        <v>0</v>
      </c>
      <c r="Y4" s="82" t="e">
        <f t="shared" ref="Y4:Y12" si="2">Z4/$Y$2</f>
        <v>#N/A</v>
      </c>
      <c r="Z4" s="52">
        <f t="shared" ref="Z4:Z12" si="3">SUM(O4:X4)</f>
        <v>502.79999999999995</v>
      </c>
    </row>
    <row r="5" spans="1:26" ht="15" customHeight="1" x14ac:dyDescent="0.4">
      <c r="A5" s="54">
        <v>2</v>
      </c>
      <c r="B5" s="55" t="s">
        <v>158</v>
      </c>
      <c r="C5" s="56" t="s">
        <v>159</v>
      </c>
      <c r="D5" s="57">
        <f>VLOOKUP(C5,'[1]PREÇO ATUAL'!$A:$D,4,0)</f>
        <v>71.2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85">
        <v>1</v>
      </c>
      <c r="O5" s="60">
        <f t="shared" si="1"/>
        <v>71.2</v>
      </c>
      <c r="P5" s="60">
        <f t="shared" si="1"/>
        <v>71.2</v>
      </c>
      <c r="Q5" s="60">
        <f t="shared" si="1"/>
        <v>71.2</v>
      </c>
      <c r="R5" s="60">
        <f t="shared" si="1"/>
        <v>71.2</v>
      </c>
      <c r="S5" s="60">
        <f t="shared" si="1"/>
        <v>71.2</v>
      </c>
      <c r="T5" s="60">
        <f t="shared" si="1"/>
        <v>71.2</v>
      </c>
      <c r="U5" s="60">
        <f t="shared" si="1"/>
        <v>71.2</v>
      </c>
      <c r="V5" s="60">
        <f t="shared" si="1"/>
        <v>71.2</v>
      </c>
      <c r="W5" s="60">
        <f t="shared" si="1"/>
        <v>71.2</v>
      </c>
      <c r="X5" s="80">
        <f t="shared" si="1"/>
        <v>71.2</v>
      </c>
      <c r="Y5" s="83" t="e">
        <f t="shared" si="2"/>
        <v>#N/A</v>
      </c>
      <c r="Z5" s="60">
        <f t="shared" si="3"/>
        <v>712.00000000000011</v>
      </c>
    </row>
    <row r="6" spans="1:26" ht="15" customHeight="1" x14ac:dyDescent="0.4">
      <c r="A6" s="46">
        <v>3</v>
      </c>
      <c r="B6" s="47" t="s">
        <v>30</v>
      </c>
      <c r="C6" s="48" t="s">
        <v>115</v>
      </c>
      <c r="D6" s="49">
        <f>VLOOKUP(C6,'[1]PREÇO ATUAL'!$A:$D,4,0)</f>
        <v>35.9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84">
        <v>1</v>
      </c>
      <c r="O6" s="52">
        <f t="shared" si="1"/>
        <v>0</v>
      </c>
      <c r="P6" s="52">
        <f t="shared" si="1"/>
        <v>35.9</v>
      </c>
      <c r="Q6" s="52">
        <f t="shared" si="1"/>
        <v>0</v>
      </c>
      <c r="R6" s="52">
        <f t="shared" si="1"/>
        <v>35.9</v>
      </c>
      <c r="S6" s="52">
        <f t="shared" si="1"/>
        <v>0</v>
      </c>
      <c r="T6" s="52">
        <f t="shared" si="1"/>
        <v>35.9</v>
      </c>
      <c r="U6" s="52">
        <f t="shared" si="1"/>
        <v>0</v>
      </c>
      <c r="V6" s="52">
        <f t="shared" si="1"/>
        <v>35.9</v>
      </c>
      <c r="W6" s="52">
        <f t="shared" si="1"/>
        <v>0</v>
      </c>
      <c r="X6" s="79">
        <f t="shared" si="1"/>
        <v>35.9</v>
      </c>
      <c r="Y6" s="82" t="e">
        <f t="shared" si="2"/>
        <v>#N/A</v>
      </c>
      <c r="Z6" s="52">
        <f t="shared" si="3"/>
        <v>179.5</v>
      </c>
    </row>
    <row r="7" spans="1:26" ht="15.75" customHeight="1" x14ac:dyDescent="0.4">
      <c r="A7" s="54">
        <v>4</v>
      </c>
      <c r="B7" s="55" t="s">
        <v>160</v>
      </c>
      <c r="C7" s="56" t="s">
        <v>161</v>
      </c>
      <c r="D7" s="57">
        <f>VLOOKUP(C7,'[1]PREÇO ATUAL'!$A:$D,4,0)</f>
        <v>83.06</v>
      </c>
      <c r="E7" s="58"/>
      <c r="F7" s="58">
        <v>1</v>
      </c>
      <c r="G7" s="58"/>
      <c r="H7" s="58">
        <v>1</v>
      </c>
      <c r="I7" s="59"/>
      <c r="J7" s="59">
        <v>1</v>
      </c>
      <c r="K7" s="59"/>
      <c r="L7" s="59">
        <v>1</v>
      </c>
      <c r="M7" s="59"/>
      <c r="N7" s="85">
        <v>1</v>
      </c>
      <c r="O7" s="60">
        <f t="shared" si="1"/>
        <v>0</v>
      </c>
      <c r="P7" s="60">
        <f t="shared" si="1"/>
        <v>83.06</v>
      </c>
      <c r="Q7" s="60">
        <f t="shared" si="1"/>
        <v>0</v>
      </c>
      <c r="R7" s="60">
        <f t="shared" si="1"/>
        <v>83.06</v>
      </c>
      <c r="S7" s="60">
        <f t="shared" si="1"/>
        <v>0</v>
      </c>
      <c r="T7" s="60">
        <f t="shared" si="1"/>
        <v>83.06</v>
      </c>
      <c r="U7" s="60">
        <f t="shared" si="1"/>
        <v>0</v>
      </c>
      <c r="V7" s="60">
        <f t="shared" si="1"/>
        <v>83.06</v>
      </c>
      <c r="W7" s="60">
        <f t="shared" si="1"/>
        <v>0</v>
      </c>
      <c r="X7" s="80">
        <f t="shared" si="1"/>
        <v>83.06</v>
      </c>
      <c r="Y7" s="83" t="e">
        <f t="shared" si="2"/>
        <v>#N/A</v>
      </c>
      <c r="Z7" s="60">
        <f t="shared" si="3"/>
        <v>415.3</v>
      </c>
    </row>
    <row r="8" spans="1:26" ht="15.75" customHeight="1" x14ac:dyDescent="0.4">
      <c r="A8" s="46">
        <v>5</v>
      </c>
      <c r="B8" s="47" t="s">
        <v>162</v>
      </c>
      <c r="C8" s="48" t="s">
        <v>163</v>
      </c>
      <c r="D8" s="49">
        <f>VLOOKUP(C8,'[1]PREÇO ATUAL'!$A:$D,4,0)</f>
        <v>139.9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84"/>
      <c r="O8" s="52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139.9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79">
        <f t="shared" si="1"/>
        <v>0</v>
      </c>
      <c r="Y8" s="82" t="e">
        <f t="shared" si="2"/>
        <v>#N/A</v>
      </c>
      <c r="Z8" s="52">
        <f t="shared" si="3"/>
        <v>139.9</v>
      </c>
    </row>
    <row r="9" spans="1:26" ht="15.75" customHeight="1" x14ac:dyDescent="0.4">
      <c r="A9" s="54">
        <v>6</v>
      </c>
      <c r="B9" s="55" t="s">
        <v>156</v>
      </c>
      <c r="C9" s="56" t="s">
        <v>157</v>
      </c>
      <c r="D9" s="57">
        <f>VLOOKUP(C9,'[1]PREÇO ATUAL'!$A:$D,4,0)</f>
        <v>136.4</v>
      </c>
      <c r="E9" s="58"/>
      <c r="F9" s="58"/>
      <c r="G9" s="58"/>
      <c r="H9" s="58"/>
      <c r="I9" s="59"/>
      <c r="J9" s="59">
        <v>1</v>
      </c>
      <c r="K9" s="59"/>
      <c r="L9" s="59"/>
      <c r="M9" s="59"/>
      <c r="N9" s="85"/>
      <c r="O9" s="60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136.4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80">
        <f t="shared" si="1"/>
        <v>0</v>
      </c>
      <c r="Y9" s="83" t="e">
        <f t="shared" si="2"/>
        <v>#N/A</v>
      </c>
      <c r="Z9" s="60">
        <f t="shared" si="3"/>
        <v>136.4</v>
      </c>
    </row>
    <row r="10" spans="1:26" ht="15.75" customHeight="1" x14ac:dyDescent="0.4">
      <c r="A10" s="46">
        <v>7</v>
      </c>
      <c r="B10" s="47" t="s">
        <v>151</v>
      </c>
      <c r="C10" s="48" t="s">
        <v>152</v>
      </c>
      <c r="D10" s="49">
        <v>89.6</v>
      </c>
      <c r="E10" s="92">
        <v>2.7</v>
      </c>
      <c r="F10" s="92">
        <v>2.7</v>
      </c>
      <c r="G10" s="92">
        <v>2.7</v>
      </c>
      <c r="H10" s="92">
        <v>2.7</v>
      </c>
      <c r="I10" s="93">
        <v>2.7</v>
      </c>
      <c r="J10" s="93">
        <v>2.7</v>
      </c>
      <c r="K10" s="93">
        <v>2.7</v>
      </c>
      <c r="L10" s="93">
        <v>2.7</v>
      </c>
      <c r="M10" s="93">
        <v>2.7</v>
      </c>
      <c r="N10" s="94">
        <v>2.7</v>
      </c>
      <c r="O10" s="52">
        <f t="shared" si="1"/>
        <v>241.92</v>
      </c>
      <c r="P10" s="52">
        <f t="shared" si="1"/>
        <v>241.92</v>
      </c>
      <c r="Q10" s="52">
        <f t="shared" si="1"/>
        <v>241.92</v>
      </c>
      <c r="R10" s="52">
        <f t="shared" si="1"/>
        <v>241.92</v>
      </c>
      <c r="S10" s="52">
        <f t="shared" si="1"/>
        <v>241.92</v>
      </c>
      <c r="T10" s="52">
        <f t="shared" si="1"/>
        <v>241.92</v>
      </c>
      <c r="U10" s="52">
        <f t="shared" si="1"/>
        <v>241.92</v>
      </c>
      <c r="V10" s="52">
        <f t="shared" si="1"/>
        <v>241.92</v>
      </c>
      <c r="W10" s="52">
        <f t="shared" si="1"/>
        <v>241.92</v>
      </c>
      <c r="X10" s="79">
        <f t="shared" si="1"/>
        <v>241.92</v>
      </c>
      <c r="Y10" s="82" t="e">
        <f t="shared" si="2"/>
        <v>#N/A</v>
      </c>
      <c r="Z10" s="52">
        <f t="shared" si="3"/>
        <v>2419.2000000000003</v>
      </c>
    </row>
    <row r="11" spans="1:26" ht="15.75" customHeight="1" x14ac:dyDescent="0.4">
      <c r="A11" s="54">
        <v>8</v>
      </c>
      <c r="B11" s="55" t="s">
        <v>124</v>
      </c>
      <c r="C11" s="56" t="s">
        <v>125</v>
      </c>
      <c r="D11" s="57">
        <f>VLOOKUP(C11,'[1]PREÇO ATUAL'!$A:$D,4,0)</f>
        <v>33.6224930838505</v>
      </c>
      <c r="E11" s="58"/>
      <c r="F11" s="58"/>
      <c r="G11" s="58"/>
      <c r="H11" s="58"/>
      <c r="I11" s="59"/>
      <c r="J11" s="59"/>
      <c r="K11" s="59"/>
      <c r="L11" s="59"/>
      <c r="M11" s="59"/>
      <c r="N11" s="85"/>
      <c r="O11" s="60">
        <f t="shared" si="1"/>
        <v>0</v>
      </c>
      <c r="P11" s="60">
        <f t="shared" si="1"/>
        <v>0</v>
      </c>
      <c r="Q11" s="60">
        <f t="shared" si="1"/>
        <v>0</v>
      </c>
      <c r="R11" s="60">
        <f t="shared" si="1"/>
        <v>0</v>
      </c>
      <c r="S11" s="60">
        <f t="shared" si="1"/>
        <v>0</v>
      </c>
      <c r="T11" s="60">
        <f t="shared" si="1"/>
        <v>0</v>
      </c>
      <c r="U11" s="60">
        <f t="shared" si="1"/>
        <v>0</v>
      </c>
      <c r="V11" s="60">
        <f t="shared" si="1"/>
        <v>0</v>
      </c>
      <c r="W11" s="60">
        <f t="shared" si="1"/>
        <v>0</v>
      </c>
      <c r="X11" s="80">
        <f t="shared" si="1"/>
        <v>0</v>
      </c>
      <c r="Y11" s="83" t="e">
        <f t="shared" si="2"/>
        <v>#N/A</v>
      </c>
      <c r="Z11" s="60">
        <f t="shared" si="3"/>
        <v>0</v>
      </c>
    </row>
    <row r="12" spans="1:26" ht="15.7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63">
        <v>0.95</v>
      </c>
      <c r="F12" s="63">
        <v>1.1499999999999999</v>
      </c>
      <c r="G12" s="63">
        <v>2.1</v>
      </c>
      <c r="H12" s="63">
        <v>1.5</v>
      </c>
      <c r="I12" s="49">
        <v>1.1000000000000001</v>
      </c>
      <c r="J12" s="49">
        <v>4.5</v>
      </c>
      <c r="K12" s="49">
        <v>0.95</v>
      </c>
      <c r="L12" s="49">
        <v>1.5</v>
      </c>
      <c r="M12" s="49">
        <v>2.1</v>
      </c>
      <c r="N12" s="95">
        <v>1.35</v>
      </c>
      <c r="O12" s="52" t="e">
        <f>D12*E12</f>
        <v>#N/A</v>
      </c>
      <c r="P12" s="52" t="e">
        <f t="shared" ref="P12:X12" si="4">$D12*F12</f>
        <v>#N/A</v>
      </c>
      <c r="Q12" s="52" t="e">
        <f t="shared" si="4"/>
        <v>#N/A</v>
      </c>
      <c r="R12" s="52" t="e">
        <f t="shared" si="4"/>
        <v>#N/A</v>
      </c>
      <c r="S12" s="52" t="e">
        <f t="shared" si="4"/>
        <v>#N/A</v>
      </c>
      <c r="T12" s="52" t="e">
        <f t="shared" si="4"/>
        <v>#N/A</v>
      </c>
      <c r="U12" s="52" t="e">
        <f t="shared" si="4"/>
        <v>#N/A</v>
      </c>
      <c r="V12" s="52" t="e">
        <f t="shared" si="4"/>
        <v>#N/A</v>
      </c>
      <c r="W12" s="52" t="e">
        <f t="shared" si="4"/>
        <v>#N/A</v>
      </c>
      <c r="X12" s="79" t="e">
        <f t="shared" si="4"/>
        <v>#N/A</v>
      </c>
      <c r="Y12" s="82" t="e">
        <f t="shared" si="2"/>
        <v>#N/A</v>
      </c>
      <c r="Z12" s="52" t="e">
        <f t="shared" si="3"/>
        <v>#N/A</v>
      </c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</sheetPr>
  <dimension ref="A1:AJ985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50" customWidth="1"/>
    <col min="3" max="3" width="16.84375" customWidth="1"/>
    <col min="4" max="4" width="8.69140625" customWidth="1"/>
    <col min="5" max="19" width="5.15234375" customWidth="1"/>
    <col min="20" max="20" width="14.15234375" customWidth="1"/>
    <col min="21" max="22" width="13.4609375" customWidth="1"/>
    <col min="23" max="23" width="15.3828125" customWidth="1"/>
    <col min="24" max="24" width="13.4609375" customWidth="1"/>
    <col min="25" max="25" width="15.3828125" customWidth="1"/>
    <col min="26" max="26" width="13.4609375" customWidth="1"/>
    <col min="27" max="27" width="15.3828125" customWidth="1"/>
    <col min="28" max="28" width="15.69140625" customWidth="1"/>
    <col min="29" max="30" width="14.53515625" customWidth="1"/>
    <col min="31" max="31" width="15.69140625" customWidth="1"/>
    <col min="32" max="34" width="14.53515625" customWidth="1"/>
    <col min="35" max="35" width="9.15234375" customWidth="1"/>
    <col min="36" max="36" width="15.53515625" customWidth="1"/>
  </cols>
  <sheetData>
    <row r="1" spans="1:36" ht="15.75" customHeight="1" x14ac:dyDescent="0.4">
      <c r="A1" s="239" t="s">
        <v>183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37" t="e">
        <f t="shared" ref="T2:AH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11</v>
      </c>
      <c r="P3" s="42">
        <v>12</v>
      </c>
      <c r="Q3" s="42">
        <v>13</v>
      </c>
      <c r="R3" s="42">
        <v>14</v>
      </c>
      <c r="S3" s="42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e">
        <f>SUM(AI4:AI11)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184</v>
      </c>
      <c r="D4" s="49">
        <f>VLOOKUP(C4,'[1]PREÇO ATUAL'!$A:$D,4,0)</f>
        <v>112.46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71">
        <v>1</v>
      </c>
      <c r="P4" s="51">
        <v>1</v>
      </c>
      <c r="Q4" s="84">
        <v>1</v>
      </c>
      <c r="R4" s="51">
        <v>1</v>
      </c>
      <c r="S4" s="51">
        <v>1</v>
      </c>
      <c r="T4" s="52">
        <f t="shared" ref="T4:AH10" si="1">$D4*E4</f>
        <v>112.46</v>
      </c>
      <c r="U4" s="52">
        <f t="shared" si="1"/>
        <v>112.46</v>
      </c>
      <c r="V4" s="52">
        <f t="shared" si="1"/>
        <v>112.46</v>
      </c>
      <c r="W4" s="52">
        <f t="shared" si="1"/>
        <v>112.46</v>
      </c>
      <c r="X4" s="52">
        <f t="shared" si="1"/>
        <v>112.46</v>
      </c>
      <c r="Y4" s="52">
        <f t="shared" si="1"/>
        <v>112.46</v>
      </c>
      <c r="Z4" s="52">
        <f t="shared" si="1"/>
        <v>112.46</v>
      </c>
      <c r="AA4" s="52">
        <f t="shared" si="1"/>
        <v>112.46</v>
      </c>
      <c r="AB4" s="52">
        <f t="shared" si="1"/>
        <v>112.46</v>
      </c>
      <c r="AC4" s="52">
        <f t="shared" si="1"/>
        <v>112.46</v>
      </c>
      <c r="AD4" s="52">
        <f t="shared" si="1"/>
        <v>112.46</v>
      </c>
      <c r="AE4" s="52">
        <f t="shared" si="1"/>
        <v>112.46</v>
      </c>
      <c r="AF4" s="52">
        <f t="shared" si="1"/>
        <v>112.46</v>
      </c>
      <c r="AG4" s="52">
        <f t="shared" si="1"/>
        <v>112.46</v>
      </c>
      <c r="AH4" s="52">
        <f t="shared" si="1"/>
        <v>112.46</v>
      </c>
      <c r="AI4" s="82" t="e">
        <f t="shared" ref="AI4:AI11" si="2">AJ4/$AI$2</f>
        <v>#N/A</v>
      </c>
      <c r="AJ4" s="52">
        <f t="shared" ref="AJ4:AJ11" si="3">SUM(T4:AH4)</f>
        <v>1686.9000000000003</v>
      </c>
    </row>
    <row r="5" spans="1:36" ht="15" customHeight="1" x14ac:dyDescent="0.4">
      <c r="A5" s="54">
        <v>2</v>
      </c>
      <c r="B5" s="55" t="s">
        <v>114</v>
      </c>
      <c r="C5" s="56" t="s">
        <v>185</v>
      </c>
      <c r="D5" s="57">
        <f>VLOOKUP(C5,'[1]PREÇO ATUAL'!$A:$D,4,0)</f>
        <v>35.9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8">
        <v>1</v>
      </c>
      <c r="O5" s="70">
        <v>1</v>
      </c>
      <c r="P5" s="59">
        <v>1</v>
      </c>
      <c r="Q5" s="85">
        <v>1</v>
      </c>
      <c r="R5" s="59">
        <v>1</v>
      </c>
      <c r="S5" s="59">
        <v>1</v>
      </c>
      <c r="T5" s="60">
        <f t="shared" si="1"/>
        <v>35.9</v>
      </c>
      <c r="U5" s="60">
        <f t="shared" si="1"/>
        <v>35.9</v>
      </c>
      <c r="V5" s="60">
        <f t="shared" si="1"/>
        <v>35.9</v>
      </c>
      <c r="W5" s="60">
        <f t="shared" si="1"/>
        <v>35.9</v>
      </c>
      <c r="X5" s="60">
        <f t="shared" si="1"/>
        <v>35.9</v>
      </c>
      <c r="Y5" s="60">
        <f t="shared" si="1"/>
        <v>35.9</v>
      </c>
      <c r="Z5" s="60">
        <f t="shared" si="1"/>
        <v>35.9</v>
      </c>
      <c r="AA5" s="60">
        <f t="shared" si="1"/>
        <v>35.9</v>
      </c>
      <c r="AB5" s="60">
        <f t="shared" si="1"/>
        <v>35.9</v>
      </c>
      <c r="AC5" s="60">
        <f t="shared" si="1"/>
        <v>35.9</v>
      </c>
      <c r="AD5" s="60">
        <f t="shared" si="1"/>
        <v>35.9</v>
      </c>
      <c r="AE5" s="60">
        <f t="shared" si="1"/>
        <v>35.9</v>
      </c>
      <c r="AF5" s="60">
        <f t="shared" si="1"/>
        <v>35.9</v>
      </c>
      <c r="AG5" s="60">
        <f t="shared" si="1"/>
        <v>35.9</v>
      </c>
      <c r="AH5" s="60">
        <f t="shared" si="1"/>
        <v>35.9</v>
      </c>
      <c r="AI5" s="83" t="e">
        <f t="shared" si="2"/>
        <v>#N/A</v>
      </c>
      <c r="AJ5" s="60">
        <f t="shared" si="3"/>
        <v>538.49999999999989</v>
      </c>
    </row>
    <row r="6" spans="1:36" ht="15" customHeight="1" x14ac:dyDescent="0.4">
      <c r="A6" s="46">
        <v>3</v>
      </c>
      <c r="B6" s="47" t="s">
        <v>116</v>
      </c>
      <c r="C6" s="48" t="s">
        <v>186</v>
      </c>
      <c r="D6" s="49">
        <f>VLOOKUP(C6,'[1]PREÇO ATUAL'!$A:$D,4,0)</f>
        <v>180.21</v>
      </c>
      <c r="E6" s="50"/>
      <c r="F6" s="50"/>
      <c r="G6" s="50">
        <v>1</v>
      </c>
      <c r="H6" s="50"/>
      <c r="I6" s="51"/>
      <c r="J6" s="51">
        <v>1</v>
      </c>
      <c r="K6" s="51"/>
      <c r="L6" s="51"/>
      <c r="M6" s="51">
        <v>1</v>
      </c>
      <c r="N6" s="50"/>
      <c r="O6" s="71"/>
      <c r="P6" s="51">
        <v>1</v>
      </c>
      <c r="Q6" s="51"/>
      <c r="R6" s="51"/>
      <c r="S6" s="51">
        <v>1</v>
      </c>
      <c r="T6" s="52">
        <f t="shared" si="1"/>
        <v>0</v>
      </c>
      <c r="U6" s="52">
        <f t="shared" si="1"/>
        <v>0</v>
      </c>
      <c r="V6" s="52">
        <f t="shared" si="1"/>
        <v>180.21</v>
      </c>
      <c r="W6" s="52">
        <f t="shared" si="1"/>
        <v>0</v>
      </c>
      <c r="X6" s="52">
        <f t="shared" si="1"/>
        <v>0</v>
      </c>
      <c r="Y6" s="52">
        <f t="shared" si="1"/>
        <v>180.21</v>
      </c>
      <c r="Z6" s="52">
        <f t="shared" si="1"/>
        <v>0</v>
      </c>
      <c r="AA6" s="52">
        <f t="shared" si="1"/>
        <v>0</v>
      </c>
      <c r="AB6" s="52">
        <f t="shared" si="1"/>
        <v>180.21</v>
      </c>
      <c r="AC6" s="52">
        <f t="shared" si="1"/>
        <v>0</v>
      </c>
      <c r="AD6" s="52">
        <f t="shared" si="1"/>
        <v>0</v>
      </c>
      <c r="AE6" s="52">
        <f t="shared" si="1"/>
        <v>180.21</v>
      </c>
      <c r="AF6" s="52">
        <f t="shared" si="1"/>
        <v>0</v>
      </c>
      <c r="AG6" s="52">
        <f t="shared" si="1"/>
        <v>0</v>
      </c>
      <c r="AH6" s="52">
        <f t="shared" si="1"/>
        <v>180.21</v>
      </c>
      <c r="AI6" s="82" t="e">
        <f t="shared" si="2"/>
        <v>#N/A</v>
      </c>
      <c r="AJ6" s="52">
        <f t="shared" si="3"/>
        <v>901.05000000000007</v>
      </c>
    </row>
    <row r="7" spans="1:36" ht="15" customHeight="1" x14ac:dyDescent="0.4">
      <c r="A7" s="54">
        <v>4</v>
      </c>
      <c r="B7" s="55" t="s">
        <v>118</v>
      </c>
      <c r="C7" s="56" t="s">
        <v>187</v>
      </c>
      <c r="D7" s="57">
        <f>VLOOKUP(C7,'[1]PREÇO ATUAL'!$A:$D,4,0)</f>
        <v>155.01</v>
      </c>
      <c r="E7" s="58"/>
      <c r="F7" s="58"/>
      <c r="G7" s="58"/>
      <c r="H7" s="58"/>
      <c r="I7" s="59"/>
      <c r="J7" s="59">
        <v>3</v>
      </c>
      <c r="K7" s="59"/>
      <c r="L7" s="59"/>
      <c r="M7" s="59"/>
      <c r="N7" s="58"/>
      <c r="O7" s="70"/>
      <c r="P7" s="59">
        <v>3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60">
        <f t="shared" si="1"/>
        <v>465.03</v>
      </c>
      <c r="Z7" s="60">
        <f t="shared" si="1"/>
        <v>0</v>
      </c>
      <c r="AA7" s="60">
        <f t="shared" si="1"/>
        <v>0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465.03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83" t="e">
        <f t="shared" si="2"/>
        <v>#N/A</v>
      </c>
      <c r="AJ7" s="60">
        <f t="shared" si="3"/>
        <v>930.06</v>
      </c>
    </row>
    <row r="8" spans="1:36" ht="15" customHeight="1" x14ac:dyDescent="0.4">
      <c r="A8" s="46">
        <v>5</v>
      </c>
      <c r="B8" s="47" t="s">
        <v>135</v>
      </c>
      <c r="C8" s="48" t="s">
        <v>123</v>
      </c>
      <c r="D8" s="49">
        <f>VLOOKUP(C8,'[1]PREÇO ATUAL'!$A:$D,4,0)</f>
        <v>165.97811999999999</v>
      </c>
      <c r="E8" s="50"/>
      <c r="F8" s="50"/>
      <c r="G8" s="50"/>
      <c r="H8" s="50"/>
      <c r="I8" s="51"/>
      <c r="J8" s="51"/>
      <c r="K8" s="51"/>
      <c r="L8" s="51"/>
      <c r="M8" s="51"/>
      <c r="N8" s="50"/>
      <c r="O8" s="71"/>
      <c r="P8" s="97">
        <v>2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0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331.95623999999998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82" t="e">
        <f t="shared" si="2"/>
        <v>#N/A</v>
      </c>
      <c r="AJ8" s="52">
        <f t="shared" si="3"/>
        <v>331.95623999999998</v>
      </c>
    </row>
    <row r="9" spans="1:36" ht="1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59"/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0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83" t="e">
        <f t="shared" si="2"/>
        <v>#N/A</v>
      </c>
      <c r="AJ9" s="60">
        <f t="shared" si="3"/>
        <v>0</v>
      </c>
    </row>
    <row r="10" spans="1:36" ht="15" customHeight="1" x14ac:dyDescent="0.4">
      <c r="A10" s="46">
        <v>7</v>
      </c>
      <c r="B10" s="47" t="s">
        <v>188</v>
      </c>
      <c r="C10" s="48" t="s">
        <v>189</v>
      </c>
      <c r="D10" s="49">
        <f>VLOOKUP(C10,'[1]PREÇO ATUAL'!$A:$D,4,0)</f>
        <v>87.82</v>
      </c>
      <c r="E10" s="75">
        <v>3.5</v>
      </c>
      <c r="F10" s="75">
        <v>3.5</v>
      </c>
      <c r="G10" s="75">
        <v>3.5</v>
      </c>
      <c r="H10" s="75">
        <v>3.5</v>
      </c>
      <c r="I10" s="76">
        <v>3.5</v>
      </c>
      <c r="J10" s="76">
        <v>3.5</v>
      </c>
      <c r="K10" s="76">
        <v>3.5</v>
      </c>
      <c r="L10" s="76">
        <v>3.5</v>
      </c>
      <c r="M10" s="76">
        <v>3.5</v>
      </c>
      <c r="N10" s="75">
        <v>3.5</v>
      </c>
      <c r="O10" s="98">
        <v>3.5</v>
      </c>
      <c r="P10" s="76">
        <v>3.5</v>
      </c>
      <c r="Q10" s="76">
        <v>3.5</v>
      </c>
      <c r="R10" s="76">
        <v>3.5</v>
      </c>
      <c r="S10" s="76">
        <v>3.5</v>
      </c>
      <c r="T10" s="52">
        <f t="shared" si="1"/>
        <v>307.37</v>
      </c>
      <c r="U10" s="52">
        <f t="shared" si="1"/>
        <v>307.37</v>
      </c>
      <c r="V10" s="52">
        <f t="shared" si="1"/>
        <v>307.37</v>
      </c>
      <c r="W10" s="52">
        <f t="shared" si="1"/>
        <v>307.37</v>
      </c>
      <c r="X10" s="52">
        <f t="shared" si="1"/>
        <v>307.37</v>
      </c>
      <c r="Y10" s="52">
        <f t="shared" si="1"/>
        <v>307.37</v>
      </c>
      <c r="Z10" s="52">
        <f t="shared" si="1"/>
        <v>307.37</v>
      </c>
      <c r="AA10" s="52">
        <f t="shared" si="1"/>
        <v>307.37</v>
      </c>
      <c r="AB10" s="52">
        <f t="shared" si="1"/>
        <v>307.37</v>
      </c>
      <c r="AC10" s="52">
        <f t="shared" si="1"/>
        <v>307.37</v>
      </c>
      <c r="AD10" s="52">
        <f t="shared" si="1"/>
        <v>307.37</v>
      </c>
      <c r="AE10" s="52">
        <f t="shared" si="1"/>
        <v>307.37</v>
      </c>
      <c r="AF10" s="52">
        <f t="shared" si="1"/>
        <v>307.37</v>
      </c>
      <c r="AG10" s="52">
        <f t="shared" si="1"/>
        <v>307.37</v>
      </c>
      <c r="AH10" s="52">
        <f t="shared" si="1"/>
        <v>307.37</v>
      </c>
      <c r="AI10" s="82" t="e">
        <f t="shared" si="2"/>
        <v>#N/A</v>
      </c>
      <c r="AJ10" s="52">
        <f t="shared" si="3"/>
        <v>4610.5499999999993</v>
      </c>
    </row>
    <row r="11" spans="1:36" ht="1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73">
        <v>0.85</v>
      </c>
      <c r="F11" s="73">
        <v>0.9</v>
      </c>
      <c r="G11" s="73">
        <v>0.85</v>
      </c>
      <c r="H11" s="73">
        <v>0.9</v>
      </c>
      <c r="I11" s="74">
        <v>0.95</v>
      </c>
      <c r="J11" s="74">
        <v>1.05</v>
      </c>
      <c r="K11" s="74">
        <v>0.85</v>
      </c>
      <c r="L11" s="74">
        <v>0.9</v>
      </c>
      <c r="M11" s="74">
        <v>0.85</v>
      </c>
      <c r="N11" s="73">
        <v>1</v>
      </c>
      <c r="O11" s="99">
        <v>0.85</v>
      </c>
      <c r="P11" s="74">
        <v>1.35</v>
      </c>
      <c r="Q11" s="74">
        <v>0.85</v>
      </c>
      <c r="R11" s="74">
        <v>0.9</v>
      </c>
      <c r="S11" s="74">
        <v>0.95</v>
      </c>
      <c r="T11" s="60" t="e">
        <f>D11*E11</f>
        <v>#N/A</v>
      </c>
      <c r="U11" s="60" t="e">
        <f t="shared" ref="U11:AH11" si="4">$D11*F11</f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0" t="e">
        <f t="shared" si="4"/>
        <v>#N/A</v>
      </c>
      <c r="Z11" s="60" t="e">
        <f t="shared" si="4"/>
        <v>#N/A</v>
      </c>
      <c r="AA11" s="60" t="e">
        <f t="shared" si="4"/>
        <v>#N/A</v>
      </c>
      <c r="AB11" s="60" t="e">
        <f t="shared" si="4"/>
        <v>#N/A</v>
      </c>
      <c r="AC11" s="100" t="e">
        <f t="shared" si="4"/>
        <v>#N/A</v>
      </c>
      <c r="AD11" s="100" t="e">
        <f t="shared" si="4"/>
        <v>#N/A</v>
      </c>
      <c r="AE11" s="100" t="e">
        <f t="shared" si="4"/>
        <v>#N/A</v>
      </c>
      <c r="AF11" s="100" t="e">
        <f t="shared" si="4"/>
        <v>#N/A</v>
      </c>
      <c r="AG11" s="100" t="e">
        <f t="shared" si="4"/>
        <v>#N/A</v>
      </c>
      <c r="AH11" s="100" t="e">
        <f t="shared" si="4"/>
        <v>#N/A</v>
      </c>
      <c r="AI11" s="83" t="e">
        <f t="shared" si="2"/>
        <v>#N/A</v>
      </c>
      <c r="AJ11" s="60" t="e">
        <f t="shared" si="3"/>
        <v>#N/A</v>
      </c>
    </row>
    <row r="12" spans="1:36" ht="15" customHeight="1" x14ac:dyDescent="0.4">
      <c r="H12" s="65"/>
      <c r="L12" s="65"/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5">
    <mergeCell ref="A1:D2"/>
    <mergeCell ref="E1:S1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</sheetPr>
  <dimension ref="A1:AJ974"/>
  <sheetViews>
    <sheetView showGridLines="0" zoomScaleNormal="100" workbookViewId="0">
      <pane xSplit="4" topLeftCell="E1" activePane="topRight" state="frozen"/>
      <selection pane="topRight"/>
    </sheetView>
  </sheetViews>
  <sheetFormatPr defaultColWidth="14.4609375" defaultRowHeight="14.6" x14ac:dyDescent="0.4"/>
  <cols>
    <col min="1" max="1" width="3.69140625" customWidth="1"/>
    <col min="2" max="2" width="60.61328125" customWidth="1"/>
    <col min="3" max="3" width="16.84375" customWidth="1"/>
    <col min="4" max="4" width="8.69140625" customWidth="1"/>
    <col min="5" max="19" width="5.15234375" customWidth="1"/>
    <col min="20" max="22" width="14.53515625" customWidth="1"/>
    <col min="23" max="23" width="17.15234375" customWidth="1"/>
    <col min="24" max="24" width="15.69140625" customWidth="1"/>
    <col min="25" max="25" width="16.84375" customWidth="1"/>
    <col min="26" max="26" width="15.69140625" customWidth="1"/>
    <col min="27" max="27" width="17.15234375" customWidth="1"/>
    <col min="28" max="28" width="15.69140625" customWidth="1"/>
    <col min="29" max="30" width="14.53515625" customWidth="1"/>
    <col min="31" max="31" width="15.69140625" customWidth="1"/>
    <col min="32" max="33" width="14.53515625" customWidth="1"/>
    <col min="34" max="34" width="15.69140625" customWidth="1"/>
    <col min="35" max="35" width="9.15234375" customWidth="1"/>
    <col min="36" max="36" width="15.53515625" customWidth="1"/>
  </cols>
  <sheetData>
    <row r="1" spans="1:36" ht="15.75" customHeight="1" x14ac:dyDescent="0.4">
      <c r="A1" s="233" t="s">
        <v>190</v>
      </c>
      <c r="B1" s="211"/>
      <c r="C1" s="211"/>
      <c r="D1" s="211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17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38" t="e">
        <f t="shared" ref="T2:AH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8" t="e">
        <f t="shared" si="0"/>
        <v>#N/A</v>
      </c>
      <c r="AE2" s="101" t="e">
        <f t="shared" si="0"/>
        <v>#N/A</v>
      </c>
      <c r="AF2" s="101" t="e">
        <f t="shared" si="0"/>
        <v>#N/A</v>
      </c>
      <c r="AG2" s="101" t="e">
        <f t="shared" si="0"/>
        <v>#N/A</v>
      </c>
      <c r="AH2" s="102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191</v>
      </c>
      <c r="B3" s="39" t="s">
        <v>6</v>
      </c>
      <c r="C3" s="40" t="s">
        <v>7</v>
      </c>
      <c r="D3" s="41" t="s">
        <v>8</v>
      </c>
      <c r="E3" s="43" t="s">
        <v>102</v>
      </c>
      <c r="F3" s="43" t="s">
        <v>103</v>
      </c>
      <c r="G3" s="43" t="s">
        <v>104</v>
      </c>
      <c r="H3" s="43" t="s">
        <v>105</v>
      </c>
      <c r="I3" s="43" t="s">
        <v>106</v>
      </c>
      <c r="J3" s="43" t="s">
        <v>107</v>
      </c>
      <c r="K3" s="43" t="s">
        <v>108</v>
      </c>
      <c r="L3" s="43" t="s">
        <v>109</v>
      </c>
      <c r="M3" s="43" t="s">
        <v>110</v>
      </c>
      <c r="N3" s="43" t="s">
        <v>111</v>
      </c>
      <c r="O3" s="43">
        <v>11</v>
      </c>
      <c r="P3" s="43">
        <v>12</v>
      </c>
      <c r="Q3" s="43">
        <v>13</v>
      </c>
      <c r="R3" s="43">
        <v>14</v>
      </c>
      <c r="S3" s="43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2">
        <f>AD3+10000</f>
        <v>120000</v>
      </c>
      <c r="AF3" s="42">
        <f>AE3+10000</f>
        <v>130000</v>
      </c>
      <c r="AG3" s="42">
        <f>AF3+10000</f>
        <v>140000</v>
      </c>
      <c r="AH3" s="42">
        <f>AG3+10000</f>
        <v>150000</v>
      </c>
      <c r="AI3" s="45" t="e">
        <f>SUM(AI4:AI11)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0">
        <v>1</v>
      </c>
      <c r="P4" s="50">
        <v>1</v>
      </c>
      <c r="Q4" s="50">
        <v>1</v>
      </c>
      <c r="R4" s="50">
        <v>1</v>
      </c>
      <c r="S4" s="50">
        <v>1</v>
      </c>
      <c r="T4" s="52">
        <f t="shared" ref="T4:AH10" si="1">$D4*E4</f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2">
        <f t="shared" si="1"/>
        <v>79.900000000000006</v>
      </c>
      <c r="Z4" s="52">
        <f t="shared" si="1"/>
        <v>79.900000000000006</v>
      </c>
      <c r="AA4" s="52">
        <f t="shared" si="1"/>
        <v>79.900000000000006</v>
      </c>
      <c r="AB4" s="52">
        <f t="shared" si="1"/>
        <v>79.900000000000006</v>
      </c>
      <c r="AC4" s="52">
        <f t="shared" si="1"/>
        <v>79.900000000000006</v>
      </c>
      <c r="AD4" s="103">
        <f t="shared" si="1"/>
        <v>79.900000000000006</v>
      </c>
      <c r="AE4" s="52">
        <f t="shared" si="1"/>
        <v>79.900000000000006</v>
      </c>
      <c r="AF4" s="52">
        <f t="shared" si="1"/>
        <v>79.900000000000006</v>
      </c>
      <c r="AG4" s="52">
        <f t="shared" si="1"/>
        <v>79.900000000000006</v>
      </c>
      <c r="AH4" s="52">
        <f t="shared" si="1"/>
        <v>79.900000000000006</v>
      </c>
      <c r="AI4" s="82" t="e">
        <f t="shared" ref="AI4:AI11" si="2">AJ4/$AI$2</f>
        <v>#N/A</v>
      </c>
      <c r="AJ4" s="52">
        <f t="shared" ref="AJ4:AJ11" si="3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70"/>
      <c r="P5" s="58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60">
        <f t="shared" si="1"/>
        <v>35.9</v>
      </c>
      <c r="AD5" s="104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83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71"/>
      <c r="P6" s="50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89.9</v>
      </c>
      <c r="V6" s="52">
        <f t="shared" si="1"/>
        <v>0</v>
      </c>
      <c r="W6" s="52">
        <f t="shared" si="1"/>
        <v>89.9</v>
      </c>
      <c r="X6" s="52">
        <f t="shared" si="1"/>
        <v>0</v>
      </c>
      <c r="Y6" s="52">
        <f t="shared" si="1"/>
        <v>89.9</v>
      </c>
      <c r="Z6" s="52">
        <f t="shared" si="1"/>
        <v>0</v>
      </c>
      <c r="AA6" s="52">
        <f t="shared" si="1"/>
        <v>89.9</v>
      </c>
      <c r="AB6" s="52">
        <f t="shared" si="1"/>
        <v>0</v>
      </c>
      <c r="AC6" s="52">
        <f t="shared" si="1"/>
        <v>89.9</v>
      </c>
      <c r="AD6" s="103">
        <f t="shared" si="1"/>
        <v>0</v>
      </c>
      <c r="AE6" s="52">
        <f t="shared" si="1"/>
        <v>89.9</v>
      </c>
      <c r="AF6" s="52">
        <f t="shared" si="1"/>
        <v>0</v>
      </c>
      <c r="AG6" s="52">
        <f t="shared" si="1"/>
        <v>89.9</v>
      </c>
      <c r="AH6" s="52">
        <f t="shared" si="1"/>
        <v>0</v>
      </c>
      <c r="AI6" s="82" t="e">
        <f t="shared" si="2"/>
        <v>#N/A</v>
      </c>
      <c r="AJ6" s="52">
        <f t="shared" si="3"/>
        <v>629.29999999999995</v>
      </c>
    </row>
    <row r="7" spans="1:36" ht="1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4</v>
      </c>
      <c r="I7" s="59"/>
      <c r="J7" s="59"/>
      <c r="K7" s="59"/>
      <c r="L7" s="59">
        <v>4</v>
      </c>
      <c r="M7" s="59"/>
      <c r="N7" s="58"/>
      <c r="O7" s="70"/>
      <c r="P7" s="58">
        <v>4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703.6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703.6</v>
      </c>
      <c r="AB7" s="60">
        <f t="shared" si="1"/>
        <v>0</v>
      </c>
      <c r="AC7" s="60">
        <f t="shared" si="1"/>
        <v>0</v>
      </c>
      <c r="AD7" s="104">
        <f t="shared" si="1"/>
        <v>0</v>
      </c>
      <c r="AE7" s="60">
        <f t="shared" si="1"/>
        <v>703.6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83" t="e">
        <f t="shared" si="2"/>
        <v>#N/A</v>
      </c>
      <c r="AJ7" s="60">
        <f t="shared" si="3"/>
        <v>2110.8000000000002</v>
      </c>
    </row>
    <row r="8" spans="1:36" ht="1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0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143.22999999999999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103">
        <f t="shared" si="1"/>
        <v>0</v>
      </c>
      <c r="AE8" s="52">
        <f t="shared" si="1"/>
        <v>143.22999999999999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82" t="e">
        <f t="shared" si="2"/>
        <v>#N/A</v>
      </c>
      <c r="AJ8" s="52">
        <f t="shared" si="3"/>
        <v>286.45999999999998</v>
      </c>
    </row>
    <row r="9" spans="1:36" ht="1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58"/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104">
        <f t="shared" si="1"/>
        <v>0</v>
      </c>
      <c r="AE9" s="60">
        <f t="shared" si="1"/>
        <v>0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83" t="e">
        <f t="shared" si="2"/>
        <v>#N/A</v>
      </c>
      <c r="AJ9" s="60">
        <f t="shared" si="3"/>
        <v>0</v>
      </c>
    </row>
    <row r="10" spans="1:36" ht="15" customHeight="1" x14ac:dyDescent="0.4">
      <c r="A10" s="46">
        <v>7</v>
      </c>
      <c r="B10" s="47" t="s">
        <v>126</v>
      </c>
      <c r="C10" s="48" t="s">
        <v>127</v>
      </c>
      <c r="D10" s="49">
        <f>VLOOKUP(C10,'[1]PREÇO ATUAL'!$A:$D,4,0)</f>
        <v>81.260000000000005</v>
      </c>
      <c r="E10" s="75">
        <v>3.36</v>
      </c>
      <c r="F10" s="75">
        <v>3.36</v>
      </c>
      <c r="G10" s="75">
        <v>3.36</v>
      </c>
      <c r="H10" s="75">
        <v>3.36</v>
      </c>
      <c r="I10" s="75">
        <v>3.36</v>
      </c>
      <c r="J10" s="75">
        <v>3.36</v>
      </c>
      <c r="K10" s="75">
        <v>3.36</v>
      </c>
      <c r="L10" s="75">
        <v>3.36</v>
      </c>
      <c r="M10" s="75">
        <v>3.36</v>
      </c>
      <c r="N10" s="75">
        <v>3.36</v>
      </c>
      <c r="O10" s="75">
        <v>3.36</v>
      </c>
      <c r="P10" s="75">
        <v>3.36</v>
      </c>
      <c r="Q10" s="75">
        <v>3.36</v>
      </c>
      <c r="R10" s="75">
        <v>3.36</v>
      </c>
      <c r="S10" s="75">
        <v>3.36</v>
      </c>
      <c r="T10" s="52">
        <f t="shared" si="1"/>
        <v>273.03360000000004</v>
      </c>
      <c r="U10" s="52">
        <f t="shared" si="1"/>
        <v>273.03360000000004</v>
      </c>
      <c r="V10" s="52">
        <f t="shared" si="1"/>
        <v>273.03360000000004</v>
      </c>
      <c r="W10" s="52">
        <f t="shared" si="1"/>
        <v>273.03360000000004</v>
      </c>
      <c r="X10" s="52">
        <f t="shared" si="1"/>
        <v>273.03360000000004</v>
      </c>
      <c r="Y10" s="52">
        <f t="shared" si="1"/>
        <v>273.03360000000004</v>
      </c>
      <c r="Z10" s="52">
        <f t="shared" si="1"/>
        <v>273.03360000000004</v>
      </c>
      <c r="AA10" s="52">
        <f t="shared" si="1"/>
        <v>273.03360000000004</v>
      </c>
      <c r="AB10" s="52">
        <f t="shared" si="1"/>
        <v>273.03360000000004</v>
      </c>
      <c r="AC10" s="52">
        <f t="shared" si="1"/>
        <v>273.03360000000004</v>
      </c>
      <c r="AD10" s="103">
        <f t="shared" si="1"/>
        <v>273.03360000000004</v>
      </c>
      <c r="AE10" s="52">
        <f t="shared" si="1"/>
        <v>273.03360000000004</v>
      </c>
      <c r="AF10" s="52">
        <f t="shared" si="1"/>
        <v>273.03360000000004</v>
      </c>
      <c r="AG10" s="52">
        <f t="shared" si="1"/>
        <v>273.03360000000004</v>
      </c>
      <c r="AH10" s="52">
        <f t="shared" si="1"/>
        <v>273.03360000000004</v>
      </c>
      <c r="AI10" s="82" t="e">
        <f t="shared" si="2"/>
        <v>#N/A</v>
      </c>
      <c r="AJ10" s="52">
        <f t="shared" si="3"/>
        <v>4095.5040000000017</v>
      </c>
    </row>
    <row r="11" spans="1:36" ht="1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64">
        <v>0.8</v>
      </c>
      <c r="F11" s="64">
        <v>1</v>
      </c>
      <c r="G11" s="64">
        <v>0.85</v>
      </c>
      <c r="H11" s="64">
        <v>1.35</v>
      </c>
      <c r="I11" s="57">
        <v>0.95</v>
      </c>
      <c r="J11" s="57">
        <v>1.1000000000000001</v>
      </c>
      <c r="K11" s="57">
        <v>0.8</v>
      </c>
      <c r="L11" s="57">
        <v>1.35</v>
      </c>
      <c r="M11" s="57">
        <v>0.85</v>
      </c>
      <c r="N11" s="64">
        <v>1.1499999999999999</v>
      </c>
      <c r="O11" s="72">
        <v>0.8</v>
      </c>
      <c r="P11" s="64">
        <v>1.65</v>
      </c>
      <c r="Q11" s="57">
        <v>0.8</v>
      </c>
      <c r="R11" s="57">
        <v>1</v>
      </c>
      <c r="S11" s="57">
        <v>1</v>
      </c>
      <c r="T11" s="60" t="e">
        <f>D11*E11</f>
        <v>#N/A</v>
      </c>
      <c r="U11" s="60" t="e">
        <f t="shared" ref="U11:AH11" si="4">$D11*F11</f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0" t="e">
        <f t="shared" si="4"/>
        <v>#N/A</v>
      </c>
      <c r="Z11" s="60" t="e">
        <f t="shared" si="4"/>
        <v>#N/A</v>
      </c>
      <c r="AA11" s="60" t="e">
        <f t="shared" si="4"/>
        <v>#N/A</v>
      </c>
      <c r="AB11" s="60" t="e">
        <f t="shared" si="4"/>
        <v>#N/A</v>
      </c>
      <c r="AC11" s="60" t="e">
        <f t="shared" si="4"/>
        <v>#N/A</v>
      </c>
      <c r="AD11" s="104" t="e">
        <f t="shared" si="4"/>
        <v>#N/A</v>
      </c>
      <c r="AE11" s="60" t="e">
        <f t="shared" si="4"/>
        <v>#N/A</v>
      </c>
      <c r="AF11" s="60" t="e">
        <f t="shared" si="4"/>
        <v>#N/A</v>
      </c>
      <c r="AG11" s="60" t="e">
        <f t="shared" si="4"/>
        <v>#N/A</v>
      </c>
      <c r="AH11" s="60" t="e">
        <f t="shared" si="4"/>
        <v>#N/A</v>
      </c>
      <c r="AI11" s="83" t="e">
        <f t="shared" si="2"/>
        <v>#N/A</v>
      </c>
      <c r="AJ11" s="60" t="e">
        <f t="shared" si="3"/>
        <v>#N/A</v>
      </c>
    </row>
    <row r="12" spans="1:36" ht="15" customHeight="1" x14ac:dyDescent="0.4">
      <c r="H12" s="65"/>
    </row>
    <row r="13" spans="1:36" ht="15.75" customHeight="1" x14ac:dyDescent="0.4">
      <c r="A13" s="233" t="s">
        <v>192</v>
      </c>
      <c r="B13" s="211"/>
      <c r="C13" s="211"/>
      <c r="D13" s="211"/>
      <c r="E13" s="218" t="s">
        <v>1</v>
      </c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22" t="s">
        <v>2</v>
      </c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32" t="s">
        <v>3</v>
      </c>
      <c r="AJ13" s="209"/>
    </row>
    <row r="14" spans="1:36" ht="15" customHeight="1" x14ac:dyDescent="0.4">
      <c r="A14" s="234"/>
      <c r="B14" s="217"/>
      <c r="C14" s="217"/>
      <c r="D14" s="217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38" t="e">
        <f t="shared" ref="T14:AH14" si="5">MROUND(SUM(T16:T24),1)</f>
        <v>#N/A</v>
      </c>
      <c r="U14" s="37" t="e">
        <f t="shared" si="5"/>
        <v>#N/A</v>
      </c>
      <c r="V14" s="37" t="e">
        <f t="shared" si="5"/>
        <v>#N/A</v>
      </c>
      <c r="W14" s="37" t="e">
        <f t="shared" si="5"/>
        <v>#N/A</v>
      </c>
      <c r="X14" s="37" t="e">
        <f t="shared" si="5"/>
        <v>#N/A</v>
      </c>
      <c r="Y14" s="37" t="e">
        <f t="shared" si="5"/>
        <v>#N/A</v>
      </c>
      <c r="Z14" s="37" t="e">
        <f t="shared" si="5"/>
        <v>#N/A</v>
      </c>
      <c r="AA14" s="37" t="e">
        <f t="shared" si="5"/>
        <v>#N/A</v>
      </c>
      <c r="AB14" s="37" t="e">
        <f t="shared" si="5"/>
        <v>#N/A</v>
      </c>
      <c r="AC14" s="37" t="e">
        <f t="shared" si="5"/>
        <v>#N/A</v>
      </c>
      <c r="AD14" s="38" t="e">
        <f t="shared" si="5"/>
        <v>#N/A</v>
      </c>
      <c r="AE14" s="101" t="e">
        <f t="shared" si="5"/>
        <v>#N/A</v>
      </c>
      <c r="AF14" s="101" t="e">
        <f t="shared" si="5"/>
        <v>#N/A</v>
      </c>
      <c r="AG14" s="101" t="e">
        <f t="shared" si="5"/>
        <v>#N/A</v>
      </c>
      <c r="AH14" s="102" t="e">
        <f t="shared" si="5"/>
        <v>#N/A</v>
      </c>
      <c r="AI14" s="208" t="e">
        <f>SUM(T14:AH14)</f>
        <v>#N/A</v>
      </c>
      <c r="AJ14" s="209"/>
    </row>
    <row r="15" spans="1:36" ht="15" customHeight="1" x14ac:dyDescent="0.4">
      <c r="A15" s="39" t="s">
        <v>5</v>
      </c>
      <c r="B15" s="39" t="s">
        <v>6</v>
      </c>
      <c r="C15" s="40" t="s">
        <v>7</v>
      </c>
      <c r="D15" s="41" t="s">
        <v>8</v>
      </c>
      <c r="E15" s="43" t="s">
        <v>102</v>
      </c>
      <c r="F15" s="43" t="s">
        <v>103</v>
      </c>
      <c r="G15" s="43" t="s">
        <v>104</v>
      </c>
      <c r="H15" s="43" t="s">
        <v>105</v>
      </c>
      <c r="I15" s="43" t="s">
        <v>106</v>
      </c>
      <c r="J15" s="43" t="s">
        <v>107</v>
      </c>
      <c r="K15" s="43" t="s">
        <v>108</v>
      </c>
      <c r="L15" s="43" t="s">
        <v>109</v>
      </c>
      <c r="M15" s="43" t="s">
        <v>110</v>
      </c>
      <c r="N15" s="43" t="s">
        <v>111</v>
      </c>
      <c r="O15" s="43">
        <v>11</v>
      </c>
      <c r="P15" s="43">
        <v>12</v>
      </c>
      <c r="Q15" s="43">
        <v>13</v>
      </c>
      <c r="R15" s="43">
        <v>14</v>
      </c>
      <c r="S15" s="43">
        <v>15</v>
      </c>
      <c r="T15" s="42">
        <v>10000</v>
      </c>
      <c r="U15" s="42">
        <v>20000</v>
      </c>
      <c r="V15" s="42">
        <v>30000</v>
      </c>
      <c r="W15" s="42">
        <v>40000</v>
      </c>
      <c r="X15" s="42">
        <v>50000</v>
      </c>
      <c r="Y15" s="42">
        <v>60000</v>
      </c>
      <c r="Z15" s="42">
        <v>70000</v>
      </c>
      <c r="AA15" s="42">
        <v>80000</v>
      </c>
      <c r="AB15" s="42">
        <v>90000</v>
      </c>
      <c r="AC15" s="42">
        <v>100000</v>
      </c>
      <c r="AD15" s="44">
        <f>AC15+10000</f>
        <v>110000</v>
      </c>
      <c r="AE15" s="42">
        <f>AD15+10000</f>
        <v>120000</v>
      </c>
      <c r="AF15" s="42">
        <f>AE15+10000</f>
        <v>130000</v>
      </c>
      <c r="AG15" s="42">
        <f>AF15+10000</f>
        <v>140000</v>
      </c>
      <c r="AH15" s="42">
        <f>AG15+10000</f>
        <v>150000</v>
      </c>
      <c r="AI15" s="45" t="e">
        <f>SUM(AI16:AI24)</f>
        <v>#N/A</v>
      </c>
      <c r="AJ15" s="39" t="s">
        <v>25</v>
      </c>
    </row>
    <row r="16" spans="1:36" ht="15" customHeight="1" x14ac:dyDescent="0.4">
      <c r="A16" s="46">
        <v>1</v>
      </c>
      <c r="B16" s="47" t="s">
        <v>112</v>
      </c>
      <c r="C16" s="48" t="s">
        <v>113</v>
      </c>
      <c r="D16" s="49">
        <f>VLOOKUP(C16,'[1]PREÇO ATUAL'!$A:$D,4,0)</f>
        <v>79.900000000000006</v>
      </c>
      <c r="E16" s="50">
        <v>1</v>
      </c>
      <c r="F16" s="50">
        <v>1</v>
      </c>
      <c r="G16" s="50">
        <v>1</v>
      </c>
      <c r="H16" s="50">
        <v>1</v>
      </c>
      <c r="I16" s="51">
        <v>1</v>
      </c>
      <c r="J16" s="51">
        <v>1</v>
      </c>
      <c r="K16" s="51">
        <v>1</v>
      </c>
      <c r="L16" s="51">
        <v>1</v>
      </c>
      <c r="M16" s="51">
        <v>1</v>
      </c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2">
        <f t="shared" ref="T16:AH23" si="6">$D16*E16</f>
        <v>79.900000000000006</v>
      </c>
      <c r="U16" s="52">
        <f t="shared" si="6"/>
        <v>79.900000000000006</v>
      </c>
      <c r="V16" s="52">
        <f t="shared" si="6"/>
        <v>79.900000000000006</v>
      </c>
      <c r="W16" s="52">
        <f t="shared" si="6"/>
        <v>79.900000000000006</v>
      </c>
      <c r="X16" s="52">
        <f t="shared" si="6"/>
        <v>79.900000000000006</v>
      </c>
      <c r="Y16" s="52">
        <f t="shared" si="6"/>
        <v>79.900000000000006</v>
      </c>
      <c r="Z16" s="52">
        <f t="shared" si="6"/>
        <v>79.900000000000006</v>
      </c>
      <c r="AA16" s="52">
        <f t="shared" si="6"/>
        <v>79.900000000000006</v>
      </c>
      <c r="AB16" s="52">
        <f t="shared" si="6"/>
        <v>79.900000000000006</v>
      </c>
      <c r="AC16" s="52">
        <f t="shared" si="6"/>
        <v>79.900000000000006</v>
      </c>
      <c r="AD16" s="103">
        <f t="shared" si="6"/>
        <v>79.900000000000006</v>
      </c>
      <c r="AE16" s="52">
        <f t="shared" si="6"/>
        <v>79.900000000000006</v>
      </c>
      <c r="AF16" s="52">
        <f t="shared" si="6"/>
        <v>79.900000000000006</v>
      </c>
      <c r="AG16" s="52">
        <f t="shared" si="6"/>
        <v>79.900000000000006</v>
      </c>
      <c r="AH16" s="52">
        <f t="shared" si="6"/>
        <v>79.900000000000006</v>
      </c>
      <c r="AI16" s="82" t="e">
        <f t="shared" ref="AI16:AI24" si="7">AJ16/$AI$2</f>
        <v>#N/A</v>
      </c>
      <c r="AJ16" s="52">
        <f t="shared" ref="AJ16:AJ24" si="8">SUM(T16:AH16)</f>
        <v>1198.5</v>
      </c>
    </row>
    <row r="17" spans="1:36" ht="15" customHeight="1" x14ac:dyDescent="0.4">
      <c r="A17" s="54">
        <v>2</v>
      </c>
      <c r="B17" s="55" t="s">
        <v>114</v>
      </c>
      <c r="C17" s="56" t="s">
        <v>115</v>
      </c>
      <c r="D17" s="57">
        <f>VLOOKUP(C17,'[1]PREÇO ATUAL'!$A:$D,4,0)</f>
        <v>35.9</v>
      </c>
      <c r="E17" s="58"/>
      <c r="F17" s="58">
        <v>1</v>
      </c>
      <c r="G17" s="58"/>
      <c r="H17" s="58">
        <v>1</v>
      </c>
      <c r="I17" s="59"/>
      <c r="J17" s="59">
        <v>1</v>
      </c>
      <c r="K17" s="59"/>
      <c r="L17" s="59">
        <v>1</v>
      </c>
      <c r="M17" s="59"/>
      <c r="N17" s="58">
        <v>1</v>
      </c>
      <c r="O17" s="70"/>
      <c r="P17" s="58">
        <v>1</v>
      </c>
      <c r="Q17" s="59"/>
      <c r="R17" s="59">
        <v>1</v>
      </c>
      <c r="S17" s="59"/>
      <c r="T17" s="60">
        <f t="shared" si="6"/>
        <v>0</v>
      </c>
      <c r="U17" s="60">
        <f t="shared" si="6"/>
        <v>35.9</v>
      </c>
      <c r="V17" s="60">
        <f t="shared" si="6"/>
        <v>0</v>
      </c>
      <c r="W17" s="60">
        <f t="shared" si="6"/>
        <v>35.9</v>
      </c>
      <c r="X17" s="60">
        <f t="shared" si="6"/>
        <v>0</v>
      </c>
      <c r="Y17" s="60">
        <f t="shared" si="6"/>
        <v>35.9</v>
      </c>
      <c r="Z17" s="60">
        <f t="shared" si="6"/>
        <v>0</v>
      </c>
      <c r="AA17" s="60">
        <f t="shared" si="6"/>
        <v>35.9</v>
      </c>
      <c r="AB17" s="60">
        <f t="shared" si="6"/>
        <v>0</v>
      </c>
      <c r="AC17" s="60">
        <f t="shared" si="6"/>
        <v>35.9</v>
      </c>
      <c r="AD17" s="104">
        <f t="shared" si="6"/>
        <v>0</v>
      </c>
      <c r="AE17" s="60">
        <f t="shared" si="6"/>
        <v>35.9</v>
      </c>
      <c r="AF17" s="60">
        <f t="shared" si="6"/>
        <v>0</v>
      </c>
      <c r="AG17" s="60">
        <f t="shared" si="6"/>
        <v>35.9</v>
      </c>
      <c r="AH17" s="60">
        <f t="shared" si="6"/>
        <v>0</v>
      </c>
      <c r="AI17" s="83" t="e">
        <f t="shared" si="7"/>
        <v>#N/A</v>
      </c>
      <c r="AJ17" s="60">
        <f t="shared" si="8"/>
        <v>251.3</v>
      </c>
    </row>
    <row r="18" spans="1:36" ht="15" customHeight="1" x14ac:dyDescent="0.4">
      <c r="A18" s="46">
        <v>3</v>
      </c>
      <c r="B18" s="47" t="s">
        <v>116</v>
      </c>
      <c r="C18" s="48" t="s">
        <v>117</v>
      </c>
      <c r="D18" s="49">
        <f>VLOOKUP(C18,'[1]PREÇO ATUAL'!$A:$D,4,0)</f>
        <v>89.9</v>
      </c>
      <c r="E18" s="50"/>
      <c r="F18" s="50">
        <v>1</v>
      </c>
      <c r="G18" s="50"/>
      <c r="H18" s="50">
        <v>1</v>
      </c>
      <c r="I18" s="51"/>
      <c r="J18" s="51">
        <v>1</v>
      </c>
      <c r="K18" s="51"/>
      <c r="L18" s="51">
        <v>1</v>
      </c>
      <c r="M18" s="51"/>
      <c r="N18" s="50">
        <v>1</v>
      </c>
      <c r="O18" s="71"/>
      <c r="P18" s="50">
        <v>1</v>
      </c>
      <c r="Q18" s="51"/>
      <c r="R18" s="51">
        <v>1</v>
      </c>
      <c r="S18" s="51"/>
      <c r="T18" s="52">
        <f t="shared" si="6"/>
        <v>0</v>
      </c>
      <c r="U18" s="52">
        <f t="shared" si="6"/>
        <v>89.9</v>
      </c>
      <c r="V18" s="52">
        <f t="shared" si="6"/>
        <v>0</v>
      </c>
      <c r="W18" s="52">
        <f t="shared" si="6"/>
        <v>89.9</v>
      </c>
      <c r="X18" s="52">
        <f t="shared" si="6"/>
        <v>0</v>
      </c>
      <c r="Y18" s="52">
        <f t="shared" si="6"/>
        <v>89.9</v>
      </c>
      <c r="Z18" s="52">
        <f t="shared" si="6"/>
        <v>0</v>
      </c>
      <c r="AA18" s="52">
        <f t="shared" si="6"/>
        <v>89.9</v>
      </c>
      <c r="AB18" s="52">
        <f t="shared" si="6"/>
        <v>0</v>
      </c>
      <c r="AC18" s="52">
        <f t="shared" si="6"/>
        <v>89.9</v>
      </c>
      <c r="AD18" s="103">
        <f t="shared" si="6"/>
        <v>0</v>
      </c>
      <c r="AE18" s="52">
        <f t="shared" si="6"/>
        <v>89.9</v>
      </c>
      <c r="AF18" s="52">
        <f t="shared" si="6"/>
        <v>0</v>
      </c>
      <c r="AG18" s="52">
        <f t="shared" si="6"/>
        <v>89.9</v>
      </c>
      <c r="AH18" s="52">
        <f t="shared" si="6"/>
        <v>0</v>
      </c>
      <c r="AI18" s="82" t="e">
        <f t="shared" si="7"/>
        <v>#N/A</v>
      </c>
      <c r="AJ18" s="52">
        <f t="shared" si="8"/>
        <v>629.29999999999995</v>
      </c>
    </row>
    <row r="19" spans="1:36" ht="15" customHeight="1" x14ac:dyDescent="0.4">
      <c r="A19" s="54">
        <v>4</v>
      </c>
      <c r="B19" s="55" t="s">
        <v>118</v>
      </c>
      <c r="C19" s="56" t="s">
        <v>119</v>
      </c>
      <c r="D19" s="57">
        <f>VLOOKUP(C19,'[1]PREÇO ATUAL'!$A:$D,4,0)</f>
        <v>175.9</v>
      </c>
      <c r="E19" s="58"/>
      <c r="F19" s="58"/>
      <c r="G19" s="58"/>
      <c r="H19" s="58">
        <v>4</v>
      </c>
      <c r="I19" s="59"/>
      <c r="J19" s="59"/>
      <c r="K19" s="59"/>
      <c r="L19" s="59">
        <v>4</v>
      </c>
      <c r="M19" s="59"/>
      <c r="N19" s="58"/>
      <c r="O19" s="70"/>
      <c r="P19" s="58">
        <v>4</v>
      </c>
      <c r="Q19" s="59"/>
      <c r="R19" s="59"/>
      <c r="S19" s="59">
        <v>4</v>
      </c>
      <c r="T19" s="60">
        <f t="shared" si="6"/>
        <v>0</v>
      </c>
      <c r="U19" s="60">
        <f t="shared" si="6"/>
        <v>0</v>
      </c>
      <c r="V19" s="60">
        <f t="shared" si="6"/>
        <v>0</v>
      </c>
      <c r="W19" s="60">
        <f t="shared" si="6"/>
        <v>703.6</v>
      </c>
      <c r="X19" s="60">
        <f t="shared" si="6"/>
        <v>0</v>
      </c>
      <c r="Y19" s="60">
        <f t="shared" si="6"/>
        <v>0</v>
      </c>
      <c r="Z19" s="60">
        <f t="shared" si="6"/>
        <v>0</v>
      </c>
      <c r="AA19" s="60">
        <f t="shared" si="6"/>
        <v>703.6</v>
      </c>
      <c r="AB19" s="60">
        <f t="shared" si="6"/>
        <v>0</v>
      </c>
      <c r="AC19" s="60">
        <f t="shared" si="6"/>
        <v>0</v>
      </c>
      <c r="AD19" s="104">
        <f t="shared" si="6"/>
        <v>0</v>
      </c>
      <c r="AE19" s="60">
        <f t="shared" si="6"/>
        <v>703.6</v>
      </c>
      <c r="AF19" s="60">
        <f t="shared" si="6"/>
        <v>0</v>
      </c>
      <c r="AG19" s="60">
        <f t="shared" si="6"/>
        <v>0</v>
      </c>
      <c r="AH19" s="60">
        <f t="shared" si="6"/>
        <v>703.6</v>
      </c>
      <c r="AI19" s="83" t="e">
        <f t="shared" si="7"/>
        <v>#N/A</v>
      </c>
      <c r="AJ19" s="60">
        <f t="shared" si="8"/>
        <v>2814.4</v>
      </c>
    </row>
    <row r="20" spans="1:36" ht="15" customHeight="1" x14ac:dyDescent="0.4">
      <c r="A20" s="46">
        <v>5</v>
      </c>
      <c r="B20" s="47" t="s">
        <v>120</v>
      </c>
      <c r="C20" s="48" t="s">
        <v>121</v>
      </c>
      <c r="D20" s="49">
        <f>VLOOKUP(C20,'[1]PREÇO ATUAL'!$A:$D,4,0)</f>
        <v>143.22999999999999</v>
      </c>
      <c r="E20" s="50"/>
      <c r="F20" s="50"/>
      <c r="G20" s="50"/>
      <c r="H20" s="50"/>
      <c r="I20" s="51"/>
      <c r="J20" s="51">
        <v>1</v>
      </c>
      <c r="K20" s="51"/>
      <c r="L20" s="51"/>
      <c r="M20" s="51"/>
      <c r="N20" s="50"/>
      <c r="O20" s="71"/>
      <c r="P20" s="50">
        <v>1</v>
      </c>
      <c r="Q20" s="51"/>
      <c r="R20" s="51"/>
      <c r="S20" s="51"/>
      <c r="T20" s="52">
        <f t="shared" si="6"/>
        <v>0</v>
      </c>
      <c r="U20" s="52">
        <f t="shared" si="6"/>
        <v>0</v>
      </c>
      <c r="V20" s="52">
        <f t="shared" si="6"/>
        <v>0</v>
      </c>
      <c r="W20" s="52">
        <f t="shared" si="6"/>
        <v>0</v>
      </c>
      <c r="X20" s="52">
        <f t="shared" si="6"/>
        <v>0</v>
      </c>
      <c r="Y20" s="52">
        <f t="shared" si="6"/>
        <v>143.22999999999999</v>
      </c>
      <c r="Z20" s="52">
        <f t="shared" si="6"/>
        <v>0</v>
      </c>
      <c r="AA20" s="52">
        <f t="shared" si="6"/>
        <v>0</v>
      </c>
      <c r="AB20" s="52">
        <f t="shared" si="6"/>
        <v>0</v>
      </c>
      <c r="AC20" s="52">
        <f t="shared" si="6"/>
        <v>0</v>
      </c>
      <c r="AD20" s="103">
        <f t="shared" si="6"/>
        <v>0</v>
      </c>
      <c r="AE20" s="52">
        <f t="shared" si="6"/>
        <v>143.22999999999999</v>
      </c>
      <c r="AF20" s="52">
        <f t="shared" si="6"/>
        <v>0</v>
      </c>
      <c r="AG20" s="52">
        <f t="shared" si="6"/>
        <v>0</v>
      </c>
      <c r="AH20" s="52">
        <f t="shared" si="6"/>
        <v>0</v>
      </c>
      <c r="AI20" s="82" t="e">
        <f t="shared" si="7"/>
        <v>#N/A</v>
      </c>
      <c r="AJ20" s="52">
        <f t="shared" si="8"/>
        <v>286.45999999999998</v>
      </c>
    </row>
    <row r="21" spans="1:36" ht="32.25" customHeight="1" x14ac:dyDescent="0.4">
      <c r="A21" s="54">
        <v>6</v>
      </c>
      <c r="B21" s="67" t="s">
        <v>193</v>
      </c>
      <c r="C21" s="56" t="s">
        <v>123</v>
      </c>
      <c r="D21" s="57">
        <f>VLOOKUP(C21,'[1]PREÇO ATUAL'!$A:$D,4,0)</f>
        <v>165.97811999999999</v>
      </c>
      <c r="E21" s="73"/>
      <c r="F21" s="73"/>
      <c r="G21" s="73"/>
      <c r="H21" s="73"/>
      <c r="I21" s="74"/>
      <c r="J21" s="74"/>
      <c r="K21" s="74"/>
      <c r="L21" s="74"/>
      <c r="M21" s="74"/>
      <c r="N21" s="73"/>
      <c r="O21" s="99"/>
      <c r="P21" s="105">
        <v>2</v>
      </c>
      <c r="Q21" s="74"/>
      <c r="R21" s="74"/>
      <c r="S21" s="74"/>
      <c r="T21" s="60">
        <f t="shared" si="6"/>
        <v>0</v>
      </c>
      <c r="U21" s="60">
        <f t="shared" si="6"/>
        <v>0</v>
      </c>
      <c r="V21" s="60">
        <f t="shared" si="6"/>
        <v>0</v>
      </c>
      <c r="W21" s="60">
        <f t="shared" si="6"/>
        <v>0</v>
      </c>
      <c r="X21" s="60">
        <f t="shared" si="6"/>
        <v>0</v>
      </c>
      <c r="Y21" s="60">
        <f t="shared" si="6"/>
        <v>0</v>
      </c>
      <c r="Z21" s="60">
        <f t="shared" si="6"/>
        <v>0</v>
      </c>
      <c r="AA21" s="60">
        <f t="shared" si="6"/>
        <v>0</v>
      </c>
      <c r="AB21" s="60">
        <f t="shared" si="6"/>
        <v>0</v>
      </c>
      <c r="AC21" s="60">
        <f t="shared" si="6"/>
        <v>0</v>
      </c>
      <c r="AD21" s="104">
        <f t="shared" si="6"/>
        <v>0</v>
      </c>
      <c r="AE21" s="60">
        <f t="shared" si="6"/>
        <v>331.95623999999998</v>
      </c>
      <c r="AF21" s="60">
        <f t="shared" si="6"/>
        <v>0</v>
      </c>
      <c r="AG21" s="60">
        <f t="shared" si="6"/>
        <v>0</v>
      </c>
      <c r="AH21" s="60">
        <f t="shared" si="6"/>
        <v>0</v>
      </c>
      <c r="AI21" s="83" t="e">
        <f t="shared" si="7"/>
        <v>#N/A</v>
      </c>
      <c r="AJ21" s="60">
        <f t="shared" si="8"/>
        <v>331.95623999999998</v>
      </c>
    </row>
    <row r="22" spans="1:36" ht="15" customHeight="1" x14ac:dyDescent="0.4">
      <c r="A22" s="46">
        <v>7</v>
      </c>
      <c r="B22" s="47" t="s">
        <v>124</v>
      </c>
      <c r="C22" s="48" t="s">
        <v>125</v>
      </c>
      <c r="D22" s="49">
        <f>VLOOKUP(C22,'[1]PREÇO ATUAL'!$A:$D,4,0)</f>
        <v>33.6224930838505</v>
      </c>
      <c r="E22" s="75"/>
      <c r="F22" s="75"/>
      <c r="G22" s="75"/>
      <c r="H22" s="75"/>
      <c r="I22" s="76"/>
      <c r="J22" s="76"/>
      <c r="K22" s="76"/>
      <c r="L22" s="76"/>
      <c r="M22" s="76"/>
      <c r="N22" s="75"/>
      <c r="O22" s="98"/>
      <c r="P22" s="75"/>
      <c r="Q22" s="76"/>
      <c r="R22" s="76"/>
      <c r="S22" s="76"/>
      <c r="T22" s="52">
        <f t="shared" si="6"/>
        <v>0</v>
      </c>
      <c r="U22" s="52">
        <f t="shared" si="6"/>
        <v>0</v>
      </c>
      <c r="V22" s="52">
        <f t="shared" si="6"/>
        <v>0</v>
      </c>
      <c r="W22" s="52">
        <f t="shared" si="6"/>
        <v>0</v>
      </c>
      <c r="X22" s="52">
        <f t="shared" si="6"/>
        <v>0</v>
      </c>
      <c r="Y22" s="52">
        <f t="shared" si="6"/>
        <v>0</v>
      </c>
      <c r="Z22" s="52">
        <f t="shared" si="6"/>
        <v>0</v>
      </c>
      <c r="AA22" s="52">
        <f t="shared" si="6"/>
        <v>0</v>
      </c>
      <c r="AB22" s="52">
        <f t="shared" si="6"/>
        <v>0</v>
      </c>
      <c r="AC22" s="52">
        <f t="shared" si="6"/>
        <v>0</v>
      </c>
      <c r="AD22" s="103">
        <f t="shared" si="6"/>
        <v>0</v>
      </c>
      <c r="AE22" s="52">
        <f t="shared" si="6"/>
        <v>0</v>
      </c>
      <c r="AF22" s="52">
        <f t="shared" si="6"/>
        <v>0</v>
      </c>
      <c r="AG22" s="52">
        <f t="shared" si="6"/>
        <v>0</v>
      </c>
      <c r="AH22" s="52">
        <f t="shared" si="6"/>
        <v>0</v>
      </c>
      <c r="AI22" s="82" t="e">
        <f t="shared" si="7"/>
        <v>#N/A</v>
      </c>
      <c r="AJ22" s="52">
        <f t="shared" si="8"/>
        <v>0</v>
      </c>
    </row>
    <row r="23" spans="1:36" ht="15" customHeight="1" x14ac:dyDescent="0.4">
      <c r="A23" s="54">
        <v>8</v>
      </c>
      <c r="B23" s="55" t="s">
        <v>126</v>
      </c>
      <c r="C23" s="56" t="s">
        <v>127</v>
      </c>
      <c r="D23" s="57">
        <f>VLOOKUP(C23,'[1]PREÇO ATUAL'!$A:$D,4,0)</f>
        <v>81.260000000000005</v>
      </c>
      <c r="E23" s="73">
        <v>3.36</v>
      </c>
      <c r="F23" s="73">
        <v>3.36</v>
      </c>
      <c r="G23" s="73">
        <v>3.36</v>
      </c>
      <c r="H23" s="73">
        <v>3.36</v>
      </c>
      <c r="I23" s="74">
        <v>3.36</v>
      </c>
      <c r="J23" s="74">
        <v>3.36</v>
      </c>
      <c r="K23" s="74">
        <v>3.36</v>
      </c>
      <c r="L23" s="74">
        <v>3.36</v>
      </c>
      <c r="M23" s="74">
        <v>3.36</v>
      </c>
      <c r="N23" s="73">
        <v>3.36</v>
      </c>
      <c r="O23" s="99">
        <v>3.36</v>
      </c>
      <c r="P23" s="73">
        <v>3.36</v>
      </c>
      <c r="Q23" s="74">
        <v>3.36</v>
      </c>
      <c r="R23" s="74">
        <v>3.36</v>
      </c>
      <c r="S23" s="74">
        <v>3.36</v>
      </c>
      <c r="T23" s="60">
        <f t="shared" si="6"/>
        <v>273.03360000000004</v>
      </c>
      <c r="U23" s="60">
        <f t="shared" si="6"/>
        <v>273.03360000000004</v>
      </c>
      <c r="V23" s="60">
        <f t="shared" si="6"/>
        <v>273.03360000000004</v>
      </c>
      <c r="W23" s="60">
        <f t="shared" si="6"/>
        <v>273.03360000000004</v>
      </c>
      <c r="X23" s="60">
        <f t="shared" si="6"/>
        <v>273.03360000000004</v>
      </c>
      <c r="Y23" s="60">
        <f t="shared" si="6"/>
        <v>273.03360000000004</v>
      </c>
      <c r="Z23" s="60">
        <f t="shared" si="6"/>
        <v>273.03360000000004</v>
      </c>
      <c r="AA23" s="60">
        <f t="shared" si="6"/>
        <v>273.03360000000004</v>
      </c>
      <c r="AB23" s="60">
        <f t="shared" si="6"/>
        <v>273.03360000000004</v>
      </c>
      <c r="AC23" s="60">
        <f t="shared" si="6"/>
        <v>273.03360000000004</v>
      </c>
      <c r="AD23" s="104">
        <f t="shared" si="6"/>
        <v>273.03360000000004</v>
      </c>
      <c r="AE23" s="60">
        <f t="shared" si="6"/>
        <v>273.03360000000004</v>
      </c>
      <c r="AF23" s="60">
        <f t="shared" si="6"/>
        <v>273.03360000000004</v>
      </c>
      <c r="AG23" s="60">
        <f t="shared" si="6"/>
        <v>273.03360000000004</v>
      </c>
      <c r="AH23" s="60">
        <f t="shared" si="6"/>
        <v>273.03360000000004</v>
      </c>
      <c r="AI23" s="83" t="e">
        <f t="shared" si="7"/>
        <v>#N/A</v>
      </c>
      <c r="AJ23" s="60">
        <f t="shared" si="8"/>
        <v>4095.5040000000017</v>
      </c>
    </row>
    <row r="24" spans="1:36" ht="15" customHeight="1" x14ac:dyDescent="0.4">
      <c r="A24" s="46">
        <v>9</v>
      </c>
      <c r="B24" s="47" t="s">
        <v>128</v>
      </c>
      <c r="C24" s="48" t="s">
        <v>54</v>
      </c>
      <c r="D24" s="49" t="e">
        <f>VLOOKUP(C24,'[1]PREÇO ATUAL'!$A:$D,4,0)</f>
        <v>#N/A</v>
      </c>
      <c r="E24" s="75">
        <v>0.8</v>
      </c>
      <c r="F24" s="75">
        <v>1</v>
      </c>
      <c r="G24" s="75">
        <v>0.85</v>
      </c>
      <c r="H24" s="75">
        <v>1.35</v>
      </c>
      <c r="I24" s="76">
        <v>0.95</v>
      </c>
      <c r="J24" s="76">
        <v>1.1000000000000001</v>
      </c>
      <c r="K24" s="76">
        <v>0.8</v>
      </c>
      <c r="L24" s="76">
        <v>1.35</v>
      </c>
      <c r="M24" s="76">
        <v>0.85</v>
      </c>
      <c r="N24" s="75">
        <v>1.1499999999999999</v>
      </c>
      <c r="O24" s="98">
        <v>0.8</v>
      </c>
      <c r="P24" s="75">
        <v>1.65</v>
      </c>
      <c r="Q24" s="76">
        <v>0.8</v>
      </c>
      <c r="R24" s="76">
        <v>1</v>
      </c>
      <c r="S24" s="76">
        <v>1</v>
      </c>
      <c r="T24" s="52" t="e">
        <f>D24*E24</f>
        <v>#N/A</v>
      </c>
      <c r="U24" s="52" t="e">
        <f t="shared" ref="U24:AH24" si="9">$D24*F24</f>
        <v>#N/A</v>
      </c>
      <c r="V24" s="52" t="e">
        <f t="shared" si="9"/>
        <v>#N/A</v>
      </c>
      <c r="W24" s="52" t="e">
        <f t="shared" si="9"/>
        <v>#N/A</v>
      </c>
      <c r="X24" s="52" t="e">
        <f t="shared" si="9"/>
        <v>#N/A</v>
      </c>
      <c r="Y24" s="52" t="e">
        <f t="shared" si="9"/>
        <v>#N/A</v>
      </c>
      <c r="Z24" s="52" t="e">
        <f t="shared" si="9"/>
        <v>#N/A</v>
      </c>
      <c r="AA24" s="52" t="e">
        <f t="shared" si="9"/>
        <v>#N/A</v>
      </c>
      <c r="AB24" s="52" t="e">
        <f t="shared" si="9"/>
        <v>#N/A</v>
      </c>
      <c r="AC24" s="52" t="e">
        <f t="shared" si="9"/>
        <v>#N/A</v>
      </c>
      <c r="AD24" s="103" t="e">
        <f t="shared" si="9"/>
        <v>#N/A</v>
      </c>
      <c r="AE24" s="52" t="e">
        <f t="shared" si="9"/>
        <v>#N/A</v>
      </c>
      <c r="AF24" s="52" t="e">
        <f t="shared" si="9"/>
        <v>#N/A</v>
      </c>
      <c r="AG24" s="52" t="e">
        <f t="shared" si="9"/>
        <v>#N/A</v>
      </c>
      <c r="AH24" s="52" t="e">
        <f t="shared" si="9"/>
        <v>#N/A</v>
      </c>
      <c r="AI24" s="82" t="e">
        <f t="shared" si="7"/>
        <v>#N/A</v>
      </c>
      <c r="AJ24" s="52" t="e">
        <f t="shared" si="8"/>
        <v>#N/A</v>
      </c>
    </row>
    <row r="25" spans="1:36" ht="15.75" customHeight="1" x14ac:dyDescent="0.4"/>
    <row r="26" spans="1:36" ht="15.75" customHeight="1" x14ac:dyDescent="0.4"/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</sheetData>
  <mergeCells count="10">
    <mergeCell ref="A1:D2"/>
    <mergeCell ref="AI13:AJ13"/>
    <mergeCell ref="E1:S1"/>
    <mergeCell ref="AI1:AJ1"/>
    <mergeCell ref="T1:AH1"/>
    <mergeCell ref="AI2:AJ2"/>
    <mergeCell ref="A13:D14"/>
    <mergeCell ref="E13:S13"/>
    <mergeCell ref="AI14:AJ14"/>
    <mergeCell ref="T13:AH1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</sheetPr>
  <dimension ref="A1:AJ974"/>
  <sheetViews>
    <sheetView showGridLines="0" zoomScaleNormal="100" workbookViewId="0">
      <pane xSplit="4" topLeftCell="Z1" activePane="topRight" state="frozen"/>
      <selection pane="topRight" activeCell="D18" sqref="D18"/>
    </sheetView>
  </sheetViews>
  <sheetFormatPr defaultColWidth="14.4609375" defaultRowHeight="14.6" x14ac:dyDescent="0.4"/>
  <cols>
    <col min="1" max="1" width="3.69140625" customWidth="1"/>
    <col min="2" max="2" width="61.3046875" customWidth="1"/>
    <col min="3" max="3" width="16.84375" customWidth="1"/>
    <col min="4" max="4" width="8.69140625" customWidth="1"/>
    <col min="5" max="5" width="6.53515625" customWidth="1"/>
    <col min="6" max="13" width="5.4609375" customWidth="1"/>
    <col min="14" max="19" width="5.53515625" customWidth="1"/>
    <col min="20" max="21" width="14.53515625" customWidth="1"/>
    <col min="22" max="22" width="15.69140625" customWidth="1"/>
    <col min="23" max="23" width="17.15234375" customWidth="1"/>
    <col min="24" max="24" width="15.69140625" customWidth="1"/>
    <col min="25" max="25" width="16.84375" customWidth="1"/>
    <col min="26" max="26" width="15.69140625" customWidth="1"/>
    <col min="27" max="27" width="17.15234375" customWidth="1"/>
    <col min="28" max="28" width="15.69140625" customWidth="1"/>
    <col min="29" max="30" width="14.53515625" customWidth="1"/>
    <col min="31" max="31" width="15.69140625" customWidth="1"/>
    <col min="32" max="33" width="14.53515625" customWidth="1"/>
    <col min="34" max="34" width="15.69140625" customWidth="1"/>
    <col min="35" max="35" width="9.15234375" customWidth="1"/>
    <col min="36" max="36" width="15.53515625" customWidth="1"/>
  </cols>
  <sheetData>
    <row r="1" spans="1:36" ht="15" customHeight="1" x14ac:dyDescent="0.4">
      <c r="A1" s="233" t="s">
        <v>194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35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H2" si="0">MROUND(SUM(T4:T14),1)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11</v>
      </c>
      <c r="P3" s="42">
        <v>12</v>
      </c>
      <c r="Q3" s="42">
        <v>13</v>
      </c>
      <c r="R3" s="42">
        <v>14</v>
      </c>
      <c r="S3" s="42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2">
        <f>AD3+10000</f>
        <v>120000</v>
      </c>
      <c r="AF3" s="42">
        <f>AE3+10000</f>
        <v>130000</v>
      </c>
      <c r="AG3" s="42">
        <f>AF3+10000</f>
        <v>140000</v>
      </c>
      <c r="AH3" s="42">
        <f>AG3+10000</f>
        <v>150000</v>
      </c>
      <c r="AI3" s="45" t="e">
        <f>SUM(AI4:AI14)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159</v>
      </c>
      <c r="D4" s="49">
        <f>VLOOKUP(C4,'[1]PREÇO ATUAL'!$A:$D,4,0)</f>
        <v>71.2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0">
        <v>1</v>
      </c>
      <c r="P4" s="50">
        <v>1</v>
      </c>
      <c r="Q4" s="50">
        <v>1</v>
      </c>
      <c r="R4" s="50">
        <v>1</v>
      </c>
      <c r="S4" s="50">
        <v>1</v>
      </c>
      <c r="T4" s="52">
        <f t="shared" ref="T4:AH11" si="1">$D4*E4</f>
        <v>71.2</v>
      </c>
      <c r="U4" s="52">
        <f t="shared" si="1"/>
        <v>71.2</v>
      </c>
      <c r="V4" s="52">
        <f t="shared" si="1"/>
        <v>71.2</v>
      </c>
      <c r="W4" s="52">
        <f t="shared" si="1"/>
        <v>71.2</v>
      </c>
      <c r="X4" s="52">
        <f t="shared" si="1"/>
        <v>71.2</v>
      </c>
      <c r="Y4" s="52">
        <f t="shared" si="1"/>
        <v>71.2</v>
      </c>
      <c r="Z4" s="52">
        <f t="shared" si="1"/>
        <v>71.2</v>
      </c>
      <c r="AA4" s="52">
        <f t="shared" si="1"/>
        <v>71.2</v>
      </c>
      <c r="AB4" s="52">
        <f t="shared" si="1"/>
        <v>71.2</v>
      </c>
      <c r="AC4" s="79">
        <f t="shared" si="1"/>
        <v>71.2</v>
      </c>
      <c r="AD4" s="103">
        <f t="shared" si="1"/>
        <v>71.2</v>
      </c>
      <c r="AE4" s="52">
        <f t="shared" si="1"/>
        <v>71.2</v>
      </c>
      <c r="AF4" s="52">
        <f t="shared" si="1"/>
        <v>71.2</v>
      </c>
      <c r="AG4" s="52">
        <f t="shared" si="1"/>
        <v>71.2</v>
      </c>
      <c r="AH4" s="52">
        <f t="shared" si="1"/>
        <v>71.2</v>
      </c>
      <c r="AI4" s="82" t="e">
        <f t="shared" ref="AI4:AI14" si="2">AJ4/$AI$2</f>
        <v>#N/A</v>
      </c>
      <c r="AJ4" s="52">
        <f t="shared" ref="AJ4:AJ14" si="3">SUM(T4:AC4)</f>
        <v>712.00000000000011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70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80">
        <f t="shared" si="1"/>
        <v>35.9</v>
      </c>
      <c r="AD5" s="104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83" t="e">
        <f t="shared" si="2"/>
        <v>#N/A</v>
      </c>
      <c r="AJ5" s="60">
        <f t="shared" si="3"/>
        <v>179.5</v>
      </c>
    </row>
    <row r="6" spans="1:36" ht="15" customHeight="1" x14ac:dyDescent="0.4">
      <c r="A6" s="46">
        <v>3</v>
      </c>
      <c r="B6" s="47" t="s">
        <v>116</v>
      </c>
      <c r="C6" s="48" t="s">
        <v>161</v>
      </c>
      <c r="D6" s="49">
        <f>VLOOKUP(C6,'[1]PREÇO ATUAL'!$A:$D,4,0)</f>
        <v>83.06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7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83.06</v>
      </c>
      <c r="V6" s="52">
        <f t="shared" si="1"/>
        <v>0</v>
      </c>
      <c r="W6" s="52">
        <f t="shared" si="1"/>
        <v>83.06</v>
      </c>
      <c r="X6" s="52">
        <f t="shared" si="1"/>
        <v>0</v>
      </c>
      <c r="Y6" s="52">
        <f t="shared" si="1"/>
        <v>83.06</v>
      </c>
      <c r="Z6" s="52">
        <f t="shared" si="1"/>
        <v>0</v>
      </c>
      <c r="AA6" s="52">
        <f t="shared" si="1"/>
        <v>83.06</v>
      </c>
      <c r="AB6" s="52">
        <f t="shared" si="1"/>
        <v>0</v>
      </c>
      <c r="AC6" s="79">
        <f t="shared" si="1"/>
        <v>83.06</v>
      </c>
      <c r="AD6" s="103">
        <f t="shared" si="1"/>
        <v>0</v>
      </c>
      <c r="AE6" s="52">
        <f t="shared" si="1"/>
        <v>83.06</v>
      </c>
      <c r="AF6" s="52">
        <f t="shared" si="1"/>
        <v>0</v>
      </c>
      <c r="AG6" s="52">
        <f t="shared" si="1"/>
        <v>83.06</v>
      </c>
      <c r="AH6" s="52">
        <f t="shared" si="1"/>
        <v>0</v>
      </c>
      <c r="AI6" s="82" t="e">
        <f t="shared" si="2"/>
        <v>#N/A</v>
      </c>
      <c r="AJ6" s="52">
        <f t="shared" si="3"/>
        <v>415.3</v>
      </c>
    </row>
    <row r="7" spans="1:36" ht="15" customHeight="1" x14ac:dyDescent="0.4">
      <c r="A7" s="54">
        <v>4</v>
      </c>
      <c r="B7" s="55" t="s">
        <v>118</v>
      </c>
      <c r="C7" s="56" t="s">
        <v>182</v>
      </c>
      <c r="D7" s="57">
        <f>VLOOKUP(C7,'[1]PREÇO ATUAL'!$A:$D,4,0)</f>
        <v>41.9</v>
      </c>
      <c r="E7" s="58"/>
      <c r="F7" s="58"/>
      <c r="G7" s="58">
        <v>4</v>
      </c>
      <c r="H7" s="58"/>
      <c r="I7" s="59"/>
      <c r="J7" s="59">
        <v>4</v>
      </c>
      <c r="K7" s="59"/>
      <c r="L7" s="59"/>
      <c r="M7" s="59">
        <v>4</v>
      </c>
      <c r="N7" s="58"/>
      <c r="O7" s="70"/>
      <c r="P7" s="59">
        <v>4</v>
      </c>
      <c r="Q7" s="59"/>
      <c r="R7" s="59"/>
      <c r="S7" s="59">
        <v>4</v>
      </c>
      <c r="T7" s="60">
        <f t="shared" si="1"/>
        <v>0</v>
      </c>
      <c r="U7" s="60">
        <f t="shared" si="1"/>
        <v>0</v>
      </c>
      <c r="V7" s="60">
        <f t="shared" si="1"/>
        <v>167.6</v>
      </c>
      <c r="W7" s="60">
        <f t="shared" si="1"/>
        <v>0</v>
      </c>
      <c r="X7" s="60">
        <f t="shared" si="1"/>
        <v>0</v>
      </c>
      <c r="Y7" s="60">
        <f t="shared" si="1"/>
        <v>167.6</v>
      </c>
      <c r="Z7" s="60">
        <f t="shared" si="1"/>
        <v>0</v>
      </c>
      <c r="AA7" s="60">
        <f t="shared" si="1"/>
        <v>0</v>
      </c>
      <c r="AB7" s="60">
        <f t="shared" si="1"/>
        <v>167.6</v>
      </c>
      <c r="AC7" s="80">
        <f t="shared" si="1"/>
        <v>0</v>
      </c>
      <c r="AD7" s="104">
        <f t="shared" si="1"/>
        <v>0</v>
      </c>
      <c r="AE7" s="60">
        <f t="shared" si="1"/>
        <v>167.6</v>
      </c>
      <c r="AF7" s="60">
        <f t="shared" si="1"/>
        <v>0</v>
      </c>
      <c r="AG7" s="60">
        <f t="shared" si="1"/>
        <v>0</v>
      </c>
      <c r="AH7" s="60">
        <f t="shared" si="1"/>
        <v>167.6</v>
      </c>
      <c r="AI7" s="83" t="e">
        <f t="shared" si="2"/>
        <v>#N/A</v>
      </c>
      <c r="AJ7" s="60">
        <f t="shared" si="3"/>
        <v>502.79999999999995</v>
      </c>
    </row>
    <row r="8" spans="1:36" ht="15.75" customHeight="1" x14ac:dyDescent="0.4">
      <c r="A8" s="46">
        <v>5</v>
      </c>
      <c r="B8" s="47" t="s">
        <v>195</v>
      </c>
      <c r="C8" s="48" t="s">
        <v>179</v>
      </c>
      <c r="D8" s="49">
        <f>VLOOKUP(C8,'[1]PREÇO ATUAL'!$A:$D,4,0)</f>
        <v>110.87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110.87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79">
        <f t="shared" si="1"/>
        <v>0</v>
      </c>
      <c r="AD8" s="103">
        <f t="shared" si="1"/>
        <v>0</v>
      </c>
      <c r="AE8" s="52">
        <f t="shared" si="1"/>
        <v>110.87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82" t="e">
        <f t="shared" si="2"/>
        <v>#N/A</v>
      </c>
      <c r="AJ8" s="52">
        <f t="shared" si="3"/>
        <v>110.87</v>
      </c>
    </row>
    <row r="9" spans="1:36" ht="15.75" customHeight="1" x14ac:dyDescent="0.4">
      <c r="A9" s="54">
        <v>6</v>
      </c>
      <c r="B9" s="55" t="s">
        <v>196</v>
      </c>
      <c r="C9" s="56" t="s">
        <v>197</v>
      </c>
      <c r="D9" s="57">
        <f>VLOOKUP(C9,'[1]PREÇO ATUAL'!$A:$D,4,0)</f>
        <v>149.54</v>
      </c>
      <c r="E9" s="64"/>
      <c r="F9" s="64"/>
      <c r="G9" s="64"/>
      <c r="H9" s="64"/>
      <c r="I9" s="57"/>
      <c r="J9" s="89">
        <v>1</v>
      </c>
      <c r="K9" s="57"/>
      <c r="L9" s="57"/>
      <c r="M9" s="57"/>
      <c r="N9" s="64"/>
      <c r="O9" s="72"/>
      <c r="P9" s="89">
        <v>1</v>
      </c>
      <c r="Q9" s="57"/>
      <c r="R9" s="57"/>
      <c r="S9" s="57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149.54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80">
        <f t="shared" si="1"/>
        <v>0</v>
      </c>
      <c r="AD9" s="104">
        <f t="shared" si="1"/>
        <v>0</v>
      </c>
      <c r="AE9" s="60">
        <f t="shared" si="1"/>
        <v>149.54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83" t="e">
        <f t="shared" si="2"/>
        <v>#N/A</v>
      </c>
      <c r="AJ9" s="60">
        <f t="shared" si="3"/>
        <v>149.54</v>
      </c>
    </row>
    <row r="10" spans="1:36" ht="15.75" customHeight="1" x14ac:dyDescent="0.4">
      <c r="A10" s="46">
        <v>7</v>
      </c>
      <c r="B10" s="47" t="s">
        <v>198</v>
      </c>
      <c r="C10" s="48" t="s">
        <v>157</v>
      </c>
      <c r="D10" s="49">
        <f>VLOOKUP(C10,'[1]PREÇO ATUAL'!$A:$D,4,0)</f>
        <v>136.4</v>
      </c>
      <c r="E10" s="50"/>
      <c r="F10" s="50"/>
      <c r="G10" s="50"/>
      <c r="H10" s="50"/>
      <c r="I10" s="51"/>
      <c r="J10" s="51">
        <v>1</v>
      </c>
      <c r="K10" s="51"/>
      <c r="L10" s="51"/>
      <c r="M10" s="51"/>
      <c r="N10" s="50"/>
      <c r="O10" s="71"/>
      <c r="P10" s="51">
        <v>1</v>
      </c>
      <c r="Q10" s="51"/>
      <c r="R10" s="51"/>
      <c r="S10" s="51"/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52">
        <f t="shared" si="1"/>
        <v>136.4</v>
      </c>
      <c r="Z10" s="52">
        <f t="shared" si="1"/>
        <v>0</v>
      </c>
      <c r="AA10" s="52">
        <f t="shared" si="1"/>
        <v>0</v>
      </c>
      <c r="AB10" s="52">
        <f t="shared" si="1"/>
        <v>0</v>
      </c>
      <c r="AC10" s="79">
        <f t="shared" si="1"/>
        <v>0</v>
      </c>
      <c r="AD10" s="103">
        <f t="shared" si="1"/>
        <v>0</v>
      </c>
      <c r="AE10" s="52">
        <f t="shared" si="1"/>
        <v>136.4</v>
      </c>
      <c r="AF10" s="52">
        <f t="shared" si="1"/>
        <v>0</v>
      </c>
      <c r="AG10" s="52">
        <f t="shared" si="1"/>
        <v>0</v>
      </c>
      <c r="AH10" s="52">
        <f t="shared" si="1"/>
        <v>0</v>
      </c>
      <c r="AI10" s="82" t="e">
        <f t="shared" si="2"/>
        <v>#N/A</v>
      </c>
      <c r="AJ10" s="52">
        <f t="shared" si="3"/>
        <v>136.4</v>
      </c>
    </row>
    <row r="11" spans="1:36" ht="38.25" customHeight="1" x14ac:dyDescent="0.4">
      <c r="A11" s="54">
        <v>8</v>
      </c>
      <c r="B11" s="67" t="s">
        <v>193</v>
      </c>
      <c r="C11" s="56" t="s">
        <v>123</v>
      </c>
      <c r="D11" s="57">
        <f>VLOOKUP(C11,'[1]PREÇO ATUAL'!$A:$D,4,0)</f>
        <v>165.97811999999999</v>
      </c>
      <c r="E11" s="64"/>
      <c r="F11" s="64"/>
      <c r="G11" s="64"/>
      <c r="H11" s="64"/>
      <c r="I11" s="57"/>
      <c r="J11" s="89"/>
      <c r="K11" s="57"/>
      <c r="L11" s="57"/>
      <c r="M11" s="57"/>
      <c r="N11" s="64"/>
      <c r="O11" s="72"/>
      <c r="P11" s="88">
        <v>2</v>
      </c>
      <c r="Q11" s="57"/>
      <c r="R11" s="57"/>
      <c r="S11" s="57"/>
      <c r="T11" s="60">
        <f t="shared" si="1"/>
        <v>0</v>
      </c>
      <c r="U11" s="60">
        <f t="shared" si="1"/>
        <v>0</v>
      </c>
      <c r="V11" s="60">
        <f t="shared" si="1"/>
        <v>0</v>
      </c>
      <c r="W11" s="60">
        <f t="shared" si="1"/>
        <v>0</v>
      </c>
      <c r="X11" s="60">
        <f t="shared" si="1"/>
        <v>0</v>
      </c>
      <c r="Y11" s="60">
        <f t="shared" si="1"/>
        <v>0</v>
      </c>
      <c r="Z11" s="60">
        <f t="shared" si="1"/>
        <v>0</v>
      </c>
      <c r="AA11" s="60">
        <f t="shared" si="1"/>
        <v>0</v>
      </c>
      <c r="AB11" s="60">
        <f t="shared" si="1"/>
        <v>0</v>
      </c>
      <c r="AC11" s="80">
        <f t="shared" si="1"/>
        <v>0</v>
      </c>
      <c r="AD11" s="104">
        <f t="shared" si="1"/>
        <v>0</v>
      </c>
      <c r="AE11" s="60">
        <f t="shared" si="1"/>
        <v>331.95623999999998</v>
      </c>
      <c r="AF11" s="60">
        <f t="shared" si="1"/>
        <v>0</v>
      </c>
      <c r="AG11" s="60">
        <f t="shared" si="1"/>
        <v>0</v>
      </c>
      <c r="AH11" s="60">
        <f t="shared" si="1"/>
        <v>0</v>
      </c>
      <c r="AI11" s="83" t="e">
        <f t="shared" si="2"/>
        <v>#N/A</v>
      </c>
      <c r="AJ11" s="60">
        <f t="shared" si="3"/>
        <v>0</v>
      </c>
    </row>
    <row r="12" spans="1:36" ht="15.75" customHeight="1" x14ac:dyDescent="0.4">
      <c r="A12" s="46">
        <v>9</v>
      </c>
      <c r="B12" s="47" t="s">
        <v>124</v>
      </c>
      <c r="C12" s="48" t="s">
        <v>125</v>
      </c>
      <c r="D12" s="49">
        <f>VLOOKUP(C12,'[1]PREÇO ATUAL'!$A:$D,4,0)</f>
        <v>33.6224930838505</v>
      </c>
      <c r="E12" s="50"/>
      <c r="F12" s="50"/>
      <c r="G12" s="50"/>
      <c r="H12" s="50"/>
      <c r="I12" s="51"/>
      <c r="J12" s="51"/>
      <c r="K12" s="51"/>
      <c r="L12" s="51"/>
      <c r="M12" s="51"/>
      <c r="N12" s="50"/>
      <c r="O12" s="71"/>
      <c r="P12" s="51"/>
      <c r="Q12" s="51"/>
      <c r="R12" s="51"/>
      <c r="S12" s="51"/>
      <c r="T12" s="52">
        <v>0</v>
      </c>
      <c r="U12" s="52">
        <f t="shared" ref="U12:AH13" si="4">$D12*F12</f>
        <v>0</v>
      </c>
      <c r="V12" s="52">
        <f t="shared" si="4"/>
        <v>0</v>
      </c>
      <c r="W12" s="52">
        <f t="shared" si="4"/>
        <v>0</v>
      </c>
      <c r="X12" s="52">
        <f t="shared" si="4"/>
        <v>0</v>
      </c>
      <c r="Y12" s="52">
        <f t="shared" si="4"/>
        <v>0</v>
      </c>
      <c r="Z12" s="52">
        <f t="shared" si="4"/>
        <v>0</v>
      </c>
      <c r="AA12" s="52">
        <f t="shared" si="4"/>
        <v>0</v>
      </c>
      <c r="AB12" s="52">
        <f t="shared" si="4"/>
        <v>0</v>
      </c>
      <c r="AC12" s="79">
        <f t="shared" si="4"/>
        <v>0</v>
      </c>
      <c r="AD12" s="103">
        <f t="shared" si="4"/>
        <v>0</v>
      </c>
      <c r="AE12" s="52">
        <f t="shared" si="4"/>
        <v>0</v>
      </c>
      <c r="AF12" s="52">
        <f t="shared" si="4"/>
        <v>0</v>
      </c>
      <c r="AG12" s="52">
        <f t="shared" si="4"/>
        <v>0</v>
      </c>
      <c r="AH12" s="52">
        <f t="shared" si="4"/>
        <v>0</v>
      </c>
      <c r="AI12" s="82" t="e">
        <f t="shared" si="2"/>
        <v>#N/A</v>
      </c>
      <c r="AJ12" s="52">
        <f t="shared" si="3"/>
        <v>0</v>
      </c>
    </row>
    <row r="13" spans="1:36" ht="15.75" customHeight="1" x14ac:dyDescent="0.4">
      <c r="A13" s="54">
        <v>10</v>
      </c>
      <c r="B13" s="55" t="s">
        <v>151</v>
      </c>
      <c r="C13" s="56" t="s">
        <v>152</v>
      </c>
      <c r="D13" s="57">
        <v>89.6</v>
      </c>
      <c r="E13" s="64">
        <v>2.7</v>
      </c>
      <c r="F13" s="64">
        <v>2.7</v>
      </c>
      <c r="G13" s="64">
        <v>2.7</v>
      </c>
      <c r="H13" s="64">
        <v>2.7</v>
      </c>
      <c r="I13" s="57">
        <v>2.7</v>
      </c>
      <c r="J13" s="89">
        <v>2.7</v>
      </c>
      <c r="K13" s="57">
        <v>2.7</v>
      </c>
      <c r="L13" s="57">
        <v>2.7</v>
      </c>
      <c r="M13" s="57">
        <v>2.7</v>
      </c>
      <c r="N13" s="64">
        <v>2.7</v>
      </c>
      <c r="O13" s="72">
        <v>2.7</v>
      </c>
      <c r="P13" s="57">
        <v>2.7</v>
      </c>
      <c r="Q13" s="57">
        <v>2.7</v>
      </c>
      <c r="R13" s="57">
        <v>2.7</v>
      </c>
      <c r="S13" s="57">
        <v>2.7</v>
      </c>
      <c r="T13" s="60">
        <f>$D13*E13</f>
        <v>241.92</v>
      </c>
      <c r="U13" s="60">
        <f t="shared" si="4"/>
        <v>241.92</v>
      </c>
      <c r="V13" s="60">
        <f t="shared" si="4"/>
        <v>241.92</v>
      </c>
      <c r="W13" s="60">
        <f t="shared" si="4"/>
        <v>241.92</v>
      </c>
      <c r="X13" s="60">
        <f t="shared" si="4"/>
        <v>241.92</v>
      </c>
      <c r="Y13" s="60">
        <f t="shared" si="4"/>
        <v>241.92</v>
      </c>
      <c r="Z13" s="60">
        <f t="shared" si="4"/>
        <v>241.92</v>
      </c>
      <c r="AA13" s="60">
        <f t="shared" si="4"/>
        <v>241.92</v>
      </c>
      <c r="AB13" s="60">
        <f t="shared" si="4"/>
        <v>241.92</v>
      </c>
      <c r="AC13" s="80">
        <f t="shared" si="4"/>
        <v>241.92</v>
      </c>
      <c r="AD13" s="104">
        <f t="shared" si="4"/>
        <v>241.92</v>
      </c>
      <c r="AE13" s="60">
        <f t="shared" si="4"/>
        <v>241.92</v>
      </c>
      <c r="AF13" s="60">
        <f t="shared" si="4"/>
        <v>241.92</v>
      </c>
      <c r="AG13" s="60">
        <f t="shared" si="4"/>
        <v>241.92</v>
      </c>
      <c r="AH13" s="60">
        <f t="shared" si="4"/>
        <v>241.92</v>
      </c>
      <c r="AI13" s="83" t="e">
        <f t="shared" si="2"/>
        <v>#N/A</v>
      </c>
      <c r="AJ13" s="60">
        <f t="shared" si="3"/>
        <v>2419.2000000000003</v>
      </c>
    </row>
    <row r="14" spans="1:36" ht="15.75" customHeight="1" x14ac:dyDescent="0.4">
      <c r="A14" s="46">
        <v>11</v>
      </c>
      <c r="B14" s="47" t="s">
        <v>128</v>
      </c>
      <c r="C14" s="48" t="s">
        <v>54</v>
      </c>
      <c r="D14" s="49" t="e">
        <f>VLOOKUP(C14,'[1]PREÇO ATUAL'!$A:$D,4,0)</f>
        <v>#N/A</v>
      </c>
      <c r="E14" s="75">
        <v>0.75</v>
      </c>
      <c r="F14" s="75">
        <v>0.95</v>
      </c>
      <c r="G14" s="75">
        <v>2</v>
      </c>
      <c r="H14" s="75">
        <v>1.55</v>
      </c>
      <c r="I14" s="76">
        <v>0.9</v>
      </c>
      <c r="J14" s="76">
        <v>4.0999999999999996</v>
      </c>
      <c r="K14" s="76">
        <v>0.75</v>
      </c>
      <c r="L14" s="76">
        <v>1.1000000000000001</v>
      </c>
      <c r="M14" s="76">
        <v>2</v>
      </c>
      <c r="N14" s="75">
        <v>1.55</v>
      </c>
      <c r="O14" s="98">
        <v>0.75</v>
      </c>
      <c r="P14" s="76">
        <v>4.5</v>
      </c>
      <c r="Q14" s="76">
        <v>0.75</v>
      </c>
      <c r="R14" s="76">
        <v>0.95</v>
      </c>
      <c r="S14" s="76">
        <v>2.15</v>
      </c>
      <c r="T14" s="52" t="e">
        <f>D14*E14</f>
        <v>#N/A</v>
      </c>
      <c r="U14" s="52" t="e">
        <f t="shared" ref="U14:AH14" si="5">$D$14*F14</f>
        <v>#N/A</v>
      </c>
      <c r="V14" s="52" t="e">
        <f t="shared" si="5"/>
        <v>#N/A</v>
      </c>
      <c r="W14" s="52" t="e">
        <f t="shared" si="5"/>
        <v>#N/A</v>
      </c>
      <c r="X14" s="52" t="e">
        <f t="shared" si="5"/>
        <v>#N/A</v>
      </c>
      <c r="Y14" s="52" t="e">
        <f t="shared" si="5"/>
        <v>#N/A</v>
      </c>
      <c r="Z14" s="52" t="e">
        <f t="shared" si="5"/>
        <v>#N/A</v>
      </c>
      <c r="AA14" s="52" t="e">
        <f t="shared" si="5"/>
        <v>#N/A</v>
      </c>
      <c r="AB14" s="52" t="e">
        <f t="shared" si="5"/>
        <v>#N/A</v>
      </c>
      <c r="AC14" s="79" t="e">
        <f t="shared" si="5"/>
        <v>#N/A</v>
      </c>
      <c r="AD14" s="103" t="e">
        <f t="shared" si="5"/>
        <v>#N/A</v>
      </c>
      <c r="AE14" s="52" t="e">
        <f t="shared" si="5"/>
        <v>#N/A</v>
      </c>
      <c r="AF14" s="52" t="e">
        <f t="shared" si="5"/>
        <v>#N/A</v>
      </c>
      <c r="AG14" s="52" t="e">
        <f t="shared" si="5"/>
        <v>#N/A</v>
      </c>
      <c r="AH14" s="52" t="e">
        <f t="shared" si="5"/>
        <v>#N/A</v>
      </c>
      <c r="AI14" s="82" t="e">
        <f t="shared" si="2"/>
        <v>#N/A</v>
      </c>
      <c r="AJ14" s="52" t="e">
        <f t="shared" si="3"/>
        <v>#N/A</v>
      </c>
    </row>
    <row r="15" spans="1:36" ht="15.75" customHeight="1" x14ac:dyDescent="0.4">
      <c r="H15" s="81"/>
      <c r="L15" s="81"/>
    </row>
    <row r="23" ht="15.75" customHeight="1" x14ac:dyDescent="0.4"/>
    <row r="24" ht="15.75" customHeight="1" x14ac:dyDescent="0.4"/>
    <row r="25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</sheetData>
  <mergeCells count="5">
    <mergeCell ref="A1:D2"/>
    <mergeCell ref="E1:S2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</sheetPr>
  <dimension ref="A1:AJ963"/>
  <sheetViews>
    <sheetView showGridLines="0" zoomScaleNormal="100" workbookViewId="0">
      <pane xSplit="4" topLeftCell="P1" activePane="topRight" state="frozen"/>
      <selection pane="topRight" activeCell="X2" sqref="X2"/>
    </sheetView>
  </sheetViews>
  <sheetFormatPr defaultColWidth="14.4609375" defaultRowHeight="14.6" x14ac:dyDescent="0.4"/>
  <cols>
    <col min="1" max="1" width="3.3046875" customWidth="1"/>
    <col min="2" max="2" width="60.3046875" customWidth="1"/>
    <col min="3" max="3" width="16.84375" customWidth="1"/>
    <col min="4" max="4" width="8.69140625" customWidth="1"/>
    <col min="5" max="19" width="5.3046875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5" customWidth="1"/>
    <col min="27" max="27" width="17.15234375" customWidth="1"/>
    <col min="28" max="30" width="15" customWidth="1"/>
    <col min="31" max="31" width="15.69140625" customWidth="1"/>
    <col min="32" max="34" width="15" customWidth="1"/>
    <col min="35" max="35" width="8.3828125" customWidth="1"/>
    <col min="36" max="36" width="15.53515625" customWidth="1"/>
  </cols>
  <sheetData>
    <row r="1" spans="1:36" ht="15.75" customHeight="1" x14ac:dyDescent="0.4">
      <c r="A1" s="239" t="s">
        <v>199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H2" si="0">MROUND(SUM(T4:T12),1)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11</v>
      </c>
      <c r="P3" s="42">
        <v>12</v>
      </c>
      <c r="Q3" s="42">
        <v>13</v>
      </c>
      <c r="R3" s="42">
        <v>14</v>
      </c>
      <c r="S3" s="42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0">
        <v>1</v>
      </c>
      <c r="P4" s="50">
        <v>1</v>
      </c>
      <c r="Q4" s="50">
        <v>1</v>
      </c>
      <c r="R4" s="50">
        <v>1</v>
      </c>
      <c r="S4" s="50">
        <v>1</v>
      </c>
      <c r="T4" s="52">
        <f t="shared" ref="T4:AH11" si="1">$D4*E4</f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2">
        <f t="shared" si="1"/>
        <v>79.900000000000006</v>
      </c>
      <c r="Z4" s="52">
        <f t="shared" si="1"/>
        <v>79.900000000000006</v>
      </c>
      <c r="AA4" s="52">
        <f t="shared" si="1"/>
        <v>79.900000000000006</v>
      </c>
      <c r="AB4" s="52">
        <f t="shared" si="1"/>
        <v>79.900000000000006</v>
      </c>
      <c r="AC4" s="52">
        <f t="shared" si="1"/>
        <v>79.900000000000006</v>
      </c>
      <c r="AD4" s="52">
        <f t="shared" si="1"/>
        <v>79.900000000000006</v>
      </c>
      <c r="AE4" s="52">
        <f t="shared" si="1"/>
        <v>79.900000000000006</v>
      </c>
      <c r="AF4" s="52">
        <f t="shared" si="1"/>
        <v>79.900000000000006</v>
      </c>
      <c r="AG4" s="52">
        <f t="shared" si="1"/>
        <v>79.900000000000006</v>
      </c>
      <c r="AH4" s="52">
        <f t="shared" si="1"/>
        <v>79.900000000000006</v>
      </c>
      <c r="AI4" s="53" t="e">
        <f t="shared" ref="AI4:AI12" si="2">AJ4/$AI$2</f>
        <v>#N/A</v>
      </c>
      <c r="AJ4" s="52">
        <f t="shared" ref="AJ4:AJ12" si="3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70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60">
        <f t="shared" si="1"/>
        <v>35.9</v>
      </c>
      <c r="AD5" s="60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61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7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89.9</v>
      </c>
      <c r="V6" s="52">
        <f t="shared" si="1"/>
        <v>0</v>
      </c>
      <c r="W6" s="52">
        <f t="shared" si="1"/>
        <v>89.9</v>
      </c>
      <c r="X6" s="52">
        <f t="shared" si="1"/>
        <v>0</v>
      </c>
      <c r="Y6" s="52">
        <f t="shared" si="1"/>
        <v>89.9</v>
      </c>
      <c r="Z6" s="52">
        <f t="shared" si="1"/>
        <v>0</v>
      </c>
      <c r="AA6" s="52">
        <f t="shared" si="1"/>
        <v>89.9</v>
      </c>
      <c r="AB6" s="52">
        <f t="shared" si="1"/>
        <v>0</v>
      </c>
      <c r="AC6" s="52">
        <f t="shared" si="1"/>
        <v>89.9</v>
      </c>
      <c r="AD6" s="52">
        <f t="shared" si="1"/>
        <v>0</v>
      </c>
      <c r="AE6" s="52">
        <f t="shared" si="1"/>
        <v>89.9</v>
      </c>
      <c r="AF6" s="52">
        <f t="shared" si="1"/>
        <v>0</v>
      </c>
      <c r="AG6" s="52">
        <f t="shared" si="1"/>
        <v>89.9</v>
      </c>
      <c r="AH6" s="52">
        <f t="shared" si="1"/>
        <v>0</v>
      </c>
      <c r="AI6" s="53" t="e">
        <f t="shared" si="2"/>
        <v>#N/A</v>
      </c>
      <c r="AJ6" s="52">
        <f t="shared" si="3"/>
        <v>629.29999999999995</v>
      </c>
    </row>
    <row r="7" spans="1:36" ht="1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3</v>
      </c>
      <c r="I7" s="59"/>
      <c r="J7" s="59"/>
      <c r="K7" s="59"/>
      <c r="L7" s="59">
        <v>3</v>
      </c>
      <c r="M7" s="59"/>
      <c r="N7" s="58"/>
      <c r="O7" s="70"/>
      <c r="P7" s="59">
        <v>3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527.70000000000005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527.70000000000005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527.70000000000005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61" t="e">
        <f t="shared" si="2"/>
        <v>#N/A</v>
      </c>
      <c r="AJ7" s="60">
        <f t="shared" si="3"/>
        <v>1583.1000000000001</v>
      </c>
    </row>
    <row r="8" spans="1:36" ht="1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143.22999999999999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143.22999999999999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53" t="e">
        <f t="shared" si="2"/>
        <v>#N/A</v>
      </c>
      <c r="AJ8" s="52">
        <f t="shared" si="3"/>
        <v>286.45999999999998</v>
      </c>
    </row>
    <row r="9" spans="1:36" ht="38.25" customHeight="1" x14ac:dyDescent="0.4">
      <c r="A9" s="54">
        <v>6</v>
      </c>
      <c r="B9" s="67" t="s">
        <v>193</v>
      </c>
      <c r="C9" s="56" t="s">
        <v>123</v>
      </c>
      <c r="D9" s="57">
        <f>VLOOKUP(C9,'[1]PREÇO ATUAL'!$A:$D,4,0)</f>
        <v>165.97811999999999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62">
        <v>2</v>
      </c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331.95623999999998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61" t="e">
        <f t="shared" si="2"/>
        <v>#N/A</v>
      </c>
      <c r="AJ9" s="60">
        <f t="shared" si="3"/>
        <v>331.95623999999998</v>
      </c>
    </row>
    <row r="10" spans="1:36" ht="1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50"/>
      <c r="F10" s="50"/>
      <c r="G10" s="50"/>
      <c r="H10" s="50"/>
      <c r="I10" s="51"/>
      <c r="J10" s="51"/>
      <c r="K10" s="51"/>
      <c r="L10" s="51"/>
      <c r="M10" s="51"/>
      <c r="N10" s="50"/>
      <c r="O10" s="71"/>
      <c r="P10" s="51"/>
      <c r="Q10" s="51"/>
      <c r="R10" s="51"/>
      <c r="S10" s="51"/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52">
        <f t="shared" si="1"/>
        <v>0</v>
      </c>
      <c r="Z10" s="52">
        <f t="shared" si="1"/>
        <v>0</v>
      </c>
      <c r="AA10" s="52">
        <f t="shared" si="1"/>
        <v>0</v>
      </c>
      <c r="AB10" s="52">
        <f t="shared" si="1"/>
        <v>0</v>
      </c>
      <c r="AC10" s="52">
        <f t="shared" si="1"/>
        <v>0</v>
      </c>
      <c r="AD10" s="52">
        <f t="shared" si="1"/>
        <v>0</v>
      </c>
      <c r="AE10" s="52">
        <f t="shared" si="1"/>
        <v>0</v>
      </c>
      <c r="AF10" s="52">
        <f t="shared" si="1"/>
        <v>0</v>
      </c>
      <c r="AG10" s="52">
        <f t="shared" si="1"/>
        <v>0</v>
      </c>
      <c r="AH10" s="52">
        <f t="shared" si="1"/>
        <v>0</v>
      </c>
      <c r="AI10" s="53" t="e">
        <f t="shared" si="2"/>
        <v>#N/A</v>
      </c>
      <c r="AJ10" s="52">
        <f t="shared" si="3"/>
        <v>0</v>
      </c>
    </row>
    <row r="11" spans="1:36" ht="15" customHeight="1" x14ac:dyDescent="0.4">
      <c r="A11" s="54">
        <v>8</v>
      </c>
      <c r="B11" s="55" t="s">
        <v>126</v>
      </c>
      <c r="C11" s="56" t="s">
        <v>127</v>
      </c>
      <c r="D11" s="57">
        <f>VLOOKUP(C11,'[1]PREÇO ATUAL'!$A:$D,4,0)</f>
        <v>81.260000000000005</v>
      </c>
      <c r="E11" s="73">
        <v>2.54</v>
      </c>
      <c r="F11" s="73">
        <v>2.54</v>
      </c>
      <c r="G11" s="73">
        <v>2.54</v>
      </c>
      <c r="H11" s="73">
        <v>2.54</v>
      </c>
      <c r="I11" s="74">
        <v>2.54</v>
      </c>
      <c r="J11" s="74">
        <v>2.54</v>
      </c>
      <c r="K11" s="74">
        <v>2.54</v>
      </c>
      <c r="L11" s="74">
        <v>2.54</v>
      </c>
      <c r="M11" s="74">
        <v>2.54</v>
      </c>
      <c r="N11" s="73">
        <v>2.54</v>
      </c>
      <c r="O11" s="99">
        <v>2.54</v>
      </c>
      <c r="P11" s="74">
        <v>2.54</v>
      </c>
      <c r="Q11" s="74">
        <v>2.54</v>
      </c>
      <c r="R11" s="74">
        <v>2.54</v>
      </c>
      <c r="S11" s="74">
        <v>2.54</v>
      </c>
      <c r="T11" s="60">
        <f t="shared" si="1"/>
        <v>206.40040000000002</v>
      </c>
      <c r="U11" s="60">
        <f t="shared" si="1"/>
        <v>206.40040000000002</v>
      </c>
      <c r="V11" s="60">
        <f t="shared" si="1"/>
        <v>206.40040000000002</v>
      </c>
      <c r="W11" s="60">
        <f t="shared" si="1"/>
        <v>206.40040000000002</v>
      </c>
      <c r="X11" s="60">
        <f t="shared" si="1"/>
        <v>206.40040000000002</v>
      </c>
      <c r="Y11" s="60">
        <f t="shared" si="1"/>
        <v>206.40040000000002</v>
      </c>
      <c r="Z11" s="60">
        <f t="shared" si="1"/>
        <v>206.40040000000002</v>
      </c>
      <c r="AA11" s="60">
        <f t="shared" si="1"/>
        <v>206.40040000000002</v>
      </c>
      <c r="AB11" s="60">
        <f t="shared" si="1"/>
        <v>206.40040000000002</v>
      </c>
      <c r="AC11" s="60">
        <f t="shared" si="1"/>
        <v>206.40040000000002</v>
      </c>
      <c r="AD11" s="60">
        <f t="shared" si="1"/>
        <v>206.40040000000002</v>
      </c>
      <c r="AE11" s="60">
        <f t="shared" si="1"/>
        <v>206.40040000000002</v>
      </c>
      <c r="AF11" s="60">
        <f t="shared" si="1"/>
        <v>206.40040000000002</v>
      </c>
      <c r="AG11" s="60">
        <f t="shared" si="1"/>
        <v>206.40040000000002</v>
      </c>
      <c r="AH11" s="60">
        <f t="shared" si="1"/>
        <v>206.40040000000002</v>
      </c>
      <c r="AI11" s="61" t="e">
        <f t="shared" si="2"/>
        <v>#N/A</v>
      </c>
      <c r="AJ11" s="60">
        <f t="shared" si="3"/>
        <v>3096.0060000000003</v>
      </c>
    </row>
    <row r="12" spans="1:36" ht="1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75">
        <v>0.85</v>
      </c>
      <c r="F12" s="75">
        <v>1.2</v>
      </c>
      <c r="G12" s="75">
        <v>0.9</v>
      </c>
      <c r="H12" s="75">
        <v>2.15</v>
      </c>
      <c r="I12" s="76">
        <v>1</v>
      </c>
      <c r="J12" s="76">
        <v>1.45</v>
      </c>
      <c r="K12" s="76">
        <v>0.85</v>
      </c>
      <c r="L12" s="76">
        <v>2.15</v>
      </c>
      <c r="M12" s="76">
        <v>0.9</v>
      </c>
      <c r="N12" s="75">
        <v>1.35</v>
      </c>
      <c r="O12" s="98">
        <v>0.85</v>
      </c>
      <c r="P12" s="76">
        <v>1.5</v>
      </c>
      <c r="Q12" s="76">
        <v>0.85</v>
      </c>
      <c r="R12" s="76">
        <v>1.2</v>
      </c>
      <c r="S12" s="76">
        <v>1.05</v>
      </c>
      <c r="T12" s="52" t="e">
        <f>D12*E12</f>
        <v>#N/A</v>
      </c>
      <c r="U12" s="52" t="e">
        <f t="shared" ref="U12:AH12" si="4">$D12*F12</f>
        <v>#N/A</v>
      </c>
      <c r="V12" s="52" t="e">
        <f t="shared" si="4"/>
        <v>#N/A</v>
      </c>
      <c r="W12" s="52" t="e">
        <f t="shared" si="4"/>
        <v>#N/A</v>
      </c>
      <c r="X12" s="52" t="e">
        <f t="shared" si="4"/>
        <v>#N/A</v>
      </c>
      <c r="Y12" s="52" t="e">
        <f t="shared" si="4"/>
        <v>#N/A</v>
      </c>
      <c r="Z12" s="52" t="e">
        <f t="shared" si="4"/>
        <v>#N/A</v>
      </c>
      <c r="AA12" s="52" t="e">
        <f t="shared" si="4"/>
        <v>#N/A</v>
      </c>
      <c r="AB12" s="52" t="e">
        <f t="shared" si="4"/>
        <v>#N/A</v>
      </c>
      <c r="AC12" s="52" t="e">
        <f t="shared" si="4"/>
        <v>#N/A</v>
      </c>
      <c r="AD12" s="52" t="e">
        <f t="shared" si="4"/>
        <v>#N/A</v>
      </c>
      <c r="AE12" s="52" t="e">
        <f t="shared" si="4"/>
        <v>#N/A</v>
      </c>
      <c r="AF12" s="52" t="e">
        <f t="shared" si="4"/>
        <v>#N/A</v>
      </c>
      <c r="AG12" s="52" t="e">
        <f t="shared" si="4"/>
        <v>#N/A</v>
      </c>
      <c r="AH12" s="52" t="e">
        <f t="shared" si="4"/>
        <v>#N/A</v>
      </c>
      <c r="AI12" s="53" t="e">
        <f t="shared" si="2"/>
        <v>#N/A</v>
      </c>
      <c r="AJ12" s="52" t="e">
        <f t="shared" si="3"/>
        <v>#N/A</v>
      </c>
    </row>
    <row r="13" spans="1:36" ht="15" customHeight="1" x14ac:dyDescent="0.4">
      <c r="H13" s="65"/>
    </row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</sheetData>
  <mergeCells count="5">
    <mergeCell ref="A1:D2"/>
    <mergeCell ref="E1:S2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AJ962"/>
  <sheetViews>
    <sheetView showGridLines="0" topLeftCell="A15" zoomScaleNormal="100" workbookViewId="0">
      <pane xSplit="4" topLeftCell="Y1" activePane="topRight" state="frozen"/>
      <selection activeCell="A15" sqref="A15"/>
      <selection pane="topRight" activeCell="A13" sqref="A13"/>
    </sheetView>
  </sheetViews>
  <sheetFormatPr defaultColWidth="14.4609375" defaultRowHeight="14.6" x14ac:dyDescent="0.4"/>
  <cols>
    <col min="1" max="1" width="3.3046875" customWidth="1"/>
    <col min="2" max="2" width="60.3828125" customWidth="1"/>
    <col min="3" max="3" width="16.84375" customWidth="1"/>
    <col min="4" max="4" width="8.69140625" customWidth="1"/>
    <col min="5" max="5" width="6.53515625" customWidth="1"/>
    <col min="6" max="13" width="5.4609375" customWidth="1"/>
    <col min="14" max="19" width="5.53515625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5" customWidth="1"/>
    <col min="27" max="27" width="17.15234375" customWidth="1"/>
    <col min="28" max="30" width="15" customWidth="1"/>
    <col min="31" max="31" width="15.69140625" customWidth="1"/>
    <col min="32" max="34" width="15" customWidth="1"/>
    <col min="35" max="35" width="8.3828125" customWidth="1"/>
    <col min="36" max="36" width="15.53515625" customWidth="1"/>
  </cols>
  <sheetData>
    <row r="1" spans="1:36" ht="15" customHeight="1" x14ac:dyDescent="0.4">
      <c r="A1" s="239" t="s">
        <v>200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35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H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11</v>
      </c>
      <c r="P3" s="42">
        <v>12</v>
      </c>
      <c r="Q3" s="42">
        <v>13</v>
      </c>
      <c r="R3" s="42">
        <v>14</v>
      </c>
      <c r="S3" s="42">
        <v>15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71">
        <v>1</v>
      </c>
      <c r="P4" s="71">
        <v>1</v>
      </c>
      <c r="Q4" s="71">
        <v>1</v>
      </c>
      <c r="R4" s="71">
        <v>1</v>
      </c>
      <c r="S4" s="71">
        <v>1</v>
      </c>
      <c r="T4" s="52">
        <f t="shared" ref="T4:AH10" si="1">$D4*E4</f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2">
        <f t="shared" si="1"/>
        <v>79.900000000000006</v>
      </c>
      <c r="Z4" s="52">
        <f t="shared" si="1"/>
        <v>79.900000000000006</v>
      </c>
      <c r="AA4" s="52">
        <f t="shared" si="1"/>
        <v>79.900000000000006</v>
      </c>
      <c r="AB4" s="52">
        <f t="shared" si="1"/>
        <v>79.900000000000006</v>
      </c>
      <c r="AC4" s="52">
        <f t="shared" si="1"/>
        <v>79.900000000000006</v>
      </c>
      <c r="AD4" s="52">
        <f t="shared" si="1"/>
        <v>79.900000000000006</v>
      </c>
      <c r="AE4" s="52">
        <f t="shared" si="1"/>
        <v>79.900000000000006</v>
      </c>
      <c r="AF4" s="52">
        <f t="shared" si="1"/>
        <v>79.900000000000006</v>
      </c>
      <c r="AG4" s="52">
        <f t="shared" si="1"/>
        <v>79.900000000000006</v>
      </c>
      <c r="AH4" s="52">
        <f t="shared" si="1"/>
        <v>79.900000000000006</v>
      </c>
      <c r="AI4" s="53" t="e">
        <f t="shared" ref="AI4:AI11" si="2">AJ4/$AI$2</f>
        <v>#N/A</v>
      </c>
      <c r="AJ4" s="52">
        <f t="shared" ref="AJ4:AJ11" si="3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70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60">
        <f t="shared" si="1"/>
        <v>35.9</v>
      </c>
      <c r="AD5" s="60">
        <f t="shared" si="1"/>
        <v>0</v>
      </c>
      <c r="AE5" s="60">
        <f t="shared" si="1"/>
        <v>35.9</v>
      </c>
      <c r="AF5" s="60">
        <f t="shared" si="1"/>
        <v>0</v>
      </c>
      <c r="AG5" s="60">
        <f t="shared" si="1"/>
        <v>35.9</v>
      </c>
      <c r="AH5" s="60">
        <f t="shared" si="1"/>
        <v>0</v>
      </c>
      <c r="AI5" s="61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7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1"/>
        <v>89.9</v>
      </c>
      <c r="V6" s="52">
        <f t="shared" si="1"/>
        <v>0</v>
      </c>
      <c r="W6" s="52">
        <f t="shared" si="1"/>
        <v>89.9</v>
      </c>
      <c r="X6" s="52">
        <f t="shared" si="1"/>
        <v>0</v>
      </c>
      <c r="Y6" s="52">
        <f t="shared" si="1"/>
        <v>89.9</v>
      </c>
      <c r="Z6" s="52">
        <f t="shared" si="1"/>
        <v>0</v>
      </c>
      <c r="AA6" s="52">
        <f t="shared" si="1"/>
        <v>89.9</v>
      </c>
      <c r="AB6" s="52">
        <f t="shared" si="1"/>
        <v>0</v>
      </c>
      <c r="AC6" s="52">
        <f t="shared" si="1"/>
        <v>89.9</v>
      </c>
      <c r="AD6" s="52">
        <f t="shared" si="1"/>
        <v>0</v>
      </c>
      <c r="AE6" s="52">
        <f t="shared" si="1"/>
        <v>89.9</v>
      </c>
      <c r="AF6" s="52">
        <f t="shared" si="1"/>
        <v>0</v>
      </c>
      <c r="AG6" s="52">
        <f t="shared" si="1"/>
        <v>89.9</v>
      </c>
      <c r="AH6" s="52">
        <f t="shared" si="1"/>
        <v>0</v>
      </c>
      <c r="AI6" s="53" t="e">
        <f t="shared" si="2"/>
        <v>#N/A</v>
      </c>
      <c r="AJ6" s="52">
        <f t="shared" si="3"/>
        <v>629.29999999999995</v>
      </c>
    </row>
    <row r="7" spans="1:36" ht="15.7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4</v>
      </c>
      <c r="I7" s="59"/>
      <c r="J7" s="59"/>
      <c r="K7" s="59"/>
      <c r="L7" s="59">
        <v>4</v>
      </c>
      <c r="M7" s="59"/>
      <c r="N7" s="58"/>
      <c r="O7" s="70"/>
      <c r="P7" s="59">
        <v>4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703.6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703.6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703.6</v>
      </c>
      <c r="AF7" s="60">
        <f t="shared" si="1"/>
        <v>0</v>
      </c>
      <c r="AG7" s="60">
        <f t="shared" si="1"/>
        <v>0</v>
      </c>
      <c r="AH7" s="60">
        <f t="shared" si="1"/>
        <v>0</v>
      </c>
      <c r="AI7" s="61" t="e">
        <f t="shared" si="2"/>
        <v>#N/A</v>
      </c>
      <c r="AJ7" s="60">
        <f t="shared" si="3"/>
        <v>2110.8000000000002</v>
      </c>
    </row>
    <row r="8" spans="1:36" ht="15.7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143.22999999999999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143.22999999999999</v>
      </c>
      <c r="AF8" s="52">
        <f t="shared" si="1"/>
        <v>0</v>
      </c>
      <c r="AG8" s="52">
        <f t="shared" si="1"/>
        <v>0</v>
      </c>
      <c r="AH8" s="52">
        <f t="shared" si="1"/>
        <v>0</v>
      </c>
      <c r="AI8" s="53" t="e">
        <f t="shared" si="2"/>
        <v>#N/A</v>
      </c>
      <c r="AJ8" s="52">
        <f t="shared" si="3"/>
        <v>286.45999999999998</v>
      </c>
    </row>
    <row r="9" spans="1:36" ht="15.7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59"/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0</v>
      </c>
      <c r="AF9" s="60">
        <f t="shared" si="1"/>
        <v>0</v>
      </c>
      <c r="AG9" s="60">
        <f t="shared" si="1"/>
        <v>0</v>
      </c>
      <c r="AH9" s="60">
        <f t="shared" si="1"/>
        <v>0</v>
      </c>
      <c r="AI9" s="61" t="e">
        <f t="shared" si="2"/>
        <v>#N/A</v>
      </c>
      <c r="AJ9" s="60">
        <f t="shared" si="3"/>
        <v>0</v>
      </c>
    </row>
    <row r="10" spans="1:36" ht="15.75" customHeight="1" x14ac:dyDescent="0.4">
      <c r="A10" s="46">
        <v>7</v>
      </c>
      <c r="B10" s="47" t="s">
        <v>126</v>
      </c>
      <c r="C10" s="48" t="s">
        <v>127</v>
      </c>
      <c r="D10" s="49">
        <f>VLOOKUP(C10,'[1]PREÇO ATUAL'!$A:$D,4,0)</f>
        <v>81.260000000000005</v>
      </c>
      <c r="E10" s="75">
        <v>3.36</v>
      </c>
      <c r="F10" s="75">
        <v>3.36</v>
      </c>
      <c r="G10" s="75">
        <v>3.36</v>
      </c>
      <c r="H10" s="75">
        <v>3.36</v>
      </c>
      <c r="I10" s="76">
        <v>3.36</v>
      </c>
      <c r="J10" s="76">
        <v>3.36</v>
      </c>
      <c r="K10" s="76">
        <v>3.36</v>
      </c>
      <c r="L10" s="76">
        <v>3.36</v>
      </c>
      <c r="M10" s="76">
        <v>3.36</v>
      </c>
      <c r="N10" s="75">
        <v>3.36</v>
      </c>
      <c r="O10" s="98">
        <v>3.36</v>
      </c>
      <c r="P10" s="76">
        <v>3.36</v>
      </c>
      <c r="Q10" s="76">
        <v>3.36</v>
      </c>
      <c r="R10" s="76">
        <v>3.36</v>
      </c>
      <c r="S10" s="76">
        <v>3.36</v>
      </c>
      <c r="T10" s="52">
        <f t="shared" si="1"/>
        <v>273.03360000000004</v>
      </c>
      <c r="U10" s="52">
        <f t="shared" si="1"/>
        <v>273.03360000000004</v>
      </c>
      <c r="V10" s="52">
        <f t="shared" si="1"/>
        <v>273.03360000000004</v>
      </c>
      <c r="W10" s="52">
        <f t="shared" si="1"/>
        <v>273.03360000000004</v>
      </c>
      <c r="X10" s="52">
        <f t="shared" si="1"/>
        <v>273.03360000000004</v>
      </c>
      <c r="Y10" s="52">
        <f t="shared" si="1"/>
        <v>273.03360000000004</v>
      </c>
      <c r="Z10" s="52">
        <f t="shared" si="1"/>
        <v>273.03360000000004</v>
      </c>
      <c r="AA10" s="52">
        <f t="shared" si="1"/>
        <v>273.03360000000004</v>
      </c>
      <c r="AB10" s="52">
        <f t="shared" si="1"/>
        <v>273.03360000000004</v>
      </c>
      <c r="AC10" s="52">
        <f t="shared" si="1"/>
        <v>273.03360000000004</v>
      </c>
      <c r="AD10" s="52">
        <f t="shared" si="1"/>
        <v>273.03360000000004</v>
      </c>
      <c r="AE10" s="52">
        <f t="shared" si="1"/>
        <v>273.03360000000004</v>
      </c>
      <c r="AF10" s="52">
        <f t="shared" si="1"/>
        <v>273.03360000000004</v>
      </c>
      <c r="AG10" s="52">
        <f t="shared" si="1"/>
        <v>273.03360000000004</v>
      </c>
      <c r="AH10" s="52">
        <f t="shared" si="1"/>
        <v>273.03360000000004</v>
      </c>
      <c r="AI10" s="53" t="e">
        <f t="shared" si="2"/>
        <v>#N/A</v>
      </c>
      <c r="AJ10" s="52">
        <f t="shared" si="3"/>
        <v>4095.5040000000017</v>
      </c>
    </row>
    <row r="11" spans="1:3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73">
        <v>0.85</v>
      </c>
      <c r="F11" s="73">
        <v>1.2</v>
      </c>
      <c r="G11" s="73">
        <v>0.9</v>
      </c>
      <c r="H11" s="73">
        <v>2.15</v>
      </c>
      <c r="I11" s="74">
        <v>1</v>
      </c>
      <c r="J11" s="74">
        <v>1.45</v>
      </c>
      <c r="K11" s="74">
        <v>0.85</v>
      </c>
      <c r="L11" s="74">
        <v>2.15</v>
      </c>
      <c r="M11" s="74">
        <v>0.9</v>
      </c>
      <c r="N11" s="73">
        <v>1.35</v>
      </c>
      <c r="O11" s="99">
        <v>0.85</v>
      </c>
      <c r="P11" s="74">
        <v>1.5</v>
      </c>
      <c r="Q11" s="74">
        <v>0.85</v>
      </c>
      <c r="R11" s="74">
        <v>1.2</v>
      </c>
      <c r="S11" s="74">
        <v>1.05</v>
      </c>
      <c r="T11" s="60" t="e">
        <f>D11*E11</f>
        <v>#N/A</v>
      </c>
      <c r="U11" s="60" t="e">
        <f t="shared" ref="U11:AH11" si="4">$D11*F11</f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0" t="e">
        <f t="shared" si="4"/>
        <v>#N/A</v>
      </c>
      <c r="Z11" s="60" t="e">
        <f t="shared" si="4"/>
        <v>#N/A</v>
      </c>
      <c r="AA11" s="60" t="e">
        <f t="shared" si="4"/>
        <v>#N/A</v>
      </c>
      <c r="AB11" s="60" t="e">
        <f t="shared" si="4"/>
        <v>#N/A</v>
      </c>
      <c r="AC11" s="60" t="e">
        <f t="shared" si="4"/>
        <v>#N/A</v>
      </c>
      <c r="AD11" s="60" t="e">
        <f t="shared" si="4"/>
        <v>#N/A</v>
      </c>
      <c r="AE11" s="60" t="e">
        <f t="shared" si="4"/>
        <v>#N/A</v>
      </c>
      <c r="AF11" s="60" t="e">
        <f t="shared" si="4"/>
        <v>#N/A</v>
      </c>
      <c r="AG11" s="60" t="e">
        <f t="shared" si="4"/>
        <v>#N/A</v>
      </c>
      <c r="AH11" s="60" t="e">
        <f t="shared" si="4"/>
        <v>#N/A</v>
      </c>
      <c r="AI11" s="61" t="e">
        <f t="shared" si="2"/>
        <v>#N/A</v>
      </c>
      <c r="AJ11" s="60" t="e">
        <f t="shared" si="3"/>
        <v>#N/A</v>
      </c>
    </row>
    <row r="12" spans="1:36" ht="15.75" customHeight="1" x14ac:dyDescent="0.4"/>
    <row r="13" spans="1:36" ht="15" customHeight="1" x14ac:dyDescent="0.4">
      <c r="A13" s="239" t="s">
        <v>200</v>
      </c>
      <c r="B13" s="211"/>
      <c r="C13" s="211"/>
      <c r="D13" s="212"/>
      <c r="E13" s="237" t="s">
        <v>1</v>
      </c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2"/>
      <c r="T13" s="235" t="s">
        <v>2</v>
      </c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32" t="s">
        <v>3</v>
      </c>
      <c r="AJ13" s="209"/>
    </row>
    <row r="14" spans="1:36" ht="15" customHeight="1" x14ac:dyDescent="0.4">
      <c r="A14" s="234"/>
      <c r="B14" s="217"/>
      <c r="C14" s="217"/>
      <c r="D14" s="238"/>
      <c r="E14" s="220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38"/>
      <c r="T14" s="37" t="e">
        <f t="shared" ref="T14:AH14" si="5">MROUND(SUM(T16:T24),1)</f>
        <v>#N/A</v>
      </c>
      <c r="U14" s="37" t="e">
        <f t="shared" si="5"/>
        <v>#N/A</v>
      </c>
      <c r="V14" s="37" t="e">
        <f t="shared" si="5"/>
        <v>#N/A</v>
      </c>
      <c r="W14" s="37" t="e">
        <f t="shared" si="5"/>
        <v>#N/A</v>
      </c>
      <c r="X14" s="37" t="e">
        <f t="shared" si="5"/>
        <v>#N/A</v>
      </c>
      <c r="Y14" s="37" t="e">
        <f t="shared" si="5"/>
        <v>#N/A</v>
      </c>
      <c r="Z14" s="37" t="e">
        <f t="shared" si="5"/>
        <v>#N/A</v>
      </c>
      <c r="AA14" s="37" t="e">
        <f t="shared" si="5"/>
        <v>#N/A</v>
      </c>
      <c r="AB14" s="37" t="e">
        <f t="shared" si="5"/>
        <v>#N/A</v>
      </c>
      <c r="AC14" s="37" t="e">
        <f t="shared" si="5"/>
        <v>#N/A</v>
      </c>
      <c r="AD14" s="37" t="e">
        <f t="shared" si="5"/>
        <v>#N/A</v>
      </c>
      <c r="AE14" s="37" t="e">
        <f t="shared" si="5"/>
        <v>#N/A</v>
      </c>
      <c r="AF14" s="37" t="e">
        <f t="shared" si="5"/>
        <v>#N/A</v>
      </c>
      <c r="AG14" s="37" t="e">
        <f t="shared" si="5"/>
        <v>#N/A</v>
      </c>
      <c r="AH14" s="37" t="e">
        <f t="shared" si="5"/>
        <v>#N/A</v>
      </c>
      <c r="AI14" s="208" t="e">
        <f>SUM(T14:AH14)</f>
        <v>#N/A</v>
      </c>
      <c r="AJ14" s="209"/>
    </row>
    <row r="15" spans="1:36" ht="15" customHeight="1" x14ac:dyDescent="0.4">
      <c r="A15" s="39" t="s">
        <v>5</v>
      </c>
      <c r="B15" s="39" t="s">
        <v>6</v>
      </c>
      <c r="C15" s="40" t="s">
        <v>7</v>
      </c>
      <c r="D15" s="41" t="s">
        <v>8</v>
      </c>
      <c r="E15" s="42" t="s">
        <v>102</v>
      </c>
      <c r="F15" s="42" t="s">
        <v>103</v>
      </c>
      <c r="G15" s="42" t="s">
        <v>104</v>
      </c>
      <c r="H15" s="42" t="s">
        <v>105</v>
      </c>
      <c r="I15" s="42" t="s">
        <v>106</v>
      </c>
      <c r="J15" s="42" t="s">
        <v>107</v>
      </c>
      <c r="K15" s="42" t="s">
        <v>108</v>
      </c>
      <c r="L15" s="42" t="s">
        <v>109</v>
      </c>
      <c r="M15" s="42" t="s">
        <v>110</v>
      </c>
      <c r="N15" s="42" t="s">
        <v>111</v>
      </c>
      <c r="O15" s="42">
        <v>11</v>
      </c>
      <c r="P15" s="42">
        <v>12</v>
      </c>
      <c r="Q15" s="42">
        <v>13</v>
      </c>
      <c r="R15" s="42">
        <v>14</v>
      </c>
      <c r="S15" s="42">
        <v>15</v>
      </c>
      <c r="T15" s="42">
        <v>10000</v>
      </c>
      <c r="U15" s="42">
        <v>20000</v>
      </c>
      <c r="V15" s="42">
        <v>30000</v>
      </c>
      <c r="W15" s="42">
        <v>40000</v>
      </c>
      <c r="X15" s="42">
        <v>50000</v>
      </c>
      <c r="Y15" s="42">
        <v>60000</v>
      </c>
      <c r="Z15" s="42">
        <v>70000</v>
      </c>
      <c r="AA15" s="42">
        <v>80000</v>
      </c>
      <c r="AB15" s="42">
        <v>90000</v>
      </c>
      <c r="AC15" s="42">
        <v>100000</v>
      </c>
      <c r="AD15" s="44">
        <f>AC15+10000</f>
        <v>110000</v>
      </c>
      <c r="AE15" s="44">
        <f>AD15+10000</f>
        <v>120000</v>
      </c>
      <c r="AF15" s="44">
        <f>AE15+10000</f>
        <v>130000</v>
      </c>
      <c r="AG15" s="44">
        <f>AF15+10000</f>
        <v>140000</v>
      </c>
      <c r="AH15" s="44">
        <f>AG15+10000</f>
        <v>150000</v>
      </c>
      <c r="AI15" s="45" t="s">
        <v>24</v>
      </c>
      <c r="AJ15" s="39" t="s">
        <v>25</v>
      </c>
    </row>
    <row r="16" spans="1:36" ht="15" customHeight="1" x14ac:dyDescent="0.4">
      <c r="A16" s="46">
        <v>1</v>
      </c>
      <c r="B16" s="47" t="s">
        <v>112</v>
      </c>
      <c r="C16" s="48" t="s">
        <v>113</v>
      </c>
      <c r="D16" s="49">
        <f>VLOOKUP(C16,'[1]PREÇO ATUAL'!$A:$D,4,0)</f>
        <v>79.900000000000006</v>
      </c>
      <c r="E16" s="50">
        <v>1</v>
      </c>
      <c r="F16" s="50">
        <v>1</v>
      </c>
      <c r="G16" s="50">
        <v>1</v>
      </c>
      <c r="H16" s="50">
        <v>1</v>
      </c>
      <c r="I16" s="51">
        <v>1</v>
      </c>
      <c r="J16" s="51">
        <v>1</v>
      </c>
      <c r="K16" s="51">
        <v>1</v>
      </c>
      <c r="L16" s="51">
        <v>1</v>
      </c>
      <c r="M16" s="51">
        <v>1</v>
      </c>
      <c r="N16" s="50">
        <v>1</v>
      </c>
      <c r="O16" s="71">
        <v>1</v>
      </c>
      <c r="P16" s="71">
        <v>1</v>
      </c>
      <c r="Q16" s="71">
        <v>1</v>
      </c>
      <c r="R16" s="71">
        <v>1</v>
      </c>
      <c r="S16" s="71">
        <v>1</v>
      </c>
      <c r="T16" s="52">
        <f t="shared" ref="T16:AH23" si="6">$D16*E16</f>
        <v>79.900000000000006</v>
      </c>
      <c r="U16" s="52">
        <f t="shared" si="6"/>
        <v>79.900000000000006</v>
      </c>
      <c r="V16" s="52">
        <f t="shared" si="6"/>
        <v>79.900000000000006</v>
      </c>
      <c r="W16" s="52">
        <f t="shared" si="6"/>
        <v>79.900000000000006</v>
      </c>
      <c r="X16" s="52">
        <f t="shared" si="6"/>
        <v>79.900000000000006</v>
      </c>
      <c r="Y16" s="52">
        <f t="shared" si="6"/>
        <v>79.900000000000006</v>
      </c>
      <c r="Z16" s="52">
        <f t="shared" si="6"/>
        <v>79.900000000000006</v>
      </c>
      <c r="AA16" s="52">
        <f t="shared" si="6"/>
        <v>79.900000000000006</v>
      </c>
      <c r="AB16" s="52">
        <f t="shared" si="6"/>
        <v>79.900000000000006</v>
      </c>
      <c r="AC16" s="52">
        <f t="shared" si="6"/>
        <v>79.900000000000006</v>
      </c>
      <c r="AD16" s="52">
        <f t="shared" si="6"/>
        <v>79.900000000000006</v>
      </c>
      <c r="AE16" s="52">
        <f t="shared" si="6"/>
        <v>79.900000000000006</v>
      </c>
      <c r="AF16" s="52">
        <f t="shared" si="6"/>
        <v>79.900000000000006</v>
      </c>
      <c r="AG16" s="52">
        <f t="shared" si="6"/>
        <v>79.900000000000006</v>
      </c>
      <c r="AH16" s="52">
        <f t="shared" si="6"/>
        <v>79.900000000000006</v>
      </c>
      <c r="AI16" s="53" t="e">
        <f t="shared" ref="AI16:AI24" si="7">AJ16/$AI$2</f>
        <v>#N/A</v>
      </c>
      <c r="AJ16" s="52">
        <f t="shared" ref="AJ16:AJ24" si="8">SUM(T16:AH16)</f>
        <v>1198.5</v>
      </c>
    </row>
    <row r="17" spans="1:36" ht="15" customHeight="1" x14ac:dyDescent="0.4">
      <c r="A17" s="54">
        <v>2</v>
      </c>
      <c r="B17" s="55" t="s">
        <v>114</v>
      </c>
      <c r="C17" s="56" t="s">
        <v>115</v>
      </c>
      <c r="D17" s="57">
        <f>VLOOKUP(C17,'[1]PREÇO ATUAL'!$A:$D,4,0)</f>
        <v>35.9</v>
      </c>
      <c r="E17" s="58"/>
      <c r="F17" s="58">
        <v>1</v>
      </c>
      <c r="G17" s="58"/>
      <c r="H17" s="58">
        <v>1</v>
      </c>
      <c r="I17" s="59"/>
      <c r="J17" s="59">
        <v>1</v>
      </c>
      <c r="K17" s="59"/>
      <c r="L17" s="59">
        <v>1</v>
      </c>
      <c r="M17" s="59"/>
      <c r="N17" s="58">
        <v>1</v>
      </c>
      <c r="O17" s="70"/>
      <c r="P17" s="59">
        <v>1</v>
      </c>
      <c r="Q17" s="59"/>
      <c r="R17" s="59">
        <v>1</v>
      </c>
      <c r="S17" s="59"/>
      <c r="T17" s="60">
        <f t="shared" si="6"/>
        <v>0</v>
      </c>
      <c r="U17" s="60">
        <f t="shared" si="6"/>
        <v>35.9</v>
      </c>
      <c r="V17" s="60">
        <f t="shared" si="6"/>
        <v>0</v>
      </c>
      <c r="W17" s="60">
        <f t="shared" si="6"/>
        <v>35.9</v>
      </c>
      <c r="X17" s="60">
        <f t="shared" si="6"/>
        <v>0</v>
      </c>
      <c r="Y17" s="60">
        <f t="shared" si="6"/>
        <v>35.9</v>
      </c>
      <c r="Z17" s="60">
        <f t="shared" si="6"/>
        <v>0</v>
      </c>
      <c r="AA17" s="60">
        <f t="shared" si="6"/>
        <v>35.9</v>
      </c>
      <c r="AB17" s="60">
        <f t="shared" si="6"/>
        <v>0</v>
      </c>
      <c r="AC17" s="60">
        <f t="shared" si="6"/>
        <v>35.9</v>
      </c>
      <c r="AD17" s="60">
        <f t="shared" si="6"/>
        <v>0</v>
      </c>
      <c r="AE17" s="60">
        <f t="shared" si="6"/>
        <v>35.9</v>
      </c>
      <c r="AF17" s="60">
        <f t="shared" si="6"/>
        <v>0</v>
      </c>
      <c r="AG17" s="60">
        <f t="shared" si="6"/>
        <v>35.9</v>
      </c>
      <c r="AH17" s="60">
        <f t="shared" si="6"/>
        <v>0</v>
      </c>
      <c r="AI17" s="61" t="e">
        <f t="shared" si="7"/>
        <v>#N/A</v>
      </c>
      <c r="AJ17" s="60">
        <f t="shared" si="8"/>
        <v>251.3</v>
      </c>
    </row>
    <row r="18" spans="1:36" ht="15" customHeight="1" x14ac:dyDescent="0.4">
      <c r="A18" s="46">
        <v>3</v>
      </c>
      <c r="B18" s="47" t="s">
        <v>116</v>
      </c>
      <c r="C18" s="48" t="s">
        <v>117</v>
      </c>
      <c r="D18" s="49">
        <f>VLOOKUP(C18,'[1]PREÇO ATUAL'!$A:$D,4,0)</f>
        <v>89.9</v>
      </c>
      <c r="E18" s="50"/>
      <c r="F18" s="50">
        <v>1</v>
      </c>
      <c r="G18" s="50"/>
      <c r="H18" s="50">
        <v>1</v>
      </c>
      <c r="I18" s="51"/>
      <c r="J18" s="51">
        <v>1</v>
      </c>
      <c r="K18" s="51"/>
      <c r="L18" s="51">
        <v>1</v>
      </c>
      <c r="M18" s="51"/>
      <c r="N18" s="50">
        <v>1</v>
      </c>
      <c r="O18" s="71"/>
      <c r="P18" s="51">
        <v>1</v>
      </c>
      <c r="Q18" s="51"/>
      <c r="R18" s="51">
        <v>1</v>
      </c>
      <c r="S18" s="51"/>
      <c r="T18" s="52">
        <f t="shared" si="6"/>
        <v>0</v>
      </c>
      <c r="U18" s="52">
        <f t="shared" si="6"/>
        <v>89.9</v>
      </c>
      <c r="V18" s="52">
        <f t="shared" si="6"/>
        <v>0</v>
      </c>
      <c r="W18" s="52">
        <f t="shared" si="6"/>
        <v>89.9</v>
      </c>
      <c r="X18" s="52">
        <f t="shared" si="6"/>
        <v>0</v>
      </c>
      <c r="Y18" s="52">
        <f t="shared" si="6"/>
        <v>89.9</v>
      </c>
      <c r="Z18" s="52">
        <f t="shared" si="6"/>
        <v>0</v>
      </c>
      <c r="AA18" s="52">
        <f t="shared" si="6"/>
        <v>89.9</v>
      </c>
      <c r="AB18" s="52">
        <f t="shared" si="6"/>
        <v>0</v>
      </c>
      <c r="AC18" s="52">
        <f t="shared" si="6"/>
        <v>89.9</v>
      </c>
      <c r="AD18" s="52">
        <f t="shared" si="6"/>
        <v>0</v>
      </c>
      <c r="AE18" s="52">
        <f t="shared" si="6"/>
        <v>89.9</v>
      </c>
      <c r="AF18" s="52">
        <f t="shared" si="6"/>
        <v>0</v>
      </c>
      <c r="AG18" s="52">
        <f t="shared" si="6"/>
        <v>89.9</v>
      </c>
      <c r="AH18" s="52">
        <f t="shared" si="6"/>
        <v>0</v>
      </c>
      <c r="AI18" s="53" t="e">
        <f t="shared" si="7"/>
        <v>#N/A</v>
      </c>
      <c r="AJ18" s="52">
        <f t="shared" si="8"/>
        <v>629.29999999999995</v>
      </c>
    </row>
    <row r="19" spans="1:36" ht="15.75" customHeight="1" x14ac:dyDescent="0.4">
      <c r="A19" s="54">
        <v>4</v>
      </c>
      <c r="B19" s="55" t="s">
        <v>118</v>
      </c>
      <c r="C19" s="56" t="s">
        <v>119</v>
      </c>
      <c r="D19" s="57">
        <f>VLOOKUP(C19,'[1]PREÇO ATUAL'!$A:$D,4,0)</f>
        <v>175.9</v>
      </c>
      <c r="E19" s="58"/>
      <c r="F19" s="58"/>
      <c r="G19" s="58"/>
      <c r="H19" s="58">
        <v>4</v>
      </c>
      <c r="I19" s="59"/>
      <c r="J19" s="59"/>
      <c r="K19" s="59"/>
      <c r="L19" s="59">
        <v>4</v>
      </c>
      <c r="M19" s="59"/>
      <c r="N19" s="58"/>
      <c r="O19" s="70"/>
      <c r="P19" s="59">
        <v>4</v>
      </c>
      <c r="Q19" s="59"/>
      <c r="R19" s="59"/>
      <c r="S19" s="59"/>
      <c r="T19" s="60">
        <f t="shared" si="6"/>
        <v>0</v>
      </c>
      <c r="U19" s="60">
        <f t="shared" si="6"/>
        <v>0</v>
      </c>
      <c r="V19" s="60">
        <f t="shared" si="6"/>
        <v>0</v>
      </c>
      <c r="W19" s="60">
        <f t="shared" si="6"/>
        <v>703.6</v>
      </c>
      <c r="X19" s="60">
        <f t="shared" si="6"/>
        <v>0</v>
      </c>
      <c r="Y19" s="60">
        <f t="shared" si="6"/>
        <v>0</v>
      </c>
      <c r="Z19" s="60">
        <f t="shared" si="6"/>
        <v>0</v>
      </c>
      <c r="AA19" s="60">
        <f t="shared" si="6"/>
        <v>703.6</v>
      </c>
      <c r="AB19" s="60">
        <f t="shared" si="6"/>
        <v>0</v>
      </c>
      <c r="AC19" s="60">
        <f t="shared" si="6"/>
        <v>0</v>
      </c>
      <c r="AD19" s="60">
        <f t="shared" si="6"/>
        <v>0</v>
      </c>
      <c r="AE19" s="60">
        <f t="shared" si="6"/>
        <v>703.6</v>
      </c>
      <c r="AF19" s="60">
        <f t="shared" si="6"/>
        <v>0</v>
      </c>
      <c r="AG19" s="60">
        <f t="shared" si="6"/>
        <v>0</v>
      </c>
      <c r="AH19" s="60">
        <f t="shared" si="6"/>
        <v>0</v>
      </c>
      <c r="AI19" s="61" t="e">
        <f t="shared" si="7"/>
        <v>#N/A</v>
      </c>
      <c r="AJ19" s="60">
        <f t="shared" si="8"/>
        <v>2110.8000000000002</v>
      </c>
    </row>
    <row r="20" spans="1:36" ht="15.75" customHeight="1" x14ac:dyDescent="0.4">
      <c r="A20" s="46">
        <v>5</v>
      </c>
      <c r="B20" s="47" t="s">
        <v>120</v>
      </c>
      <c r="C20" s="48" t="s">
        <v>121</v>
      </c>
      <c r="D20" s="49">
        <f>VLOOKUP(C20,'[1]PREÇO ATUAL'!$A:$D,4,0)</f>
        <v>143.22999999999999</v>
      </c>
      <c r="E20" s="50"/>
      <c r="F20" s="50"/>
      <c r="G20" s="50"/>
      <c r="H20" s="50"/>
      <c r="I20" s="51"/>
      <c r="J20" s="51">
        <v>1</v>
      </c>
      <c r="K20" s="51"/>
      <c r="L20" s="51"/>
      <c r="M20" s="51"/>
      <c r="N20" s="50"/>
      <c r="O20" s="71"/>
      <c r="P20" s="51">
        <v>1</v>
      </c>
      <c r="Q20" s="51"/>
      <c r="R20" s="51"/>
      <c r="S20" s="51"/>
      <c r="T20" s="52">
        <f t="shared" si="6"/>
        <v>0</v>
      </c>
      <c r="U20" s="52">
        <f t="shared" si="6"/>
        <v>0</v>
      </c>
      <c r="V20" s="52">
        <f t="shared" si="6"/>
        <v>0</v>
      </c>
      <c r="W20" s="52">
        <f t="shared" si="6"/>
        <v>0</v>
      </c>
      <c r="X20" s="52">
        <f t="shared" si="6"/>
        <v>0</v>
      </c>
      <c r="Y20" s="52">
        <f t="shared" si="6"/>
        <v>143.22999999999999</v>
      </c>
      <c r="Z20" s="52">
        <f t="shared" si="6"/>
        <v>0</v>
      </c>
      <c r="AA20" s="52">
        <f t="shared" si="6"/>
        <v>0</v>
      </c>
      <c r="AB20" s="52">
        <f t="shared" si="6"/>
        <v>0</v>
      </c>
      <c r="AC20" s="52">
        <f t="shared" si="6"/>
        <v>0</v>
      </c>
      <c r="AD20" s="52">
        <f t="shared" si="6"/>
        <v>0</v>
      </c>
      <c r="AE20" s="52">
        <f t="shared" si="6"/>
        <v>143.22999999999999</v>
      </c>
      <c r="AF20" s="52">
        <f t="shared" si="6"/>
        <v>0</v>
      </c>
      <c r="AG20" s="52">
        <f t="shared" si="6"/>
        <v>0</v>
      </c>
      <c r="AH20" s="52">
        <f t="shared" si="6"/>
        <v>0</v>
      </c>
      <c r="AI20" s="53" t="e">
        <f t="shared" si="7"/>
        <v>#N/A</v>
      </c>
      <c r="AJ20" s="52">
        <f t="shared" si="8"/>
        <v>286.45999999999998</v>
      </c>
    </row>
    <row r="21" spans="1:36" ht="38.25" customHeight="1" x14ac:dyDescent="0.4">
      <c r="A21" s="54">
        <v>6</v>
      </c>
      <c r="B21" s="67" t="s">
        <v>193</v>
      </c>
      <c r="C21" s="56" t="s">
        <v>123</v>
      </c>
      <c r="D21" s="57">
        <f>VLOOKUP(C21,'[1]PREÇO ATUAL'!$A:$D,4,0)</f>
        <v>165.97811999999999</v>
      </c>
      <c r="E21" s="105"/>
      <c r="F21" s="105"/>
      <c r="G21" s="105"/>
      <c r="H21" s="105"/>
      <c r="I21" s="62"/>
      <c r="J21" s="62"/>
      <c r="K21" s="62"/>
      <c r="L21" s="62"/>
      <c r="M21" s="62"/>
      <c r="N21" s="105"/>
      <c r="O21" s="106"/>
      <c r="P21" s="62">
        <v>2</v>
      </c>
      <c r="Q21" s="62"/>
      <c r="R21" s="62"/>
      <c r="S21" s="62"/>
      <c r="T21" s="60">
        <f t="shared" si="6"/>
        <v>0</v>
      </c>
      <c r="U21" s="60">
        <f t="shared" si="6"/>
        <v>0</v>
      </c>
      <c r="V21" s="60">
        <f t="shared" si="6"/>
        <v>0</v>
      </c>
      <c r="W21" s="60">
        <f t="shared" si="6"/>
        <v>0</v>
      </c>
      <c r="X21" s="60">
        <f t="shared" si="6"/>
        <v>0</v>
      </c>
      <c r="Y21" s="60">
        <f t="shared" si="6"/>
        <v>0</v>
      </c>
      <c r="Z21" s="60">
        <f t="shared" si="6"/>
        <v>0</v>
      </c>
      <c r="AA21" s="60">
        <f t="shared" si="6"/>
        <v>0</v>
      </c>
      <c r="AB21" s="60">
        <f t="shared" si="6"/>
        <v>0</v>
      </c>
      <c r="AC21" s="60">
        <f t="shared" si="6"/>
        <v>0</v>
      </c>
      <c r="AD21" s="60">
        <f t="shared" si="6"/>
        <v>0</v>
      </c>
      <c r="AE21" s="60">
        <f t="shared" si="6"/>
        <v>331.95623999999998</v>
      </c>
      <c r="AF21" s="60">
        <f t="shared" si="6"/>
        <v>0</v>
      </c>
      <c r="AG21" s="60">
        <f t="shared" si="6"/>
        <v>0</v>
      </c>
      <c r="AH21" s="60">
        <f t="shared" si="6"/>
        <v>0</v>
      </c>
      <c r="AI21" s="61" t="e">
        <f t="shared" si="7"/>
        <v>#N/A</v>
      </c>
      <c r="AJ21" s="60">
        <f t="shared" si="8"/>
        <v>331.95623999999998</v>
      </c>
    </row>
    <row r="22" spans="1:36" ht="15.75" customHeight="1" x14ac:dyDescent="0.4">
      <c r="A22" s="46">
        <v>6</v>
      </c>
      <c r="B22" s="47" t="s">
        <v>124</v>
      </c>
      <c r="C22" s="48" t="s">
        <v>125</v>
      </c>
      <c r="D22" s="49">
        <f>VLOOKUP(C22,'[1]PREÇO ATUAL'!$A:$D,4,0)</f>
        <v>33.6224930838505</v>
      </c>
      <c r="E22" s="50"/>
      <c r="F22" s="50"/>
      <c r="G22" s="50"/>
      <c r="H22" s="50"/>
      <c r="I22" s="51"/>
      <c r="J22" s="51"/>
      <c r="K22" s="51"/>
      <c r="L22" s="51"/>
      <c r="M22" s="51"/>
      <c r="N22" s="50"/>
      <c r="O22" s="71"/>
      <c r="P22" s="51"/>
      <c r="Q22" s="51"/>
      <c r="R22" s="51"/>
      <c r="S22" s="51"/>
      <c r="T22" s="52">
        <f t="shared" si="6"/>
        <v>0</v>
      </c>
      <c r="U22" s="52">
        <f t="shared" si="6"/>
        <v>0</v>
      </c>
      <c r="V22" s="52">
        <f t="shared" si="6"/>
        <v>0</v>
      </c>
      <c r="W22" s="52">
        <f t="shared" si="6"/>
        <v>0</v>
      </c>
      <c r="X22" s="52">
        <f t="shared" si="6"/>
        <v>0</v>
      </c>
      <c r="Y22" s="52">
        <f t="shared" si="6"/>
        <v>0</v>
      </c>
      <c r="Z22" s="52">
        <f t="shared" si="6"/>
        <v>0</v>
      </c>
      <c r="AA22" s="52">
        <f t="shared" si="6"/>
        <v>0</v>
      </c>
      <c r="AB22" s="52">
        <f t="shared" si="6"/>
        <v>0</v>
      </c>
      <c r="AC22" s="52">
        <f t="shared" si="6"/>
        <v>0</v>
      </c>
      <c r="AD22" s="52">
        <f t="shared" si="6"/>
        <v>0</v>
      </c>
      <c r="AE22" s="52">
        <f t="shared" si="6"/>
        <v>0</v>
      </c>
      <c r="AF22" s="52">
        <f t="shared" si="6"/>
        <v>0</v>
      </c>
      <c r="AG22" s="52">
        <f t="shared" si="6"/>
        <v>0</v>
      </c>
      <c r="AH22" s="52">
        <f t="shared" si="6"/>
        <v>0</v>
      </c>
      <c r="AI22" s="53" t="e">
        <f t="shared" si="7"/>
        <v>#N/A</v>
      </c>
      <c r="AJ22" s="52">
        <f t="shared" si="8"/>
        <v>0</v>
      </c>
    </row>
    <row r="23" spans="1:36" ht="15.75" customHeight="1" x14ac:dyDescent="0.4">
      <c r="A23" s="54">
        <v>7</v>
      </c>
      <c r="B23" s="55" t="s">
        <v>126</v>
      </c>
      <c r="C23" s="56" t="s">
        <v>127</v>
      </c>
      <c r="D23" s="57">
        <f>VLOOKUP(C23,'[1]PREÇO ATUAL'!$A:$D,4,0)</f>
        <v>81.260000000000005</v>
      </c>
      <c r="E23" s="73">
        <v>3.36</v>
      </c>
      <c r="F23" s="73">
        <v>3.36</v>
      </c>
      <c r="G23" s="73">
        <v>3.36</v>
      </c>
      <c r="H23" s="73">
        <v>3.36</v>
      </c>
      <c r="I23" s="74">
        <v>3.36</v>
      </c>
      <c r="J23" s="74">
        <v>3.36</v>
      </c>
      <c r="K23" s="74">
        <v>3.36</v>
      </c>
      <c r="L23" s="74">
        <v>3.36</v>
      </c>
      <c r="M23" s="74">
        <v>3.36</v>
      </c>
      <c r="N23" s="73">
        <v>3.36</v>
      </c>
      <c r="O23" s="99">
        <v>3.36</v>
      </c>
      <c r="P23" s="74">
        <v>3.36</v>
      </c>
      <c r="Q23" s="74">
        <v>3.36</v>
      </c>
      <c r="R23" s="74">
        <v>3.36</v>
      </c>
      <c r="S23" s="74">
        <v>3.36</v>
      </c>
      <c r="T23" s="60">
        <f t="shared" si="6"/>
        <v>273.03360000000004</v>
      </c>
      <c r="U23" s="60">
        <f t="shared" si="6"/>
        <v>273.03360000000004</v>
      </c>
      <c r="V23" s="60">
        <f t="shared" si="6"/>
        <v>273.03360000000004</v>
      </c>
      <c r="W23" s="60">
        <f t="shared" si="6"/>
        <v>273.03360000000004</v>
      </c>
      <c r="X23" s="60">
        <f t="shared" si="6"/>
        <v>273.03360000000004</v>
      </c>
      <c r="Y23" s="60">
        <f t="shared" si="6"/>
        <v>273.03360000000004</v>
      </c>
      <c r="Z23" s="60">
        <f t="shared" si="6"/>
        <v>273.03360000000004</v>
      </c>
      <c r="AA23" s="60">
        <f t="shared" si="6"/>
        <v>273.03360000000004</v>
      </c>
      <c r="AB23" s="60">
        <f t="shared" si="6"/>
        <v>273.03360000000004</v>
      </c>
      <c r="AC23" s="60">
        <f t="shared" si="6"/>
        <v>273.03360000000004</v>
      </c>
      <c r="AD23" s="60">
        <f t="shared" si="6"/>
        <v>273.03360000000004</v>
      </c>
      <c r="AE23" s="60">
        <f t="shared" si="6"/>
        <v>273.03360000000004</v>
      </c>
      <c r="AF23" s="60">
        <f t="shared" si="6"/>
        <v>273.03360000000004</v>
      </c>
      <c r="AG23" s="60">
        <f t="shared" si="6"/>
        <v>273.03360000000004</v>
      </c>
      <c r="AH23" s="60">
        <f t="shared" si="6"/>
        <v>273.03360000000004</v>
      </c>
      <c r="AI23" s="61" t="e">
        <f t="shared" si="7"/>
        <v>#N/A</v>
      </c>
      <c r="AJ23" s="60">
        <f t="shared" si="8"/>
        <v>4095.5040000000017</v>
      </c>
    </row>
    <row r="24" spans="1:36" ht="15.75" customHeight="1" x14ac:dyDescent="0.4">
      <c r="A24" s="46">
        <v>8</v>
      </c>
      <c r="B24" s="47" t="s">
        <v>128</v>
      </c>
      <c r="C24" s="48" t="s">
        <v>54</v>
      </c>
      <c r="D24" s="49" t="e">
        <f>VLOOKUP(C24,'[1]PREÇO ATUAL'!$A:$D,4,0)</f>
        <v>#N/A</v>
      </c>
      <c r="E24" s="75">
        <v>0.85</v>
      </c>
      <c r="F24" s="75">
        <v>1.2</v>
      </c>
      <c r="G24" s="75">
        <v>0.9</v>
      </c>
      <c r="H24" s="75">
        <v>2.15</v>
      </c>
      <c r="I24" s="76">
        <v>1</v>
      </c>
      <c r="J24" s="76">
        <v>1.45</v>
      </c>
      <c r="K24" s="76">
        <v>0.85</v>
      </c>
      <c r="L24" s="76">
        <v>2.15</v>
      </c>
      <c r="M24" s="76">
        <v>0.9</v>
      </c>
      <c r="N24" s="75">
        <v>1.35</v>
      </c>
      <c r="O24" s="98">
        <v>0.85</v>
      </c>
      <c r="P24" s="76">
        <v>1.5</v>
      </c>
      <c r="Q24" s="76">
        <v>0.85</v>
      </c>
      <c r="R24" s="76">
        <v>1.2</v>
      </c>
      <c r="S24" s="76">
        <v>1.05</v>
      </c>
      <c r="T24" s="52" t="e">
        <f>D24*E24</f>
        <v>#N/A</v>
      </c>
      <c r="U24" s="52" t="e">
        <f t="shared" ref="U24:AH24" si="9">$D24*F24</f>
        <v>#N/A</v>
      </c>
      <c r="V24" s="52" t="e">
        <f t="shared" si="9"/>
        <v>#N/A</v>
      </c>
      <c r="W24" s="52" t="e">
        <f t="shared" si="9"/>
        <v>#N/A</v>
      </c>
      <c r="X24" s="52" t="e">
        <f t="shared" si="9"/>
        <v>#N/A</v>
      </c>
      <c r="Y24" s="52" t="e">
        <f t="shared" si="9"/>
        <v>#N/A</v>
      </c>
      <c r="Z24" s="52" t="e">
        <f t="shared" si="9"/>
        <v>#N/A</v>
      </c>
      <c r="AA24" s="52" t="e">
        <f t="shared" si="9"/>
        <v>#N/A</v>
      </c>
      <c r="AB24" s="52" t="e">
        <f t="shared" si="9"/>
        <v>#N/A</v>
      </c>
      <c r="AC24" s="52" t="e">
        <f t="shared" si="9"/>
        <v>#N/A</v>
      </c>
      <c r="AD24" s="52" t="e">
        <f t="shared" si="9"/>
        <v>#N/A</v>
      </c>
      <c r="AE24" s="52" t="e">
        <f t="shared" si="9"/>
        <v>#N/A</v>
      </c>
      <c r="AF24" s="52" t="e">
        <f t="shared" si="9"/>
        <v>#N/A</v>
      </c>
      <c r="AG24" s="52" t="e">
        <f t="shared" si="9"/>
        <v>#N/A</v>
      </c>
      <c r="AH24" s="52" t="e">
        <f t="shared" si="9"/>
        <v>#N/A</v>
      </c>
      <c r="AI24" s="53" t="e">
        <f t="shared" si="7"/>
        <v>#N/A</v>
      </c>
      <c r="AJ24" s="52" t="e">
        <f t="shared" si="8"/>
        <v>#N/A</v>
      </c>
    </row>
    <row r="25" spans="1:36" ht="15.75" customHeight="1" x14ac:dyDescent="0.4"/>
    <row r="26" spans="1:36" ht="15.75" customHeight="1" x14ac:dyDescent="0.4"/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</sheetData>
  <mergeCells count="10">
    <mergeCell ref="E13:S14"/>
    <mergeCell ref="A1:D2"/>
    <mergeCell ref="AI13:AJ13"/>
    <mergeCell ref="E1:S2"/>
    <mergeCell ref="AI1:AJ1"/>
    <mergeCell ref="AI2:AJ2"/>
    <mergeCell ref="T1:AH1"/>
    <mergeCell ref="A13:D14"/>
    <mergeCell ref="AI14:AJ14"/>
    <mergeCell ref="T13:AH13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</sheetPr>
  <dimension ref="A1:Z961"/>
  <sheetViews>
    <sheetView showGridLines="0" zoomScaleNormal="100" workbookViewId="0">
      <pane xSplit="4" topLeftCell="E1" activePane="topRight" state="frozen"/>
      <selection pane="topRight" activeCell="H17" sqref="H17"/>
    </sheetView>
  </sheetViews>
  <sheetFormatPr defaultColWidth="14.4609375" defaultRowHeight="14.6" x14ac:dyDescent="0.4"/>
  <cols>
    <col min="1" max="1" width="3.3046875" customWidth="1"/>
    <col min="2" max="2" width="46.3046875" customWidth="1"/>
    <col min="3" max="3" width="16.84375" customWidth="1"/>
    <col min="4" max="4" width="8.69140625" customWidth="1"/>
    <col min="5" max="5" width="6.53515625" customWidth="1"/>
    <col min="6" max="13" width="5.4609375" customWidth="1"/>
    <col min="14" max="14" width="5.53515625" customWidth="1"/>
    <col min="15" max="17" width="15" customWidth="1"/>
    <col min="18" max="18" width="17.15234375" customWidth="1"/>
    <col min="19" max="19" width="15" customWidth="1"/>
    <col min="20" max="20" width="17.15234375" customWidth="1"/>
    <col min="21" max="21" width="15" customWidth="1"/>
    <col min="22" max="22" width="17.15234375" customWidth="1"/>
    <col min="23" max="24" width="15" customWidth="1"/>
    <col min="25" max="25" width="8.3828125" customWidth="1"/>
    <col min="26" max="26" width="15.53515625" customWidth="1"/>
  </cols>
  <sheetData>
    <row r="1" spans="1:26" ht="15.75" customHeight="1" x14ac:dyDescent="0.4">
      <c r="A1" s="233" t="s">
        <v>201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.7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MROUND(SUM(O4:O11),1)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.7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.75" customHeight="1" x14ac:dyDescent="0.4">
      <c r="A4" s="46">
        <v>1</v>
      </c>
      <c r="B4" s="47" t="s">
        <v>112</v>
      </c>
      <c r="C4" s="48" t="s">
        <v>144</v>
      </c>
      <c r="D4" s="49">
        <f>VLOOKUP(C4,'[1]PREÇO ATUAL'!$A:$D,4,0)</f>
        <v>41.43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84">
        <v>1</v>
      </c>
      <c r="O4" s="52">
        <f t="shared" ref="O4:X10" si="1">$D4*E4</f>
        <v>41.43</v>
      </c>
      <c r="P4" s="52">
        <f t="shared" si="1"/>
        <v>41.43</v>
      </c>
      <c r="Q4" s="52">
        <f t="shared" si="1"/>
        <v>41.43</v>
      </c>
      <c r="R4" s="52">
        <f t="shared" si="1"/>
        <v>41.43</v>
      </c>
      <c r="S4" s="52">
        <f t="shared" si="1"/>
        <v>41.43</v>
      </c>
      <c r="T4" s="52">
        <f t="shared" si="1"/>
        <v>41.43</v>
      </c>
      <c r="U4" s="52">
        <f t="shared" si="1"/>
        <v>41.43</v>
      </c>
      <c r="V4" s="52">
        <f t="shared" si="1"/>
        <v>41.43</v>
      </c>
      <c r="W4" s="52">
        <f t="shared" si="1"/>
        <v>41.43</v>
      </c>
      <c r="X4" s="52">
        <f t="shared" si="1"/>
        <v>41.43</v>
      </c>
      <c r="Y4" s="53" t="e">
        <f t="shared" ref="Y4:Y11" si="2">Z4/$Y$2</f>
        <v>#N/A</v>
      </c>
      <c r="Z4" s="52">
        <f t="shared" ref="Z4:Z11" si="3">SUM(O4:X4)</f>
        <v>414.3</v>
      </c>
    </row>
    <row r="5" spans="1:26" ht="15.75" customHeight="1" x14ac:dyDescent="0.4">
      <c r="A5" s="54">
        <v>2</v>
      </c>
      <c r="B5" s="55" t="s">
        <v>145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85">
        <v>1</v>
      </c>
      <c r="O5" s="60">
        <f t="shared" si="1"/>
        <v>0</v>
      </c>
      <c r="P5" s="60">
        <f t="shared" si="1"/>
        <v>35.9</v>
      </c>
      <c r="Q5" s="60">
        <f t="shared" si="1"/>
        <v>0</v>
      </c>
      <c r="R5" s="60">
        <f t="shared" si="1"/>
        <v>35.9</v>
      </c>
      <c r="S5" s="60">
        <f t="shared" si="1"/>
        <v>0</v>
      </c>
      <c r="T5" s="60">
        <f t="shared" si="1"/>
        <v>35.9</v>
      </c>
      <c r="U5" s="60">
        <f t="shared" si="1"/>
        <v>0</v>
      </c>
      <c r="V5" s="60">
        <f t="shared" si="1"/>
        <v>35.9</v>
      </c>
      <c r="W5" s="60">
        <f t="shared" si="1"/>
        <v>0</v>
      </c>
      <c r="X5" s="60">
        <f t="shared" si="1"/>
        <v>35.9</v>
      </c>
      <c r="Y5" s="61" t="e">
        <f t="shared" si="2"/>
        <v>#N/A</v>
      </c>
      <c r="Z5" s="60">
        <f t="shared" si="3"/>
        <v>179.5</v>
      </c>
    </row>
    <row r="6" spans="1:26" ht="15.75" customHeight="1" x14ac:dyDescent="0.4">
      <c r="A6" s="46">
        <v>3</v>
      </c>
      <c r="B6" s="47" t="s">
        <v>116</v>
      </c>
      <c r="C6" s="48" t="s">
        <v>146</v>
      </c>
      <c r="D6" s="49">
        <f>VLOOKUP(C6,'[1]PREÇO ATUAL'!$A:$D,4,0)</f>
        <v>84.9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84">
        <v>1</v>
      </c>
      <c r="O6" s="52">
        <f t="shared" si="1"/>
        <v>0</v>
      </c>
      <c r="P6" s="52">
        <f t="shared" si="1"/>
        <v>84.9</v>
      </c>
      <c r="Q6" s="52">
        <f t="shared" si="1"/>
        <v>0</v>
      </c>
      <c r="R6" s="52">
        <f t="shared" si="1"/>
        <v>84.9</v>
      </c>
      <c r="S6" s="52">
        <f t="shared" si="1"/>
        <v>0</v>
      </c>
      <c r="T6" s="52">
        <f t="shared" si="1"/>
        <v>84.9</v>
      </c>
      <c r="U6" s="52">
        <f t="shared" si="1"/>
        <v>0</v>
      </c>
      <c r="V6" s="52">
        <f t="shared" si="1"/>
        <v>84.9</v>
      </c>
      <c r="W6" s="52">
        <f t="shared" si="1"/>
        <v>0</v>
      </c>
      <c r="X6" s="52">
        <f t="shared" si="1"/>
        <v>84.9</v>
      </c>
      <c r="Y6" s="53" t="e">
        <f t="shared" si="2"/>
        <v>#N/A</v>
      </c>
      <c r="Z6" s="52">
        <f t="shared" si="3"/>
        <v>424.5</v>
      </c>
    </row>
    <row r="7" spans="1:26" ht="15.75" customHeight="1" x14ac:dyDescent="0.4">
      <c r="A7" s="54">
        <v>4</v>
      </c>
      <c r="B7" s="55" t="s">
        <v>147</v>
      </c>
      <c r="C7" s="56" t="s">
        <v>148</v>
      </c>
      <c r="D7" s="57">
        <f>VLOOKUP(C7,'[1]PREÇO ATUAL'!$A:$D,4,0)</f>
        <v>114.24</v>
      </c>
      <c r="E7" s="58"/>
      <c r="F7" s="58"/>
      <c r="G7" s="58"/>
      <c r="H7" s="58"/>
      <c r="I7" s="59"/>
      <c r="J7" s="59">
        <v>4</v>
      </c>
      <c r="K7" s="59"/>
      <c r="L7" s="59"/>
      <c r="M7" s="59"/>
      <c r="N7" s="85"/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0">
        <f t="shared" si="1"/>
        <v>0</v>
      </c>
      <c r="T7" s="60">
        <f t="shared" si="1"/>
        <v>456.96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61" t="e">
        <f t="shared" si="2"/>
        <v>#N/A</v>
      </c>
      <c r="Z7" s="60">
        <f t="shared" si="3"/>
        <v>456.96</v>
      </c>
    </row>
    <row r="8" spans="1:26" ht="15.75" customHeight="1" x14ac:dyDescent="0.4">
      <c r="A8" s="46">
        <v>5</v>
      </c>
      <c r="B8" s="47" t="s">
        <v>149</v>
      </c>
      <c r="C8" s="48" t="s">
        <v>150</v>
      </c>
      <c r="D8" s="49">
        <f>VLOOKUP(C8,'[1]PREÇO ATUAL'!$A:$D,4,0)</f>
        <v>169.01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84"/>
      <c r="O8" s="52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169.01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3" t="e">
        <f t="shared" si="2"/>
        <v>#N/A</v>
      </c>
      <c r="Z8" s="52">
        <f t="shared" si="3"/>
        <v>169.01</v>
      </c>
    </row>
    <row r="9" spans="1:26" ht="15.7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58"/>
      <c r="F9" s="58"/>
      <c r="G9" s="58"/>
      <c r="H9" s="58"/>
      <c r="I9" s="59"/>
      <c r="J9" s="59"/>
      <c r="K9" s="59"/>
      <c r="L9" s="59"/>
      <c r="M9" s="59"/>
      <c r="N9" s="85"/>
      <c r="O9" s="60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1" t="e">
        <f t="shared" si="2"/>
        <v>#N/A</v>
      </c>
      <c r="Z9" s="60">
        <f t="shared" si="3"/>
        <v>0</v>
      </c>
    </row>
    <row r="10" spans="1:26" ht="15.75" customHeight="1" x14ac:dyDescent="0.4">
      <c r="A10" s="46">
        <v>7</v>
      </c>
      <c r="B10" s="47" t="s">
        <v>151</v>
      </c>
      <c r="C10" s="48" t="s">
        <v>152</v>
      </c>
      <c r="D10" s="49">
        <v>89.6</v>
      </c>
      <c r="E10" s="63">
        <v>4.7</v>
      </c>
      <c r="F10" s="63">
        <v>4.7</v>
      </c>
      <c r="G10" s="63">
        <v>4.7</v>
      </c>
      <c r="H10" s="63">
        <v>4.7</v>
      </c>
      <c r="I10" s="63">
        <v>4.7</v>
      </c>
      <c r="J10" s="63">
        <v>4.7</v>
      </c>
      <c r="K10" s="63">
        <v>4.7</v>
      </c>
      <c r="L10" s="63">
        <v>4.7</v>
      </c>
      <c r="M10" s="63">
        <v>4.7</v>
      </c>
      <c r="N10" s="63">
        <v>4.7</v>
      </c>
      <c r="O10" s="52">
        <f t="shared" si="1"/>
        <v>421.12</v>
      </c>
      <c r="P10" s="52">
        <f t="shared" si="1"/>
        <v>421.12</v>
      </c>
      <c r="Q10" s="52">
        <f t="shared" si="1"/>
        <v>421.12</v>
      </c>
      <c r="R10" s="52">
        <f t="shared" si="1"/>
        <v>421.12</v>
      </c>
      <c r="S10" s="52">
        <f t="shared" si="1"/>
        <v>421.12</v>
      </c>
      <c r="T10" s="52">
        <f t="shared" si="1"/>
        <v>421.12</v>
      </c>
      <c r="U10" s="52">
        <f t="shared" si="1"/>
        <v>421.12</v>
      </c>
      <c r="V10" s="52">
        <f t="shared" si="1"/>
        <v>421.12</v>
      </c>
      <c r="W10" s="52">
        <f t="shared" si="1"/>
        <v>421.12</v>
      </c>
      <c r="X10" s="52">
        <f t="shared" si="1"/>
        <v>421.12</v>
      </c>
      <c r="Y10" s="53" t="e">
        <f t="shared" si="2"/>
        <v>#N/A</v>
      </c>
      <c r="Z10" s="52">
        <f t="shared" si="3"/>
        <v>4211.2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64">
        <v>0.85</v>
      </c>
      <c r="F11" s="64">
        <v>1.2</v>
      </c>
      <c r="G11" s="64">
        <v>0.9</v>
      </c>
      <c r="H11" s="64">
        <v>1.65</v>
      </c>
      <c r="I11" s="57">
        <v>1</v>
      </c>
      <c r="J11" s="57">
        <v>2.5499999999999998</v>
      </c>
      <c r="K11" s="57">
        <v>0.9</v>
      </c>
      <c r="L11" s="57">
        <v>1.65</v>
      </c>
      <c r="M11" s="57">
        <v>0.9</v>
      </c>
      <c r="N11" s="107">
        <v>1.35</v>
      </c>
      <c r="O11" s="60" t="e">
        <f>D11*E11</f>
        <v>#N/A</v>
      </c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1" t="e">
        <f t="shared" si="2"/>
        <v>#N/A</v>
      </c>
      <c r="Z11" s="60" t="e">
        <f t="shared" si="3"/>
        <v>#N/A</v>
      </c>
    </row>
    <row r="12" spans="1:26" ht="15.75" customHeight="1" x14ac:dyDescent="0.4">
      <c r="H12" s="65"/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A1:AP998"/>
  <sheetViews>
    <sheetView showGridLines="0" topLeftCell="A28" zoomScaleNormal="100" workbookViewId="0">
      <pane xSplit="4" topLeftCell="E1" activePane="topRight" state="frozen"/>
      <selection activeCell="A28" sqref="A28"/>
      <selection pane="topRight" activeCell="C41" sqref="C41"/>
    </sheetView>
  </sheetViews>
  <sheetFormatPr defaultColWidth="14.4609375" defaultRowHeight="14.6" x14ac:dyDescent="0.4"/>
  <cols>
    <col min="1" max="1" width="3.69140625" customWidth="1"/>
    <col min="2" max="2" width="58.3046875" customWidth="1"/>
    <col min="3" max="3" width="20.3046875" customWidth="1"/>
    <col min="4" max="4" width="8.69140625" customWidth="1"/>
    <col min="5" max="19" width="5.15234375" customWidth="1"/>
    <col min="20" max="21" width="14.53515625" customWidth="1"/>
    <col min="22" max="23" width="15.69140625" customWidth="1"/>
    <col min="24" max="24" width="14.53515625" customWidth="1"/>
    <col min="25" max="25" width="16.84375" customWidth="1"/>
    <col min="26" max="26" width="14.53515625" customWidth="1"/>
    <col min="27" max="28" width="15.69140625" customWidth="1"/>
    <col min="29" max="29" width="13.69140625" customWidth="1"/>
    <col min="30" max="30" width="18.3828125" customWidth="1"/>
    <col min="31" max="31" width="15.69140625" customWidth="1"/>
    <col min="32" max="33" width="13.69140625" customWidth="1"/>
    <col min="34" max="34" width="15.69140625" customWidth="1"/>
    <col min="35" max="35" width="8.3828125" customWidth="1"/>
    <col min="36" max="36" width="15.53515625" customWidth="1"/>
    <col min="37" max="37" width="11.69140625" customWidth="1"/>
    <col min="38" max="38" width="9.15234375" customWidth="1"/>
    <col min="39" max="39" width="11.3828125" customWidth="1"/>
    <col min="40" max="42" width="9.15234375" customWidth="1"/>
  </cols>
  <sheetData>
    <row r="1" spans="1:42" ht="15" customHeight="1" x14ac:dyDescent="0.4">
      <c r="A1" s="239" t="s">
        <v>202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42" ht="15" customHeight="1" x14ac:dyDescent="0.4">
      <c r="A2" s="234"/>
      <c r="B2" s="217"/>
      <c r="C2" s="217"/>
      <c r="D2" s="238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e">
        <f t="shared" ref="T2:AH2" si="0">MROUND(SUM(T4:T13),1)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42" ht="1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2">
        <f>AC3+10000</f>
        <v>110000</v>
      </c>
      <c r="AE3" s="42">
        <f>AD3+10000</f>
        <v>120000</v>
      </c>
      <c r="AF3" s="42">
        <f>AE3+10000</f>
        <v>130000</v>
      </c>
      <c r="AG3" s="42">
        <f>AF3+10000</f>
        <v>140000</v>
      </c>
      <c r="AH3" s="42">
        <f>AG3+10000</f>
        <v>150000</v>
      </c>
      <c r="AI3" s="45" t="s">
        <v>24</v>
      </c>
      <c r="AJ3" s="39" t="s">
        <v>25</v>
      </c>
    </row>
    <row r="4" spans="1:42" ht="15" customHeight="1" x14ac:dyDescent="0.4">
      <c r="A4" s="46">
        <v>1</v>
      </c>
      <c r="B4" s="47" t="s">
        <v>154</v>
      </c>
      <c r="C4" s="48" t="s">
        <v>182</v>
      </c>
      <c r="D4" s="49">
        <f>VLOOKUP(C4,'[1]PREÇO ATUAL'!$A:$D,4,0)</f>
        <v>41.9</v>
      </c>
      <c r="E4" s="50"/>
      <c r="F4" s="50"/>
      <c r="G4" s="50">
        <v>4</v>
      </c>
      <c r="H4" s="50"/>
      <c r="I4" s="51"/>
      <c r="J4" s="51">
        <v>4</v>
      </c>
      <c r="K4" s="51"/>
      <c r="L4" s="51"/>
      <c r="M4" s="51">
        <v>4</v>
      </c>
      <c r="N4" s="51"/>
      <c r="O4" s="51"/>
      <c r="P4" s="51">
        <v>4</v>
      </c>
      <c r="Q4" s="51"/>
      <c r="R4" s="51"/>
      <c r="S4" s="51">
        <v>4</v>
      </c>
      <c r="T4" s="52">
        <f t="shared" ref="T4:T12" si="1">$D4*E4</f>
        <v>0</v>
      </c>
      <c r="U4" s="52">
        <f t="shared" ref="U4:U12" si="2">$D4*F4</f>
        <v>0</v>
      </c>
      <c r="V4" s="52">
        <f t="shared" ref="V4:V12" si="3">$D4*G4</f>
        <v>167.6</v>
      </c>
      <c r="W4" s="52">
        <f t="shared" ref="W4:W12" si="4">$D4*H4</f>
        <v>0</v>
      </c>
      <c r="X4" s="52">
        <f t="shared" ref="X4:X12" si="5">$D4*I4</f>
        <v>0</v>
      </c>
      <c r="Y4" s="52">
        <f t="shared" ref="Y4:Y12" si="6">$D4*J4</f>
        <v>167.6</v>
      </c>
      <c r="Z4" s="52">
        <f t="shared" ref="Z4:Z12" si="7">$D4*K4</f>
        <v>0</v>
      </c>
      <c r="AA4" s="52">
        <f t="shared" ref="AA4:AA12" si="8">$D4*L4</f>
        <v>0</v>
      </c>
      <c r="AB4" s="52">
        <f t="shared" ref="AB4:AB12" si="9">$D4*M4</f>
        <v>167.6</v>
      </c>
      <c r="AC4" s="52">
        <f t="shared" ref="AC4:AC12" si="10">$D4*N4</f>
        <v>0</v>
      </c>
      <c r="AD4" s="52">
        <f t="shared" ref="AD4:AD12" si="11">$D4*O4</f>
        <v>0</v>
      </c>
      <c r="AE4" s="52">
        <f t="shared" ref="AE4:AE12" si="12">$D4*P4</f>
        <v>167.6</v>
      </c>
      <c r="AF4" s="52">
        <f t="shared" ref="AF4:AF12" si="13">$D4*Q4</f>
        <v>0</v>
      </c>
      <c r="AG4" s="52">
        <f t="shared" ref="AG4:AG12" si="14">$D4*R4</f>
        <v>0</v>
      </c>
      <c r="AH4" s="52">
        <f t="shared" ref="AH4:AH12" si="15">$D4*S4</f>
        <v>167.6</v>
      </c>
      <c r="AI4" s="53" t="e">
        <f t="shared" ref="AI4:AI13" si="16">AJ4/$AI$2</f>
        <v>#N/A</v>
      </c>
      <c r="AJ4" s="52">
        <f t="shared" ref="AJ4:AJ13" si="17">SUM(T4:AH4)</f>
        <v>838</v>
      </c>
    </row>
    <row r="5" spans="1:42" ht="15" customHeight="1" x14ac:dyDescent="0.4">
      <c r="A5" s="54">
        <v>2</v>
      </c>
      <c r="B5" s="55" t="s">
        <v>156</v>
      </c>
      <c r="C5" s="56" t="s">
        <v>157</v>
      </c>
      <c r="D5" s="57">
        <f>VLOOKUP(C5,'[1]PREÇO ATUAL'!$A:$D,4,0)</f>
        <v>136.4</v>
      </c>
      <c r="E5" s="58"/>
      <c r="F5" s="58"/>
      <c r="G5" s="58"/>
      <c r="H5" s="58"/>
      <c r="I5" s="59"/>
      <c r="J5" s="59">
        <v>1</v>
      </c>
      <c r="K5" s="59"/>
      <c r="L5" s="59"/>
      <c r="M5" s="59"/>
      <c r="N5" s="59"/>
      <c r="O5" s="59"/>
      <c r="P5" s="59">
        <v>1</v>
      </c>
      <c r="Q5" s="59"/>
      <c r="R5" s="59"/>
      <c r="S5" s="59"/>
      <c r="T5" s="60">
        <f t="shared" si="1"/>
        <v>0</v>
      </c>
      <c r="U5" s="60">
        <f t="shared" si="2"/>
        <v>0</v>
      </c>
      <c r="V5" s="60">
        <f t="shared" si="3"/>
        <v>0</v>
      </c>
      <c r="W5" s="60">
        <f t="shared" si="4"/>
        <v>0</v>
      </c>
      <c r="X5" s="60">
        <f t="shared" si="5"/>
        <v>0</v>
      </c>
      <c r="Y5" s="60">
        <f t="shared" si="6"/>
        <v>136.4</v>
      </c>
      <c r="Z5" s="60">
        <f t="shared" si="7"/>
        <v>0</v>
      </c>
      <c r="AA5" s="60">
        <f t="shared" si="8"/>
        <v>0</v>
      </c>
      <c r="AB5" s="60">
        <f t="shared" si="9"/>
        <v>0</v>
      </c>
      <c r="AC5" s="60">
        <f t="shared" si="10"/>
        <v>0</v>
      </c>
      <c r="AD5" s="60">
        <f t="shared" si="11"/>
        <v>0</v>
      </c>
      <c r="AE5" s="60">
        <f t="shared" si="12"/>
        <v>136.4</v>
      </c>
      <c r="AF5" s="60">
        <f t="shared" si="13"/>
        <v>0</v>
      </c>
      <c r="AG5" s="60">
        <f t="shared" si="14"/>
        <v>0</v>
      </c>
      <c r="AH5" s="60">
        <f t="shared" si="15"/>
        <v>0</v>
      </c>
      <c r="AI5" s="61" t="e">
        <f t="shared" si="16"/>
        <v>#N/A</v>
      </c>
      <c r="AJ5" s="60">
        <f t="shared" si="17"/>
        <v>272.8</v>
      </c>
    </row>
    <row r="6" spans="1:42" ht="15" customHeight="1" x14ac:dyDescent="0.4">
      <c r="A6" s="46">
        <v>3</v>
      </c>
      <c r="B6" s="47" t="s">
        <v>158</v>
      </c>
      <c r="C6" s="48" t="s">
        <v>159</v>
      </c>
      <c r="D6" s="49">
        <f>VLOOKUP(C6,'[1]PREÇO ATUAL'!$A:$D,4,0)</f>
        <v>71.2</v>
      </c>
      <c r="E6" s="50">
        <v>1</v>
      </c>
      <c r="F6" s="50">
        <v>1</v>
      </c>
      <c r="G6" s="50">
        <v>1</v>
      </c>
      <c r="H6" s="50">
        <v>1</v>
      </c>
      <c r="I6" s="51">
        <v>1</v>
      </c>
      <c r="J6" s="51">
        <v>1</v>
      </c>
      <c r="K6" s="51">
        <v>1</v>
      </c>
      <c r="L6" s="51">
        <v>1</v>
      </c>
      <c r="M6" s="51">
        <v>1</v>
      </c>
      <c r="N6" s="84">
        <v>1</v>
      </c>
      <c r="O6" s="51">
        <v>1</v>
      </c>
      <c r="P6" s="51">
        <v>1</v>
      </c>
      <c r="Q6" s="51">
        <v>1</v>
      </c>
      <c r="R6" s="50">
        <v>1</v>
      </c>
      <c r="S6" s="51">
        <v>1</v>
      </c>
      <c r="T6" s="52">
        <f t="shared" si="1"/>
        <v>71.2</v>
      </c>
      <c r="U6" s="52">
        <f t="shared" si="2"/>
        <v>71.2</v>
      </c>
      <c r="V6" s="52">
        <f t="shared" si="3"/>
        <v>71.2</v>
      </c>
      <c r="W6" s="52">
        <f t="shared" si="4"/>
        <v>71.2</v>
      </c>
      <c r="X6" s="52">
        <f t="shared" si="5"/>
        <v>71.2</v>
      </c>
      <c r="Y6" s="52">
        <f t="shared" si="6"/>
        <v>71.2</v>
      </c>
      <c r="Z6" s="52">
        <f t="shared" si="7"/>
        <v>71.2</v>
      </c>
      <c r="AA6" s="52">
        <f t="shared" si="8"/>
        <v>71.2</v>
      </c>
      <c r="AB6" s="52">
        <f t="shared" si="9"/>
        <v>71.2</v>
      </c>
      <c r="AC6" s="52">
        <f t="shared" si="10"/>
        <v>71.2</v>
      </c>
      <c r="AD6" s="52">
        <f t="shared" si="11"/>
        <v>71.2</v>
      </c>
      <c r="AE6" s="52">
        <f t="shared" si="12"/>
        <v>71.2</v>
      </c>
      <c r="AF6" s="52">
        <f t="shared" si="13"/>
        <v>71.2</v>
      </c>
      <c r="AG6" s="52">
        <f t="shared" si="14"/>
        <v>71.2</v>
      </c>
      <c r="AH6" s="52">
        <f t="shared" si="15"/>
        <v>71.2</v>
      </c>
      <c r="AI6" s="53" t="e">
        <f t="shared" si="16"/>
        <v>#N/A</v>
      </c>
      <c r="AJ6" s="52">
        <f t="shared" si="17"/>
        <v>1068.0000000000002</v>
      </c>
    </row>
    <row r="7" spans="1:42" ht="15" customHeight="1" x14ac:dyDescent="0.4">
      <c r="A7" s="54">
        <v>4</v>
      </c>
      <c r="B7" s="55" t="s">
        <v>30</v>
      </c>
      <c r="C7" s="56" t="s">
        <v>115</v>
      </c>
      <c r="D7" s="57">
        <f>VLOOKUP(C7,'[1]PREÇO ATUAL'!$A:$D,4,0)</f>
        <v>35.9</v>
      </c>
      <c r="E7" s="58"/>
      <c r="F7" s="58">
        <v>1</v>
      </c>
      <c r="G7" s="58"/>
      <c r="H7" s="58">
        <v>1</v>
      </c>
      <c r="I7" s="59"/>
      <c r="J7" s="59">
        <v>1</v>
      </c>
      <c r="K7" s="59"/>
      <c r="L7" s="59">
        <v>1</v>
      </c>
      <c r="M7" s="59"/>
      <c r="N7" s="85">
        <v>1</v>
      </c>
      <c r="O7" s="59"/>
      <c r="P7" s="59">
        <v>1</v>
      </c>
      <c r="Q7" s="59"/>
      <c r="R7" s="58">
        <v>1</v>
      </c>
      <c r="S7" s="59"/>
      <c r="T7" s="60">
        <f t="shared" si="1"/>
        <v>0</v>
      </c>
      <c r="U7" s="60">
        <f t="shared" si="2"/>
        <v>35.9</v>
      </c>
      <c r="V7" s="60">
        <f t="shared" si="3"/>
        <v>0</v>
      </c>
      <c r="W7" s="60">
        <f t="shared" si="4"/>
        <v>35.9</v>
      </c>
      <c r="X7" s="60">
        <f t="shared" si="5"/>
        <v>0</v>
      </c>
      <c r="Y7" s="60">
        <f t="shared" si="6"/>
        <v>35.9</v>
      </c>
      <c r="Z7" s="60">
        <f t="shared" si="7"/>
        <v>0</v>
      </c>
      <c r="AA7" s="60">
        <f t="shared" si="8"/>
        <v>35.9</v>
      </c>
      <c r="AB7" s="60">
        <f t="shared" si="9"/>
        <v>0</v>
      </c>
      <c r="AC7" s="60">
        <f t="shared" si="10"/>
        <v>35.9</v>
      </c>
      <c r="AD7" s="60">
        <f t="shared" si="11"/>
        <v>0</v>
      </c>
      <c r="AE7" s="60">
        <f t="shared" si="12"/>
        <v>35.9</v>
      </c>
      <c r="AF7" s="60">
        <f t="shared" si="13"/>
        <v>0</v>
      </c>
      <c r="AG7" s="60">
        <f t="shared" si="14"/>
        <v>35.9</v>
      </c>
      <c r="AH7" s="60">
        <f t="shared" si="15"/>
        <v>0</v>
      </c>
      <c r="AI7" s="61" t="e">
        <f t="shared" si="16"/>
        <v>#N/A</v>
      </c>
      <c r="AJ7" s="60">
        <f t="shared" si="17"/>
        <v>251.3</v>
      </c>
    </row>
    <row r="8" spans="1:42" ht="15" customHeight="1" x14ac:dyDescent="0.4">
      <c r="A8" s="46">
        <v>5</v>
      </c>
      <c r="B8" s="47" t="s">
        <v>160</v>
      </c>
      <c r="C8" s="48" t="s">
        <v>161</v>
      </c>
      <c r="D8" s="49">
        <f>VLOOKUP(C8,'[1]PREÇO ATUAL'!$A:$D,4,0)</f>
        <v>83.06</v>
      </c>
      <c r="E8" s="50"/>
      <c r="F8" s="50">
        <v>1</v>
      </c>
      <c r="G8" s="50"/>
      <c r="H8" s="50">
        <v>1</v>
      </c>
      <c r="I8" s="51"/>
      <c r="J8" s="51">
        <v>1</v>
      </c>
      <c r="K8" s="51"/>
      <c r="L8" s="51">
        <v>1</v>
      </c>
      <c r="M8" s="51"/>
      <c r="N8" s="84">
        <v>1</v>
      </c>
      <c r="O8" s="51"/>
      <c r="P8" s="51">
        <v>1</v>
      </c>
      <c r="Q8" s="51"/>
      <c r="R8" s="50">
        <v>1</v>
      </c>
      <c r="S8" s="51"/>
      <c r="T8" s="52">
        <f t="shared" si="1"/>
        <v>0</v>
      </c>
      <c r="U8" s="52">
        <f t="shared" si="2"/>
        <v>83.06</v>
      </c>
      <c r="V8" s="52">
        <f t="shared" si="3"/>
        <v>0</v>
      </c>
      <c r="W8" s="52">
        <f t="shared" si="4"/>
        <v>83.06</v>
      </c>
      <c r="X8" s="52">
        <f t="shared" si="5"/>
        <v>0</v>
      </c>
      <c r="Y8" s="52">
        <f t="shared" si="6"/>
        <v>83.06</v>
      </c>
      <c r="Z8" s="52">
        <f t="shared" si="7"/>
        <v>0</v>
      </c>
      <c r="AA8" s="52">
        <f t="shared" si="8"/>
        <v>83.06</v>
      </c>
      <c r="AB8" s="52">
        <f t="shared" si="9"/>
        <v>0</v>
      </c>
      <c r="AC8" s="52">
        <f t="shared" si="10"/>
        <v>83.06</v>
      </c>
      <c r="AD8" s="52">
        <f t="shared" si="11"/>
        <v>0</v>
      </c>
      <c r="AE8" s="52">
        <f t="shared" si="12"/>
        <v>83.06</v>
      </c>
      <c r="AF8" s="52">
        <f t="shared" si="13"/>
        <v>0</v>
      </c>
      <c r="AG8" s="52">
        <f t="shared" si="14"/>
        <v>83.06</v>
      </c>
      <c r="AH8" s="52">
        <f t="shared" si="15"/>
        <v>0</v>
      </c>
      <c r="AI8" s="53" t="e">
        <f t="shared" si="16"/>
        <v>#N/A</v>
      </c>
      <c r="AJ8" s="52">
        <f t="shared" si="17"/>
        <v>581.42000000000007</v>
      </c>
    </row>
    <row r="9" spans="1:42" ht="15" customHeight="1" x14ac:dyDescent="0.4">
      <c r="A9" s="54">
        <v>6</v>
      </c>
      <c r="B9" s="55" t="s">
        <v>162</v>
      </c>
      <c r="C9" s="56" t="s">
        <v>163</v>
      </c>
      <c r="D9" s="57">
        <f>VLOOKUP(C9,'[1]PREÇO ATUAL'!$A:$D,4,0)</f>
        <v>139.9</v>
      </c>
      <c r="E9" s="58"/>
      <c r="F9" s="58"/>
      <c r="G9" s="58"/>
      <c r="H9" s="58"/>
      <c r="I9" s="59"/>
      <c r="J9" s="59">
        <v>1</v>
      </c>
      <c r="K9" s="59"/>
      <c r="L9" s="59"/>
      <c r="M9" s="59"/>
      <c r="N9" s="59"/>
      <c r="O9" s="59"/>
      <c r="P9" s="59">
        <v>1</v>
      </c>
      <c r="Q9" s="59"/>
      <c r="R9" s="59"/>
      <c r="S9" s="59"/>
      <c r="T9" s="60">
        <f t="shared" si="1"/>
        <v>0</v>
      </c>
      <c r="U9" s="60">
        <f t="shared" si="2"/>
        <v>0</v>
      </c>
      <c r="V9" s="60">
        <f t="shared" si="3"/>
        <v>0</v>
      </c>
      <c r="W9" s="60">
        <f t="shared" si="4"/>
        <v>0</v>
      </c>
      <c r="X9" s="60">
        <f t="shared" si="5"/>
        <v>0</v>
      </c>
      <c r="Y9" s="60">
        <f t="shared" si="6"/>
        <v>139.9</v>
      </c>
      <c r="Z9" s="60">
        <f t="shared" si="7"/>
        <v>0</v>
      </c>
      <c r="AA9" s="60">
        <f t="shared" si="8"/>
        <v>0</v>
      </c>
      <c r="AB9" s="60">
        <f t="shared" si="9"/>
        <v>0</v>
      </c>
      <c r="AC9" s="60">
        <f t="shared" si="10"/>
        <v>0</v>
      </c>
      <c r="AD9" s="60">
        <f t="shared" si="11"/>
        <v>0</v>
      </c>
      <c r="AE9" s="60">
        <f t="shared" si="12"/>
        <v>139.9</v>
      </c>
      <c r="AF9" s="60">
        <f t="shared" si="13"/>
        <v>0</v>
      </c>
      <c r="AG9" s="60">
        <f t="shared" si="14"/>
        <v>0</v>
      </c>
      <c r="AH9" s="60">
        <f t="shared" si="15"/>
        <v>0</v>
      </c>
      <c r="AI9" s="61" t="e">
        <f t="shared" si="16"/>
        <v>#N/A</v>
      </c>
      <c r="AJ9" s="60">
        <f t="shared" si="17"/>
        <v>279.8</v>
      </c>
    </row>
    <row r="10" spans="1:42" ht="15" customHeight="1" x14ac:dyDescent="0.4">
      <c r="A10" s="46">
        <v>7</v>
      </c>
      <c r="B10" s="47" t="s">
        <v>164</v>
      </c>
      <c r="C10" s="48" t="s">
        <v>165</v>
      </c>
      <c r="D10" s="49">
        <f>VLOOKUP(C10,'[1]PREÇO ATUAL'!$A:$D,4,0)</f>
        <v>25.55</v>
      </c>
      <c r="E10" s="50"/>
      <c r="F10" s="50"/>
      <c r="G10" s="50"/>
      <c r="H10" s="50"/>
      <c r="I10" s="51"/>
      <c r="J10" s="51">
        <v>1</v>
      </c>
      <c r="K10" s="51"/>
      <c r="L10" s="51"/>
      <c r="M10" s="51"/>
      <c r="N10" s="51"/>
      <c r="O10" s="51"/>
      <c r="P10" s="51"/>
      <c r="Q10" s="51"/>
      <c r="R10" s="51"/>
      <c r="S10" s="51"/>
      <c r="T10" s="52">
        <f t="shared" si="1"/>
        <v>0</v>
      </c>
      <c r="U10" s="52">
        <f t="shared" si="2"/>
        <v>0</v>
      </c>
      <c r="V10" s="52">
        <f t="shared" si="3"/>
        <v>0</v>
      </c>
      <c r="W10" s="52">
        <f t="shared" si="4"/>
        <v>0</v>
      </c>
      <c r="X10" s="52">
        <f t="shared" si="5"/>
        <v>0</v>
      </c>
      <c r="Y10" s="52">
        <f t="shared" si="6"/>
        <v>25.55</v>
      </c>
      <c r="Z10" s="52">
        <f t="shared" si="7"/>
        <v>0</v>
      </c>
      <c r="AA10" s="52">
        <f t="shared" si="8"/>
        <v>0</v>
      </c>
      <c r="AB10" s="52">
        <f t="shared" si="9"/>
        <v>0</v>
      </c>
      <c r="AC10" s="52">
        <f t="shared" si="10"/>
        <v>0</v>
      </c>
      <c r="AD10" s="52">
        <f t="shared" si="11"/>
        <v>0</v>
      </c>
      <c r="AE10" s="52">
        <f t="shared" si="12"/>
        <v>0</v>
      </c>
      <c r="AF10" s="52">
        <f t="shared" si="13"/>
        <v>0</v>
      </c>
      <c r="AG10" s="52">
        <f t="shared" si="14"/>
        <v>0</v>
      </c>
      <c r="AH10" s="52">
        <f t="shared" si="15"/>
        <v>0</v>
      </c>
      <c r="AI10" s="53" t="e">
        <f t="shared" si="16"/>
        <v>#N/A</v>
      </c>
      <c r="AJ10" s="52">
        <f t="shared" si="17"/>
        <v>25.55</v>
      </c>
    </row>
    <row r="11" spans="1:42" ht="15" customHeight="1" x14ac:dyDescent="0.4">
      <c r="A11" s="54">
        <v>8</v>
      </c>
      <c r="B11" s="55" t="s">
        <v>151</v>
      </c>
      <c r="C11" s="56" t="s">
        <v>152</v>
      </c>
      <c r="D11" s="57">
        <v>89.6</v>
      </c>
      <c r="E11" s="64">
        <v>2.7</v>
      </c>
      <c r="F11" s="64">
        <v>2.7</v>
      </c>
      <c r="G11" s="64">
        <v>2.7</v>
      </c>
      <c r="H11" s="64">
        <v>2.7</v>
      </c>
      <c r="I11" s="57">
        <v>2.7</v>
      </c>
      <c r="J11" s="57">
        <v>2.7</v>
      </c>
      <c r="K11" s="57">
        <v>2.7</v>
      </c>
      <c r="L11" s="57">
        <v>2.7</v>
      </c>
      <c r="M11" s="57">
        <v>2.7</v>
      </c>
      <c r="N11" s="57">
        <v>2.7</v>
      </c>
      <c r="O11" s="57">
        <v>2.7</v>
      </c>
      <c r="P11" s="57">
        <v>2.7</v>
      </c>
      <c r="Q11" s="57">
        <v>2.7</v>
      </c>
      <c r="R11" s="57">
        <v>2.7</v>
      </c>
      <c r="S11" s="57">
        <v>2.7</v>
      </c>
      <c r="T11" s="60">
        <f t="shared" si="1"/>
        <v>241.92</v>
      </c>
      <c r="U11" s="60">
        <f t="shared" si="2"/>
        <v>241.92</v>
      </c>
      <c r="V11" s="60">
        <f t="shared" si="3"/>
        <v>241.92</v>
      </c>
      <c r="W11" s="60">
        <f t="shared" si="4"/>
        <v>241.92</v>
      </c>
      <c r="X11" s="60">
        <f t="shared" si="5"/>
        <v>241.92</v>
      </c>
      <c r="Y11" s="60">
        <f t="shared" si="6"/>
        <v>241.92</v>
      </c>
      <c r="Z11" s="60">
        <f t="shared" si="7"/>
        <v>241.92</v>
      </c>
      <c r="AA11" s="60">
        <f t="shared" si="8"/>
        <v>241.92</v>
      </c>
      <c r="AB11" s="60">
        <f t="shared" si="9"/>
        <v>241.92</v>
      </c>
      <c r="AC11" s="60">
        <f t="shared" si="10"/>
        <v>241.92</v>
      </c>
      <c r="AD11" s="60">
        <f t="shared" si="11"/>
        <v>241.92</v>
      </c>
      <c r="AE11" s="60">
        <f t="shared" si="12"/>
        <v>241.92</v>
      </c>
      <c r="AF11" s="60">
        <f t="shared" si="13"/>
        <v>241.92</v>
      </c>
      <c r="AG11" s="60">
        <f t="shared" si="14"/>
        <v>241.92</v>
      </c>
      <c r="AH11" s="60">
        <f t="shared" si="15"/>
        <v>241.92</v>
      </c>
      <c r="AI11" s="61" t="e">
        <f t="shared" si="16"/>
        <v>#N/A</v>
      </c>
      <c r="AJ11" s="60">
        <f t="shared" si="17"/>
        <v>3628.8000000000006</v>
      </c>
      <c r="AP11" s="65"/>
    </row>
    <row r="12" spans="1:42" ht="15" customHeight="1" x14ac:dyDescent="0.4">
      <c r="A12" s="46">
        <v>9</v>
      </c>
      <c r="B12" s="47" t="s">
        <v>124</v>
      </c>
      <c r="C12" s="48" t="s">
        <v>125</v>
      </c>
      <c r="D12" s="49">
        <f>VLOOKUP(C12,'[1]PREÇO ATUAL'!$A:$D,4,0)</f>
        <v>33.6224930838505</v>
      </c>
      <c r="E12" s="50"/>
      <c r="F12" s="50"/>
      <c r="G12" s="50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2">
        <f t="shared" si="1"/>
        <v>0</v>
      </c>
      <c r="U12" s="52">
        <f t="shared" si="2"/>
        <v>0</v>
      </c>
      <c r="V12" s="52">
        <f t="shared" si="3"/>
        <v>0</v>
      </c>
      <c r="W12" s="52">
        <f t="shared" si="4"/>
        <v>0</v>
      </c>
      <c r="X12" s="52">
        <f t="shared" si="5"/>
        <v>0</v>
      </c>
      <c r="Y12" s="52">
        <f t="shared" si="6"/>
        <v>0</v>
      </c>
      <c r="Z12" s="52">
        <f t="shared" si="7"/>
        <v>0</v>
      </c>
      <c r="AA12" s="52">
        <f t="shared" si="8"/>
        <v>0</v>
      </c>
      <c r="AB12" s="52">
        <f t="shared" si="9"/>
        <v>0</v>
      </c>
      <c r="AC12" s="52">
        <f t="shared" si="10"/>
        <v>0</v>
      </c>
      <c r="AD12" s="52">
        <f t="shared" si="11"/>
        <v>0</v>
      </c>
      <c r="AE12" s="52">
        <f t="shared" si="12"/>
        <v>0</v>
      </c>
      <c r="AF12" s="52">
        <f t="shared" si="13"/>
        <v>0</v>
      </c>
      <c r="AG12" s="52">
        <f t="shared" si="14"/>
        <v>0</v>
      </c>
      <c r="AH12" s="52">
        <f t="shared" si="15"/>
        <v>0</v>
      </c>
      <c r="AI12" s="53" t="e">
        <f t="shared" si="16"/>
        <v>#N/A</v>
      </c>
      <c r="AJ12" s="52">
        <f t="shared" si="17"/>
        <v>0</v>
      </c>
      <c r="AP12" s="65"/>
    </row>
    <row r="13" spans="1:42" ht="15" customHeight="1" x14ac:dyDescent="0.4">
      <c r="A13" s="54">
        <v>10</v>
      </c>
      <c r="B13" s="55" t="s">
        <v>128</v>
      </c>
      <c r="C13" s="56" t="s">
        <v>54</v>
      </c>
      <c r="D13" s="57" t="e">
        <f>VLOOKUP(C13,'[1]PREÇO ATUAL'!$A:$D,4,0)</f>
        <v>#N/A</v>
      </c>
      <c r="E13" s="73">
        <v>0.95</v>
      </c>
      <c r="F13" s="73">
        <v>1.2</v>
      </c>
      <c r="G13" s="73">
        <v>2.1</v>
      </c>
      <c r="H13" s="73">
        <v>1.5</v>
      </c>
      <c r="I13" s="74">
        <v>1.1499999999999999</v>
      </c>
      <c r="J13" s="74">
        <v>4.4000000000000004</v>
      </c>
      <c r="K13" s="74">
        <v>0.95</v>
      </c>
      <c r="L13" s="74">
        <v>1.5</v>
      </c>
      <c r="M13" s="74">
        <v>2.1</v>
      </c>
      <c r="N13" s="74">
        <v>1.55</v>
      </c>
      <c r="O13" s="57" t="s">
        <v>208</v>
      </c>
      <c r="P13" s="57">
        <v>4.95</v>
      </c>
      <c r="Q13" s="57" t="s">
        <v>208</v>
      </c>
      <c r="R13" s="57" t="s">
        <v>209</v>
      </c>
      <c r="S13" s="57" t="s">
        <v>210</v>
      </c>
      <c r="T13" s="60" t="e">
        <f>D13*E13</f>
        <v>#N/A</v>
      </c>
      <c r="U13" s="60" t="e">
        <f t="shared" ref="U13:AH13" si="18">$D13*F13</f>
        <v>#N/A</v>
      </c>
      <c r="V13" s="60" t="e">
        <f t="shared" si="18"/>
        <v>#N/A</v>
      </c>
      <c r="W13" s="60" t="e">
        <f t="shared" si="18"/>
        <v>#N/A</v>
      </c>
      <c r="X13" s="60" t="e">
        <f t="shared" si="18"/>
        <v>#N/A</v>
      </c>
      <c r="Y13" s="60" t="e">
        <f t="shared" si="18"/>
        <v>#N/A</v>
      </c>
      <c r="Z13" s="60" t="e">
        <f t="shared" si="18"/>
        <v>#N/A</v>
      </c>
      <c r="AA13" s="60" t="e">
        <f t="shared" si="18"/>
        <v>#N/A</v>
      </c>
      <c r="AB13" s="60" t="e">
        <f t="shared" si="18"/>
        <v>#N/A</v>
      </c>
      <c r="AC13" s="60" t="e">
        <f t="shared" si="18"/>
        <v>#N/A</v>
      </c>
      <c r="AD13" s="60" t="e">
        <f t="shared" si="18"/>
        <v>#N/A</v>
      </c>
      <c r="AE13" s="60" t="e">
        <f t="shared" si="18"/>
        <v>#N/A</v>
      </c>
      <c r="AF13" s="60" t="e">
        <f t="shared" si="18"/>
        <v>#N/A</v>
      </c>
      <c r="AG13" s="60" t="e">
        <f t="shared" si="18"/>
        <v>#N/A</v>
      </c>
      <c r="AH13" s="60" t="e">
        <f t="shared" si="18"/>
        <v>#N/A</v>
      </c>
      <c r="AI13" s="61" t="e">
        <f t="shared" si="16"/>
        <v>#N/A</v>
      </c>
      <c r="AJ13" s="60" t="e">
        <f t="shared" si="17"/>
        <v>#N/A</v>
      </c>
    </row>
    <row r="15" spans="1:42" ht="15" customHeight="1" x14ac:dyDescent="0.4">
      <c r="A15" s="239" t="s">
        <v>211</v>
      </c>
      <c r="B15" s="211"/>
      <c r="C15" s="211"/>
      <c r="D15" s="212"/>
      <c r="E15" s="218" t="s">
        <v>1</v>
      </c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22" t="s">
        <v>2</v>
      </c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32" t="s">
        <v>3</v>
      </c>
      <c r="AJ15" s="209"/>
    </row>
    <row r="16" spans="1:42" ht="15" customHeight="1" x14ac:dyDescent="0.4">
      <c r="A16" s="234"/>
      <c r="B16" s="217"/>
      <c r="C16" s="217"/>
      <c r="D16" s="238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 t="e">
        <f t="shared" ref="T16:AH16" si="19">MROUND(SUM(T18:T28),1)</f>
        <v>#N/A</v>
      </c>
      <c r="U16" s="37" t="e">
        <f t="shared" si="19"/>
        <v>#N/A</v>
      </c>
      <c r="V16" s="37" t="e">
        <f t="shared" si="19"/>
        <v>#N/A</v>
      </c>
      <c r="W16" s="37" t="e">
        <f t="shared" si="19"/>
        <v>#N/A</v>
      </c>
      <c r="X16" s="37" t="e">
        <f t="shared" si="19"/>
        <v>#N/A</v>
      </c>
      <c r="Y16" s="37" t="e">
        <f t="shared" si="19"/>
        <v>#N/A</v>
      </c>
      <c r="Z16" s="37" t="e">
        <f t="shared" si="19"/>
        <v>#N/A</v>
      </c>
      <c r="AA16" s="37" t="e">
        <f t="shared" si="19"/>
        <v>#N/A</v>
      </c>
      <c r="AB16" s="37" t="e">
        <f t="shared" si="19"/>
        <v>#N/A</v>
      </c>
      <c r="AC16" s="37" t="e">
        <f t="shared" si="19"/>
        <v>#N/A</v>
      </c>
      <c r="AD16" s="37" t="e">
        <f t="shared" si="19"/>
        <v>#N/A</v>
      </c>
      <c r="AE16" s="37" t="e">
        <f t="shared" si="19"/>
        <v>#N/A</v>
      </c>
      <c r="AF16" s="37" t="e">
        <f t="shared" si="19"/>
        <v>#N/A</v>
      </c>
      <c r="AG16" s="37" t="e">
        <f t="shared" si="19"/>
        <v>#N/A</v>
      </c>
      <c r="AH16" s="37" t="e">
        <f t="shared" si="19"/>
        <v>#N/A</v>
      </c>
      <c r="AI16" s="208" t="e">
        <f>SUM(T16:AH16)</f>
        <v>#N/A</v>
      </c>
      <c r="AJ16" s="209"/>
    </row>
    <row r="17" spans="1:36" ht="15" customHeight="1" x14ac:dyDescent="0.4">
      <c r="A17" s="39" t="s">
        <v>5</v>
      </c>
      <c r="B17" s="39" t="s">
        <v>6</v>
      </c>
      <c r="C17" s="40" t="s">
        <v>7</v>
      </c>
      <c r="D17" s="41" t="s">
        <v>8</v>
      </c>
      <c r="E17" s="42" t="s">
        <v>102</v>
      </c>
      <c r="F17" s="42" t="s">
        <v>103</v>
      </c>
      <c r="G17" s="42" t="s">
        <v>104</v>
      </c>
      <c r="H17" s="42" t="s">
        <v>105</v>
      </c>
      <c r="I17" s="42" t="s">
        <v>106</v>
      </c>
      <c r="J17" s="42" t="s">
        <v>107</v>
      </c>
      <c r="K17" s="42" t="s">
        <v>108</v>
      </c>
      <c r="L17" s="42" t="s">
        <v>109</v>
      </c>
      <c r="M17" s="42" t="s">
        <v>110</v>
      </c>
      <c r="N17" s="42" t="s">
        <v>111</v>
      </c>
      <c r="O17" s="42" t="s">
        <v>203</v>
      </c>
      <c r="P17" s="42" t="s">
        <v>204</v>
      </c>
      <c r="Q17" s="42" t="s">
        <v>205</v>
      </c>
      <c r="R17" s="42" t="s">
        <v>206</v>
      </c>
      <c r="S17" s="42" t="s">
        <v>207</v>
      </c>
      <c r="T17" s="42">
        <v>10000</v>
      </c>
      <c r="U17" s="42">
        <v>20000</v>
      </c>
      <c r="V17" s="42">
        <v>30000</v>
      </c>
      <c r="W17" s="42">
        <v>40000</v>
      </c>
      <c r="X17" s="42">
        <v>50000</v>
      </c>
      <c r="Y17" s="42">
        <v>60000</v>
      </c>
      <c r="Z17" s="42">
        <v>70000</v>
      </c>
      <c r="AA17" s="42">
        <v>80000</v>
      </c>
      <c r="AB17" s="42">
        <v>90000</v>
      </c>
      <c r="AC17" s="42">
        <v>100000</v>
      </c>
      <c r="AD17" s="42">
        <f>AC17+10000</f>
        <v>110000</v>
      </c>
      <c r="AE17" s="42">
        <f>AD17+10000</f>
        <v>120000</v>
      </c>
      <c r="AF17" s="42">
        <f>AE17+10000</f>
        <v>130000</v>
      </c>
      <c r="AG17" s="42">
        <f>AF17+10000</f>
        <v>140000</v>
      </c>
      <c r="AH17" s="42">
        <f>AG17+10000</f>
        <v>150000</v>
      </c>
      <c r="AI17" s="45" t="s">
        <v>24</v>
      </c>
      <c r="AJ17" s="39" t="s">
        <v>25</v>
      </c>
    </row>
    <row r="18" spans="1:36" ht="15" customHeight="1" x14ac:dyDescent="0.4">
      <c r="A18" s="46">
        <v>1</v>
      </c>
      <c r="B18" s="47" t="s">
        <v>158</v>
      </c>
      <c r="C18" s="48" t="s">
        <v>159</v>
      </c>
      <c r="D18" s="49">
        <f>VLOOKUP(C18,'[1]PREÇO ATUAL'!$A:$D,4,0)</f>
        <v>71.2</v>
      </c>
      <c r="E18" s="50">
        <v>1</v>
      </c>
      <c r="F18" s="50">
        <v>1</v>
      </c>
      <c r="G18" s="50">
        <v>1</v>
      </c>
      <c r="H18" s="50">
        <v>1</v>
      </c>
      <c r="I18" s="51">
        <v>1</v>
      </c>
      <c r="J18" s="51">
        <v>1</v>
      </c>
      <c r="K18" s="51">
        <v>1</v>
      </c>
      <c r="L18" s="51">
        <v>1</v>
      </c>
      <c r="M18" s="51">
        <v>1</v>
      </c>
      <c r="N18" s="84">
        <v>1</v>
      </c>
      <c r="O18" s="51">
        <v>1</v>
      </c>
      <c r="P18" s="51">
        <v>1</v>
      </c>
      <c r="Q18" s="51">
        <v>1</v>
      </c>
      <c r="R18" s="50">
        <v>1</v>
      </c>
      <c r="S18" s="51">
        <v>1</v>
      </c>
      <c r="T18" s="52">
        <f t="shared" ref="T18:T27" si="20">$D18*E18</f>
        <v>71.2</v>
      </c>
      <c r="U18" s="52">
        <f t="shared" ref="U18:U27" si="21">$D18*F18</f>
        <v>71.2</v>
      </c>
      <c r="V18" s="52">
        <f t="shared" ref="V18:V27" si="22">$D18*G18</f>
        <v>71.2</v>
      </c>
      <c r="W18" s="52">
        <f t="shared" ref="W18:W27" si="23">$D18*H18</f>
        <v>71.2</v>
      </c>
      <c r="X18" s="52">
        <f t="shared" ref="X18:X27" si="24">$D18*I18</f>
        <v>71.2</v>
      </c>
      <c r="Y18" s="52">
        <f t="shared" ref="Y18:Y27" si="25">$D18*J18</f>
        <v>71.2</v>
      </c>
      <c r="Z18" s="52">
        <f t="shared" ref="Z18:Z27" si="26">$D18*K18</f>
        <v>71.2</v>
      </c>
      <c r="AA18" s="52">
        <f t="shared" ref="AA18:AA27" si="27">$D18*L18</f>
        <v>71.2</v>
      </c>
      <c r="AB18" s="52">
        <f t="shared" ref="AB18:AB27" si="28">$D18*M18</f>
        <v>71.2</v>
      </c>
      <c r="AC18" s="52">
        <f t="shared" ref="AC18:AC27" si="29">$D18*N18</f>
        <v>71.2</v>
      </c>
      <c r="AD18" s="52">
        <f t="shared" ref="AD18:AD27" si="30">$D18*O18</f>
        <v>71.2</v>
      </c>
      <c r="AE18" s="52">
        <f t="shared" ref="AE18:AE27" si="31">$D18*P18</f>
        <v>71.2</v>
      </c>
      <c r="AF18" s="52">
        <f t="shared" ref="AF18:AF27" si="32">$D18*Q18</f>
        <v>71.2</v>
      </c>
      <c r="AG18" s="52">
        <f t="shared" ref="AG18:AG27" si="33">$D18*R18</f>
        <v>71.2</v>
      </c>
      <c r="AH18" s="52">
        <f t="shared" ref="AH18:AH27" si="34">$D18*S18</f>
        <v>71.2</v>
      </c>
      <c r="AI18" s="53" t="e">
        <f t="shared" ref="AI18:AI28" si="35">AJ18/$AI$16</f>
        <v>#N/A</v>
      </c>
      <c r="AJ18" s="52">
        <f t="shared" ref="AJ18:AJ28" si="36">SUM(T18:AH18)</f>
        <v>1068.0000000000002</v>
      </c>
    </row>
    <row r="19" spans="1:36" ht="15" customHeight="1" x14ac:dyDescent="0.4">
      <c r="A19" s="54">
        <v>2</v>
      </c>
      <c r="B19" s="55" t="s">
        <v>30</v>
      </c>
      <c r="C19" s="56" t="s">
        <v>115</v>
      </c>
      <c r="D19" s="57">
        <f>VLOOKUP(C19,'[1]PREÇO ATUAL'!$A:$D,4,0)</f>
        <v>35.9</v>
      </c>
      <c r="E19" s="58"/>
      <c r="F19" s="58">
        <v>1</v>
      </c>
      <c r="G19" s="58"/>
      <c r="H19" s="58">
        <v>1</v>
      </c>
      <c r="I19" s="59"/>
      <c r="J19" s="59">
        <v>1</v>
      </c>
      <c r="K19" s="59"/>
      <c r="L19" s="59">
        <v>1</v>
      </c>
      <c r="M19" s="59"/>
      <c r="N19" s="85">
        <v>1</v>
      </c>
      <c r="O19" s="59"/>
      <c r="P19" s="59">
        <v>1</v>
      </c>
      <c r="Q19" s="59"/>
      <c r="R19" s="58">
        <v>1</v>
      </c>
      <c r="S19" s="59"/>
      <c r="T19" s="60">
        <f t="shared" si="20"/>
        <v>0</v>
      </c>
      <c r="U19" s="60">
        <f t="shared" si="21"/>
        <v>35.9</v>
      </c>
      <c r="V19" s="60">
        <f t="shared" si="22"/>
        <v>0</v>
      </c>
      <c r="W19" s="60">
        <f t="shared" si="23"/>
        <v>35.9</v>
      </c>
      <c r="X19" s="60">
        <f t="shared" si="24"/>
        <v>0</v>
      </c>
      <c r="Y19" s="60">
        <f t="shared" si="25"/>
        <v>35.9</v>
      </c>
      <c r="Z19" s="60">
        <f t="shared" si="26"/>
        <v>0</v>
      </c>
      <c r="AA19" s="60">
        <f t="shared" si="27"/>
        <v>35.9</v>
      </c>
      <c r="AB19" s="60">
        <f t="shared" si="28"/>
        <v>0</v>
      </c>
      <c r="AC19" s="60">
        <f t="shared" si="29"/>
        <v>35.9</v>
      </c>
      <c r="AD19" s="60">
        <f t="shared" si="30"/>
        <v>0</v>
      </c>
      <c r="AE19" s="60">
        <f t="shared" si="31"/>
        <v>35.9</v>
      </c>
      <c r="AF19" s="60">
        <f t="shared" si="32"/>
        <v>0</v>
      </c>
      <c r="AG19" s="60">
        <f t="shared" si="33"/>
        <v>35.9</v>
      </c>
      <c r="AH19" s="60">
        <f t="shared" si="34"/>
        <v>0</v>
      </c>
      <c r="AI19" s="61" t="e">
        <f t="shared" si="35"/>
        <v>#N/A</v>
      </c>
      <c r="AJ19" s="60">
        <f t="shared" si="36"/>
        <v>251.3</v>
      </c>
    </row>
    <row r="20" spans="1:36" ht="15" customHeight="1" x14ac:dyDescent="0.4">
      <c r="A20" s="46">
        <v>3</v>
      </c>
      <c r="B20" s="47" t="s">
        <v>160</v>
      </c>
      <c r="C20" s="48" t="s">
        <v>161</v>
      </c>
      <c r="D20" s="49">
        <f>VLOOKUP(C20,'[1]PREÇO ATUAL'!$A:$D,4,0)</f>
        <v>83.06</v>
      </c>
      <c r="E20" s="50"/>
      <c r="F20" s="50">
        <v>1</v>
      </c>
      <c r="G20" s="50"/>
      <c r="H20" s="50">
        <v>1</v>
      </c>
      <c r="I20" s="51"/>
      <c r="J20" s="51">
        <v>1</v>
      </c>
      <c r="K20" s="51"/>
      <c r="L20" s="51">
        <v>1</v>
      </c>
      <c r="M20" s="51"/>
      <c r="N20" s="84">
        <v>1</v>
      </c>
      <c r="O20" s="51"/>
      <c r="P20" s="51">
        <v>1</v>
      </c>
      <c r="Q20" s="51"/>
      <c r="R20" s="50">
        <v>1</v>
      </c>
      <c r="S20" s="51"/>
      <c r="T20" s="52">
        <f t="shared" si="20"/>
        <v>0</v>
      </c>
      <c r="U20" s="52">
        <f t="shared" si="21"/>
        <v>83.06</v>
      </c>
      <c r="V20" s="52">
        <f t="shared" si="22"/>
        <v>0</v>
      </c>
      <c r="W20" s="52">
        <f t="shared" si="23"/>
        <v>83.06</v>
      </c>
      <c r="X20" s="52">
        <f t="shared" si="24"/>
        <v>0</v>
      </c>
      <c r="Y20" s="52">
        <f t="shared" si="25"/>
        <v>83.06</v>
      </c>
      <c r="Z20" s="52">
        <f t="shared" si="26"/>
        <v>0</v>
      </c>
      <c r="AA20" s="52">
        <f t="shared" si="27"/>
        <v>83.06</v>
      </c>
      <c r="AB20" s="52">
        <f t="shared" si="28"/>
        <v>0</v>
      </c>
      <c r="AC20" s="52">
        <f t="shared" si="29"/>
        <v>83.06</v>
      </c>
      <c r="AD20" s="52">
        <f t="shared" si="30"/>
        <v>0</v>
      </c>
      <c r="AE20" s="52">
        <f t="shared" si="31"/>
        <v>83.06</v>
      </c>
      <c r="AF20" s="52">
        <f t="shared" si="32"/>
        <v>0</v>
      </c>
      <c r="AG20" s="52">
        <f t="shared" si="33"/>
        <v>83.06</v>
      </c>
      <c r="AH20" s="52">
        <f t="shared" si="34"/>
        <v>0</v>
      </c>
      <c r="AI20" s="53" t="e">
        <f t="shared" si="35"/>
        <v>#N/A</v>
      </c>
      <c r="AJ20" s="52">
        <f t="shared" si="36"/>
        <v>581.42000000000007</v>
      </c>
    </row>
    <row r="21" spans="1:36" ht="15" customHeight="1" x14ac:dyDescent="0.4">
      <c r="A21" s="54">
        <v>4</v>
      </c>
      <c r="B21" s="55" t="s">
        <v>154</v>
      </c>
      <c r="C21" s="56" t="s">
        <v>182</v>
      </c>
      <c r="D21" s="57">
        <f>VLOOKUP(C21,'[1]PREÇO ATUAL'!$A:$D,4,0)</f>
        <v>41.9</v>
      </c>
      <c r="E21" s="58"/>
      <c r="F21" s="58"/>
      <c r="G21" s="58">
        <v>4</v>
      </c>
      <c r="H21" s="58"/>
      <c r="I21" s="59"/>
      <c r="J21" s="59">
        <v>4</v>
      </c>
      <c r="K21" s="59"/>
      <c r="L21" s="59"/>
      <c r="M21" s="59">
        <v>4</v>
      </c>
      <c r="N21" s="85"/>
      <c r="O21" s="59"/>
      <c r="P21" s="59">
        <v>4</v>
      </c>
      <c r="Q21" s="59"/>
      <c r="R21" s="59"/>
      <c r="S21" s="59">
        <v>4</v>
      </c>
      <c r="T21" s="60">
        <f t="shared" si="20"/>
        <v>0</v>
      </c>
      <c r="U21" s="60">
        <f t="shared" si="21"/>
        <v>0</v>
      </c>
      <c r="V21" s="60">
        <f t="shared" si="22"/>
        <v>167.6</v>
      </c>
      <c r="W21" s="60">
        <f t="shared" si="23"/>
        <v>0</v>
      </c>
      <c r="X21" s="60">
        <f t="shared" si="24"/>
        <v>0</v>
      </c>
      <c r="Y21" s="60">
        <f t="shared" si="25"/>
        <v>167.6</v>
      </c>
      <c r="Z21" s="60">
        <f t="shared" si="26"/>
        <v>0</v>
      </c>
      <c r="AA21" s="60">
        <f t="shared" si="27"/>
        <v>0</v>
      </c>
      <c r="AB21" s="60">
        <f t="shared" si="28"/>
        <v>167.6</v>
      </c>
      <c r="AC21" s="60">
        <f t="shared" si="29"/>
        <v>0</v>
      </c>
      <c r="AD21" s="60">
        <f t="shared" si="30"/>
        <v>0</v>
      </c>
      <c r="AE21" s="60">
        <f t="shared" si="31"/>
        <v>167.6</v>
      </c>
      <c r="AF21" s="60">
        <f t="shared" si="32"/>
        <v>0</v>
      </c>
      <c r="AG21" s="60">
        <f t="shared" si="33"/>
        <v>0</v>
      </c>
      <c r="AH21" s="60">
        <f t="shared" si="34"/>
        <v>167.6</v>
      </c>
      <c r="AI21" s="61" t="e">
        <f t="shared" si="35"/>
        <v>#N/A</v>
      </c>
      <c r="AJ21" s="60">
        <f t="shared" si="36"/>
        <v>838</v>
      </c>
    </row>
    <row r="22" spans="1:36" ht="15" customHeight="1" x14ac:dyDescent="0.4">
      <c r="A22" s="46">
        <v>5</v>
      </c>
      <c r="B22" s="47" t="s">
        <v>162</v>
      </c>
      <c r="C22" s="48" t="s">
        <v>163</v>
      </c>
      <c r="D22" s="49">
        <f>VLOOKUP(C22,'[1]PREÇO ATUAL'!$A:$D,4,0)</f>
        <v>139.9</v>
      </c>
      <c r="E22" s="50"/>
      <c r="F22" s="50"/>
      <c r="G22" s="50"/>
      <c r="H22" s="50"/>
      <c r="I22" s="51"/>
      <c r="J22" s="51">
        <v>1</v>
      </c>
      <c r="K22" s="51"/>
      <c r="L22" s="51"/>
      <c r="M22" s="51"/>
      <c r="N22" s="84"/>
      <c r="O22" s="51"/>
      <c r="P22" s="51">
        <v>1</v>
      </c>
      <c r="Q22" s="51"/>
      <c r="R22" s="51"/>
      <c r="S22" s="51"/>
      <c r="T22" s="52">
        <f t="shared" si="20"/>
        <v>0</v>
      </c>
      <c r="U22" s="52">
        <f t="shared" si="21"/>
        <v>0</v>
      </c>
      <c r="V22" s="52">
        <f t="shared" si="22"/>
        <v>0</v>
      </c>
      <c r="W22" s="52">
        <f t="shared" si="23"/>
        <v>0</v>
      </c>
      <c r="X22" s="52">
        <f t="shared" si="24"/>
        <v>0</v>
      </c>
      <c r="Y22" s="52">
        <f t="shared" si="25"/>
        <v>139.9</v>
      </c>
      <c r="Z22" s="52">
        <f t="shared" si="26"/>
        <v>0</v>
      </c>
      <c r="AA22" s="52">
        <f t="shared" si="27"/>
        <v>0</v>
      </c>
      <c r="AB22" s="52">
        <f t="shared" si="28"/>
        <v>0</v>
      </c>
      <c r="AC22" s="52">
        <f t="shared" si="29"/>
        <v>0</v>
      </c>
      <c r="AD22" s="52">
        <f t="shared" si="30"/>
        <v>0</v>
      </c>
      <c r="AE22" s="52">
        <f t="shared" si="31"/>
        <v>139.9</v>
      </c>
      <c r="AF22" s="52">
        <f t="shared" si="32"/>
        <v>0</v>
      </c>
      <c r="AG22" s="52">
        <f t="shared" si="33"/>
        <v>0</v>
      </c>
      <c r="AH22" s="52">
        <f t="shared" si="34"/>
        <v>0</v>
      </c>
      <c r="AI22" s="53" t="e">
        <f t="shared" si="35"/>
        <v>#N/A</v>
      </c>
      <c r="AJ22" s="52">
        <f t="shared" si="36"/>
        <v>279.8</v>
      </c>
    </row>
    <row r="23" spans="1:36" ht="15" customHeight="1" x14ac:dyDescent="0.4">
      <c r="A23" s="54">
        <v>6</v>
      </c>
      <c r="B23" s="55" t="s">
        <v>164</v>
      </c>
      <c r="C23" s="56" t="s">
        <v>165</v>
      </c>
      <c r="D23" s="57">
        <f>VLOOKUP(C23,'[1]PREÇO ATUAL'!$A:$D,4,0)</f>
        <v>25.55</v>
      </c>
      <c r="E23" s="58"/>
      <c r="F23" s="58"/>
      <c r="G23" s="58"/>
      <c r="H23" s="58"/>
      <c r="I23" s="59"/>
      <c r="J23" s="59">
        <v>1</v>
      </c>
      <c r="K23" s="59"/>
      <c r="L23" s="59"/>
      <c r="M23" s="59"/>
      <c r="N23" s="85"/>
      <c r="O23" s="59"/>
      <c r="P23" s="59">
        <v>1</v>
      </c>
      <c r="Q23" s="59"/>
      <c r="R23" s="59"/>
      <c r="S23" s="59"/>
      <c r="T23" s="60">
        <f t="shared" si="20"/>
        <v>0</v>
      </c>
      <c r="U23" s="60">
        <f t="shared" si="21"/>
        <v>0</v>
      </c>
      <c r="V23" s="60">
        <f t="shared" si="22"/>
        <v>0</v>
      </c>
      <c r="W23" s="60">
        <f t="shared" si="23"/>
        <v>0</v>
      </c>
      <c r="X23" s="60">
        <f t="shared" si="24"/>
        <v>0</v>
      </c>
      <c r="Y23" s="60">
        <f t="shared" si="25"/>
        <v>25.55</v>
      </c>
      <c r="Z23" s="60">
        <f t="shared" si="26"/>
        <v>0</v>
      </c>
      <c r="AA23" s="60">
        <f t="shared" si="27"/>
        <v>0</v>
      </c>
      <c r="AB23" s="60">
        <f t="shared" si="28"/>
        <v>0</v>
      </c>
      <c r="AC23" s="60">
        <f t="shared" si="29"/>
        <v>0</v>
      </c>
      <c r="AD23" s="60">
        <f t="shared" si="30"/>
        <v>0</v>
      </c>
      <c r="AE23" s="60">
        <f t="shared" si="31"/>
        <v>25.55</v>
      </c>
      <c r="AF23" s="60">
        <f t="shared" si="32"/>
        <v>0</v>
      </c>
      <c r="AG23" s="60">
        <f t="shared" si="33"/>
        <v>0</v>
      </c>
      <c r="AH23" s="60">
        <f t="shared" si="34"/>
        <v>0</v>
      </c>
      <c r="AI23" s="61" t="e">
        <f t="shared" si="35"/>
        <v>#N/A</v>
      </c>
      <c r="AJ23" s="60">
        <f t="shared" si="36"/>
        <v>51.1</v>
      </c>
    </row>
    <row r="24" spans="1:36" ht="15" customHeight="1" x14ac:dyDescent="0.4">
      <c r="A24" s="46">
        <v>7</v>
      </c>
      <c r="B24" s="47" t="s">
        <v>156</v>
      </c>
      <c r="C24" s="48" t="s">
        <v>157</v>
      </c>
      <c r="D24" s="49">
        <f>VLOOKUP(C24,'[1]PREÇO ATUAL'!$A:$D,4,0)</f>
        <v>136.4</v>
      </c>
      <c r="E24" s="50"/>
      <c r="F24" s="50"/>
      <c r="G24" s="50"/>
      <c r="H24" s="50"/>
      <c r="I24" s="51"/>
      <c r="J24" s="51">
        <v>1</v>
      </c>
      <c r="K24" s="51"/>
      <c r="L24" s="51"/>
      <c r="M24" s="51"/>
      <c r="N24" s="84"/>
      <c r="O24" s="51"/>
      <c r="P24" s="51">
        <v>1</v>
      </c>
      <c r="Q24" s="51"/>
      <c r="R24" s="51"/>
      <c r="S24" s="51"/>
      <c r="T24" s="52">
        <f t="shared" si="20"/>
        <v>0</v>
      </c>
      <c r="U24" s="52">
        <f t="shared" si="21"/>
        <v>0</v>
      </c>
      <c r="V24" s="52">
        <f t="shared" si="22"/>
        <v>0</v>
      </c>
      <c r="W24" s="52">
        <f t="shared" si="23"/>
        <v>0</v>
      </c>
      <c r="X24" s="52">
        <f t="shared" si="24"/>
        <v>0</v>
      </c>
      <c r="Y24" s="52">
        <f t="shared" si="25"/>
        <v>136.4</v>
      </c>
      <c r="Z24" s="52">
        <f t="shared" si="26"/>
        <v>0</v>
      </c>
      <c r="AA24" s="52">
        <f t="shared" si="27"/>
        <v>0</v>
      </c>
      <c r="AB24" s="52">
        <f t="shared" si="28"/>
        <v>0</v>
      </c>
      <c r="AC24" s="52">
        <f t="shared" si="29"/>
        <v>0</v>
      </c>
      <c r="AD24" s="52">
        <f t="shared" si="30"/>
        <v>0</v>
      </c>
      <c r="AE24" s="52">
        <f t="shared" si="31"/>
        <v>136.4</v>
      </c>
      <c r="AF24" s="52">
        <f t="shared" si="32"/>
        <v>0</v>
      </c>
      <c r="AG24" s="52">
        <f t="shared" si="33"/>
        <v>0</v>
      </c>
      <c r="AH24" s="52">
        <f t="shared" si="34"/>
        <v>0</v>
      </c>
      <c r="AI24" s="53" t="e">
        <f t="shared" si="35"/>
        <v>#N/A</v>
      </c>
      <c r="AJ24" s="52">
        <f t="shared" si="36"/>
        <v>272.8</v>
      </c>
    </row>
    <row r="25" spans="1:36" ht="15" customHeight="1" x14ac:dyDescent="0.4">
      <c r="A25" s="54">
        <v>8</v>
      </c>
      <c r="B25" s="55" t="s">
        <v>212</v>
      </c>
      <c r="C25" s="56" t="s">
        <v>197</v>
      </c>
      <c r="D25" s="57">
        <f>VLOOKUP(C25,'[1]PREÇO ATUAL'!$A:$D,4,0)</f>
        <v>149.54</v>
      </c>
      <c r="E25" s="58"/>
      <c r="F25" s="58"/>
      <c r="G25" s="58"/>
      <c r="H25" s="58"/>
      <c r="I25" s="59"/>
      <c r="J25" s="59"/>
      <c r="K25" s="59"/>
      <c r="L25" s="59"/>
      <c r="M25" s="59"/>
      <c r="N25" s="85"/>
      <c r="O25" s="59"/>
      <c r="P25" s="59">
        <v>1</v>
      </c>
      <c r="Q25" s="59"/>
      <c r="R25" s="59"/>
      <c r="S25" s="59"/>
      <c r="T25" s="60">
        <f t="shared" si="20"/>
        <v>0</v>
      </c>
      <c r="U25" s="60">
        <f t="shared" si="21"/>
        <v>0</v>
      </c>
      <c r="V25" s="60">
        <f t="shared" si="22"/>
        <v>0</v>
      </c>
      <c r="W25" s="60">
        <f t="shared" si="23"/>
        <v>0</v>
      </c>
      <c r="X25" s="60">
        <f t="shared" si="24"/>
        <v>0</v>
      </c>
      <c r="Y25" s="60">
        <f t="shared" si="25"/>
        <v>0</v>
      </c>
      <c r="Z25" s="60">
        <f t="shared" si="26"/>
        <v>0</v>
      </c>
      <c r="AA25" s="60">
        <f t="shared" si="27"/>
        <v>0</v>
      </c>
      <c r="AB25" s="60">
        <f t="shared" si="28"/>
        <v>0</v>
      </c>
      <c r="AC25" s="60">
        <f t="shared" si="29"/>
        <v>0</v>
      </c>
      <c r="AD25" s="60">
        <f t="shared" si="30"/>
        <v>0</v>
      </c>
      <c r="AE25" s="60">
        <f t="shared" si="31"/>
        <v>149.54</v>
      </c>
      <c r="AF25" s="60">
        <f t="shared" si="32"/>
        <v>0</v>
      </c>
      <c r="AG25" s="60">
        <f t="shared" si="33"/>
        <v>0</v>
      </c>
      <c r="AH25" s="60">
        <f t="shared" si="34"/>
        <v>0</v>
      </c>
      <c r="AI25" s="61" t="e">
        <f t="shared" si="35"/>
        <v>#N/A</v>
      </c>
      <c r="AJ25" s="60">
        <f t="shared" si="36"/>
        <v>149.54</v>
      </c>
    </row>
    <row r="26" spans="1:36" ht="15" customHeight="1" x14ac:dyDescent="0.4">
      <c r="A26" s="46">
        <v>9</v>
      </c>
      <c r="B26" s="47" t="s">
        <v>124</v>
      </c>
      <c r="C26" s="48" t="s">
        <v>125</v>
      </c>
      <c r="D26" s="49">
        <f>VLOOKUP(C26,'[1]PREÇO ATUAL'!$A:$D,4,0)</f>
        <v>33.6224930838505</v>
      </c>
      <c r="E26" s="50"/>
      <c r="F26" s="50"/>
      <c r="G26" s="50"/>
      <c r="H26" s="50"/>
      <c r="I26" s="51"/>
      <c r="J26" s="51"/>
      <c r="K26" s="51"/>
      <c r="L26" s="51"/>
      <c r="M26" s="51"/>
      <c r="N26" s="84"/>
      <c r="O26" s="51"/>
      <c r="P26" s="51"/>
      <c r="Q26" s="51"/>
      <c r="R26" s="51"/>
      <c r="S26" s="51"/>
      <c r="T26" s="52">
        <f t="shared" si="20"/>
        <v>0</v>
      </c>
      <c r="U26" s="52">
        <f t="shared" si="21"/>
        <v>0</v>
      </c>
      <c r="V26" s="52">
        <f t="shared" si="22"/>
        <v>0</v>
      </c>
      <c r="W26" s="52">
        <f t="shared" si="23"/>
        <v>0</v>
      </c>
      <c r="X26" s="52">
        <f t="shared" si="24"/>
        <v>0</v>
      </c>
      <c r="Y26" s="52">
        <f t="shared" si="25"/>
        <v>0</v>
      </c>
      <c r="Z26" s="52">
        <f t="shared" si="26"/>
        <v>0</v>
      </c>
      <c r="AA26" s="52">
        <f t="shared" si="27"/>
        <v>0</v>
      </c>
      <c r="AB26" s="52">
        <f t="shared" si="28"/>
        <v>0</v>
      </c>
      <c r="AC26" s="52">
        <f t="shared" si="29"/>
        <v>0</v>
      </c>
      <c r="AD26" s="52">
        <f t="shared" si="30"/>
        <v>0</v>
      </c>
      <c r="AE26" s="52">
        <f t="shared" si="31"/>
        <v>0</v>
      </c>
      <c r="AF26" s="52">
        <f t="shared" si="32"/>
        <v>0</v>
      </c>
      <c r="AG26" s="52">
        <f t="shared" si="33"/>
        <v>0</v>
      </c>
      <c r="AH26" s="52">
        <f t="shared" si="34"/>
        <v>0</v>
      </c>
      <c r="AI26" s="53" t="e">
        <f t="shared" si="35"/>
        <v>#N/A</v>
      </c>
      <c r="AJ26" s="52">
        <f t="shared" si="36"/>
        <v>0</v>
      </c>
    </row>
    <row r="27" spans="1:36" ht="15" customHeight="1" x14ac:dyDescent="0.4">
      <c r="A27" s="54">
        <v>10</v>
      </c>
      <c r="B27" s="55" t="s">
        <v>151</v>
      </c>
      <c r="C27" s="56" t="s">
        <v>152</v>
      </c>
      <c r="D27" s="57">
        <v>89.6</v>
      </c>
      <c r="E27" s="73">
        <v>2.7</v>
      </c>
      <c r="F27" s="73">
        <v>2.7</v>
      </c>
      <c r="G27" s="73">
        <v>2.7</v>
      </c>
      <c r="H27" s="73">
        <v>2.7</v>
      </c>
      <c r="I27" s="74">
        <v>2.7</v>
      </c>
      <c r="J27" s="74">
        <v>2.7</v>
      </c>
      <c r="K27" s="74">
        <v>2.7</v>
      </c>
      <c r="L27" s="74">
        <v>2.7</v>
      </c>
      <c r="M27" s="74">
        <v>2.7</v>
      </c>
      <c r="N27" s="108">
        <v>2.7</v>
      </c>
      <c r="O27" s="74">
        <v>2.7</v>
      </c>
      <c r="P27" s="74">
        <v>2.7</v>
      </c>
      <c r="Q27" s="74">
        <v>2.7</v>
      </c>
      <c r="R27" s="74">
        <v>2.7</v>
      </c>
      <c r="S27" s="74">
        <v>2.7</v>
      </c>
      <c r="T27" s="60">
        <f t="shared" si="20"/>
        <v>241.92</v>
      </c>
      <c r="U27" s="60">
        <f t="shared" si="21"/>
        <v>241.92</v>
      </c>
      <c r="V27" s="60">
        <f t="shared" si="22"/>
        <v>241.92</v>
      </c>
      <c r="W27" s="60">
        <f t="shared" si="23"/>
        <v>241.92</v>
      </c>
      <c r="X27" s="60">
        <f t="shared" si="24"/>
        <v>241.92</v>
      </c>
      <c r="Y27" s="60">
        <f t="shared" si="25"/>
        <v>241.92</v>
      </c>
      <c r="Z27" s="60">
        <f t="shared" si="26"/>
        <v>241.92</v>
      </c>
      <c r="AA27" s="60">
        <f t="shared" si="27"/>
        <v>241.92</v>
      </c>
      <c r="AB27" s="60">
        <f t="shared" si="28"/>
        <v>241.92</v>
      </c>
      <c r="AC27" s="60">
        <f t="shared" si="29"/>
        <v>241.92</v>
      </c>
      <c r="AD27" s="60">
        <f t="shared" si="30"/>
        <v>241.92</v>
      </c>
      <c r="AE27" s="60">
        <f t="shared" si="31"/>
        <v>241.92</v>
      </c>
      <c r="AF27" s="60">
        <f t="shared" si="32"/>
        <v>241.92</v>
      </c>
      <c r="AG27" s="60">
        <f t="shared" si="33"/>
        <v>241.92</v>
      </c>
      <c r="AH27" s="60">
        <f t="shared" si="34"/>
        <v>241.92</v>
      </c>
      <c r="AI27" s="61" t="e">
        <f t="shared" si="35"/>
        <v>#N/A</v>
      </c>
      <c r="AJ27" s="60">
        <f t="shared" si="36"/>
        <v>3628.8000000000006</v>
      </c>
    </row>
    <row r="28" spans="1:36" ht="15" customHeight="1" x14ac:dyDescent="0.4">
      <c r="A28" s="46">
        <v>11</v>
      </c>
      <c r="B28" s="47" t="s">
        <v>128</v>
      </c>
      <c r="C28" s="48" t="s">
        <v>54</v>
      </c>
      <c r="D28" s="49" t="e">
        <f>VLOOKUP(C28,'[1]PREÇO ATUAL'!$A:$D,4,0)</f>
        <v>#N/A</v>
      </c>
      <c r="E28" s="75">
        <v>0.75</v>
      </c>
      <c r="F28" s="75">
        <v>0.95</v>
      </c>
      <c r="G28" s="75">
        <v>2</v>
      </c>
      <c r="H28" s="75">
        <v>1.55</v>
      </c>
      <c r="I28" s="76">
        <v>0.9</v>
      </c>
      <c r="J28" s="76">
        <v>4.0999999999999996</v>
      </c>
      <c r="K28" s="76">
        <v>0.75</v>
      </c>
      <c r="L28" s="76">
        <v>1.1000000000000001</v>
      </c>
      <c r="M28" s="76">
        <v>2</v>
      </c>
      <c r="N28" s="91">
        <v>1.55</v>
      </c>
      <c r="O28" s="76" t="s">
        <v>208</v>
      </c>
      <c r="P28" s="76">
        <v>4.95</v>
      </c>
      <c r="Q28" s="76" t="s">
        <v>208</v>
      </c>
      <c r="R28" s="76" t="s">
        <v>209</v>
      </c>
      <c r="S28" s="76" t="s">
        <v>210</v>
      </c>
      <c r="T28" s="52" t="e">
        <f>D28*E28</f>
        <v>#N/A</v>
      </c>
      <c r="U28" s="52" t="e">
        <f t="shared" ref="U28:AH28" si="37">$D28*F28</f>
        <v>#N/A</v>
      </c>
      <c r="V28" s="52" t="e">
        <f t="shared" si="37"/>
        <v>#N/A</v>
      </c>
      <c r="W28" s="52" t="e">
        <f t="shared" si="37"/>
        <v>#N/A</v>
      </c>
      <c r="X28" s="52" t="e">
        <f t="shared" si="37"/>
        <v>#N/A</v>
      </c>
      <c r="Y28" s="52" t="e">
        <f t="shared" si="37"/>
        <v>#N/A</v>
      </c>
      <c r="Z28" s="52" t="e">
        <f t="shared" si="37"/>
        <v>#N/A</v>
      </c>
      <c r="AA28" s="52" t="e">
        <f t="shared" si="37"/>
        <v>#N/A</v>
      </c>
      <c r="AB28" s="52" t="e">
        <f t="shared" si="37"/>
        <v>#N/A</v>
      </c>
      <c r="AC28" s="52" t="e">
        <f t="shared" si="37"/>
        <v>#N/A</v>
      </c>
      <c r="AD28" s="52" t="e">
        <f t="shared" si="37"/>
        <v>#N/A</v>
      </c>
      <c r="AE28" s="52" t="e">
        <f t="shared" si="37"/>
        <v>#N/A</v>
      </c>
      <c r="AF28" s="52" t="e">
        <f t="shared" si="37"/>
        <v>#N/A</v>
      </c>
      <c r="AG28" s="52" t="e">
        <f t="shared" si="37"/>
        <v>#N/A</v>
      </c>
      <c r="AH28" s="52" t="e">
        <f t="shared" si="37"/>
        <v>#N/A</v>
      </c>
      <c r="AI28" s="53" t="e">
        <f t="shared" si="35"/>
        <v>#N/A</v>
      </c>
      <c r="AJ28" s="52" t="e">
        <f t="shared" si="36"/>
        <v>#N/A</v>
      </c>
    </row>
    <row r="29" spans="1:36" ht="15.75" customHeight="1" x14ac:dyDescent="0.4">
      <c r="H29" s="81"/>
      <c r="L29" s="81"/>
    </row>
    <row r="30" spans="1:36" ht="15" customHeight="1" x14ac:dyDescent="0.4">
      <c r="A30" s="239" t="s">
        <v>213</v>
      </c>
      <c r="B30" s="211"/>
      <c r="C30" s="211"/>
      <c r="D30" s="212"/>
      <c r="E30" s="218" t="s">
        <v>1</v>
      </c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22" t="s">
        <v>2</v>
      </c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32" t="s">
        <v>3</v>
      </c>
      <c r="AJ30" s="209"/>
    </row>
    <row r="31" spans="1:36" ht="15" customHeight="1" x14ac:dyDescent="0.4">
      <c r="A31" s="234"/>
      <c r="B31" s="217"/>
      <c r="C31" s="217"/>
      <c r="D31" s="238"/>
      <c r="E31" s="35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e">
        <f t="shared" ref="T31:AH31" si="38">MROUND(SUM(T33:T41),1)</f>
        <v>#N/A</v>
      </c>
      <c r="U31" s="37" t="e">
        <f t="shared" si="38"/>
        <v>#N/A</v>
      </c>
      <c r="V31" s="37" t="e">
        <f t="shared" si="38"/>
        <v>#N/A</v>
      </c>
      <c r="W31" s="37" t="e">
        <f t="shared" si="38"/>
        <v>#N/A</v>
      </c>
      <c r="X31" s="37" t="e">
        <f t="shared" si="38"/>
        <v>#N/A</v>
      </c>
      <c r="Y31" s="37" t="e">
        <f t="shared" si="38"/>
        <v>#N/A</v>
      </c>
      <c r="Z31" s="37" t="e">
        <f t="shared" si="38"/>
        <v>#N/A</v>
      </c>
      <c r="AA31" s="37" t="e">
        <f t="shared" si="38"/>
        <v>#N/A</v>
      </c>
      <c r="AB31" s="37" t="e">
        <f t="shared" si="38"/>
        <v>#N/A</v>
      </c>
      <c r="AC31" s="37" t="e">
        <f t="shared" si="38"/>
        <v>#N/A</v>
      </c>
      <c r="AD31" s="37" t="e">
        <f t="shared" si="38"/>
        <v>#N/A</v>
      </c>
      <c r="AE31" s="37" t="e">
        <f t="shared" si="38"/>
        <v>#N/A</v>
      </c>
      <c r="AF31" s="37" t="e">
        <f t="shared" si="38"/>
        <v>#N/A</v>
      </c>
      <c r="AG31" s="37" t="e">
        <f t="shared" si="38"/>
        <v>#N/A</v>
      </c>
      <c r="AH31" s="37" t="e">
        <f t="shared" si="38"/>
        <v>#N/A</v>
      </c>
      <c r="AI31" s="208" t="e">
        <f>SUM(T31:AH31)</f>
        <v>#N/A</v>
      </c>
      <c r="AJ31" s="209"/>
    </row>
    <row r="32" spans="1:36" ht="15" customHeight="1" x14ac:dyDescent="0.4">
      <c r="A32" s="39" t="s">
        <v>5</v>
      </c>
      <c r="B32" s="39" t="s">
        <v>6</v>
      </c>
      <c r="C32" s="40" t="s">
        <v>7</v>
      </c>
      <c r="D32" s="41" t="s">
        <v>8</v>
      </c>
      <c r="E32" s="42" t="s">
        <v>102</v>
      </c>
      <c r="F32" s="42" t="s">
        <v>103</v>
      </c>
      <c r="G32" s="42" t="s">
        <v>104</v>
      </c>
      <c r="H32" s="42" t="s">
        <v>105</v>
      </c>
      <c r="I32" s="42" t="s">
        <v>106</v>
      </c>
      <c r="J32" s="42" t="s">
        <v>107</v>
      </c>
      <c r="K32" s="42" t="s">
        <v>108</v>
      </c>
      <c r="L32" s="42" t="s">
        <v>109</v>
      </c>
      <c r="M32" s="42" t="s">
        <v>110</v>
      </c>
      <c r="N32" s="42" t="s">
        <v>111</v>
      </c>
      <c r="O32" s="42" t="s">
        <v>203</v>
      </c>
      <c r="P32" s="42" t="s">
        <v>204</v>
      </c>
      <c r="Q32" s="42" t="s">
        <v>205</v>
      </c>
      <c r="R32" s="42" t="s">
        <v>206</v>
      </c>
      <c r="S32" s="42" t="s">
        <v>207</v>
      </c>
      <c r="T32" s="42">
        <v>10000</v>
      </c>
      <c r="U32" s="42">
        <v>20000</v>
      </c>
      <c r="V32" s="42">
        <v>30000</v>
      </c>
      <c r="W32" s="42">
        <v>40000</v>
      </c>
      <c r="X32" s="42">
        <v>50000</v>
      </c>
      <c r="Y32" s="42">
        <v>60000</v>
      </c>
      <c r="Z32" s="42">
        <v>70000</v>
      </c>
      <c r="AA32" s="42">
        <v>80000</v>
      </c>
      <c r="AB32" s="42">
        <v>90000</v>
      </c>
      <c r="AC32" s="42">
        <v>100000</v>
      </c>
      <c r="AD32" s="44">
        <f>AC32+10000</f>
        <v>110000</v>
      </c>
      <c r="AE32" s="44">
        <f>AD32+10000</f>
        <v>120000</v>
      </c>
      <c r="AF32" s="44">
        <f>AE32+10000</f>
        <v>130000</v>
      </c>
      <c r="AG32" s="44">
        <f>AF32+10000</f>
        <v>140000</v>
      </c>
      <c r="AH32" s="44">
        <f>AG32+10000</f>
        <v>150000</v>
      </c>
      <c r="AI32" s="45" t="e">
        <f>SUM(AI33:AI41)</f>
        <v>#N/A</v>
      </c>
      <c r="AJ32" s="39" t="s">
        <v>25</v>
      </c>
    </row>
    <row r="33" spans="1:36" ht="15" customHeight="1" x14ac:dyDescent="0.4">
      <c r="A33" s="46">
        <v>1</v>
      </c>
      <c r="B33" s="47" t="s">
        <v>130</v>
      </c>
      <c r="C33" s="48" t="s">
        <v>113</v>
      </c>
      <c r="D33" s="49">
        <f>VLOOKUP(C33,'[1]PREÇO ATUAL'!$A:$D,4,0)</f>
        <v>79.900000000000006</v>
      </c>
      <c r="E33" s="50">
        <v>1</v>
      </c>
      <c r="F33" s="50">
        <v>1</v>
      </c>
      <c r="G33" s="50">
        <v>1</v>
      </c>
      <c r="H33" s="50">
        <v>1</v>
      </c>
      <c r="I33" s="51">
        <v>1</v>
      </c>
      <c r="J33" s="51">
        <v>1</v>
      </c>
      <c r="K33" s="51">
        <v>1</v>
      </c>
      <c r="L33" s="51">
        <v>1</v>
      </c>
      <c r="M33" s="51">
        <v>1</v>
      </c>
      <c r="N33" s="51">
        <v>1</v>
      </c>
      <c r="O33" s="51">
        <v>1</v>
      </c>
      <c r="P33" s="51">
        <v>1</v>
      </c>
      <c r="Q33" s="51">
        <v>1</v>
      </c>
      <c r="R33" s="51">
        <v>1</v>
      </c>
      <c r="S33" s="51">
        <v>1</v>
      </c>
      <c r="T33" s="52">
        <f t="shared" ref="T33:AH38" si="39">$D33*E33</f>
        <v>79.900000000000006</v>
      </c>
      <c r="U33" s="52">
        <f t="shared" si="39"/>
        <v>79.900000000000006</v>
      </c>
      <c r="V33" s="52">
        <f t="shared" si="39"/>
        <v>79.900000000000006</v>
      </c>
      <c r="W33" s="52">
        <f t="shared" si="39"/>
        <v>79.900000000000006</v>
      </c>
      <c r="X33" s="52">
        <f t="shared" si="39"/>
        <v>79.900000000000006</v>
      </c>
      <c r="Y33" s="52">
        <f t="shared" si="39"/>
        <v>79.900000000000006</v>
      </c>
      <c r="Z33" s="52">
        <f t="shared" si="39"/>
        <v>79.900000000000006</v>
      </c>
      <c r="AA33" s="52">
        <f t="shared" si="39"/>
        <v>79.900000000000006</v>
      </c>
      <c r="AB33" s="52">
        <f t="shared" si="39"/>
        <v>79.900000000000006</v>
      </c>
      <c r="AC33" s="52">
        <f t="shared" si="39"/>
        <v>79.900000000000006</v>
      </c>
      <c r="AD33" s="52">
        <f t="shared" si="39"/>
        <v>79.900000000000006</v>
      </c>
      <c r="AE33" s="52">
        <f t="shared" si="39"/>
        <v>79.900000000000006</v>
      </c>
      <c r="AF33" s="52">
        <f t="shared" si="39"/>
        <v>79.900000000000006</v>
      </c>
      <c r="AG33" s="52">
        <f t="shared" si="39"/>
        <v>79.900000000000006</v>
      </c>
      <c r="AH33" s="52">
        <f t="shared" si="39"/>
        <v>79.900000000000006</v>
      </c>
      <c r="AI33" s="53" t="e">
        <f>AJ33/$AI$2</f>
        <v>#N/A</v>
      </c>
      <c r="AJ33" s="52">
        <f t="shared" ref="AJ33:AJ41" si="40">SUM(T33:AH33)</f>
        <v>1198.5</v>
      </c>
    </row>
    <row r="34" spans="1:36" ht="15" customHeight="1" x14ac:dyDescent="0.4">
      <c r="A34" s="54">
        <v>2</v>
      </c>
      <c r="B34" s="55" t="s">
        <v>114</v>
      </c>
      <c r="C34" s="56" t="s">
        <v>115</v>
      </c>
      <c r="D34" s="57">
        <f>VLOOKUP(C34,'[1]PREÇO ATUAL'!$A:$D,4,0)</f>
        <v>35.9</v>
      </c>
      <c r="E34" s="58"/>
      <c r="F34" s="58">
        <v>1</v>
      </c>
      <c r="G34" s="58"/>
      <c r="H34" s="58">
        <v>1</v>
      </c>
      <c r="I34" s="59"/>
      <c r="J34" s="59">
        <v>1</v>
      </c>
      <c r="K34" s="59"/>
      <c r="L34" s="59">
        <v>1</v>
      </c>
      <c r="M34" s="59"/>
      <c r="N34" s="59">
        <v>1</v>
      </c>
      <c r="O34" s="59"/>
      <c r="P34" s="59">
        <v>1</v>
      </c>
      <c r="Q34" s="59"/>
      <c r="R34" s="59">
        <v>1</v>
      </c>
      <c r="S34" s="59"/>
      <c r="T34" s="60">
        <f t="shared" si="39"/>
        <v>0</v>
      </c>
      <c r="U34" s="60">
        <f t="shared" si="39"/>
        <v>35.9</v>
      </c>
      <c r="V34" s="60">
        <f t="shared" si="39"/>
        <v>0</v>
      </c>
      <c r="W34" s="60">
        <f t="shared" si="39"/>
        <v>35.9</v>
      </c>
      <c r="X34" s="60">
        <f t="shared" si="39"/>
        <v>0</v>
      </c>
      <c r="Y34" s="60">
        <f t="shared" si="39"/>
        <v>35.9</v>
      </c>
      <c r="Z34" s="60">
        <f t="shared" si="39"/>
        <v>0</v>
      </c>
      <c r="AA34" s="60">
        <f t="shared" si="39"/>
        <v>35.9</v>
      </c>
      <c r="AB34" s="60">
        <f t="shared" si="39"/>
        <v>0</v>
      </c>
      <c r="AC34" s="60">
        <f t="shared" si="39"/>
        <v>35.9</v>
      </c>
      <c r="AD34" s="60">
        <f t="shared" si="39"/>
        <v>0</v>
      </c>
      <c r="AE34" s="60">
        <f t="shared" si="39"/>
        <v>35.9</v>
      </c>
      <c r="AF34" s="60">
        <f t="shared" si="39"/>
        <v>0</v>
      </c>
      <c r="AG34" s="60">
        <f t="shared" si="39"/>
        <v>35.9</v>
      </c>
      <c r="AH34" s="60">
        <f t="shared" si="39"/>
        <v>0</v>
      </c>
      <c r="AI34" s="61" t="e">
        <f>AJ34/$AI$2</f>
        <v>#N/A</v>
      </c>
      <c r="AJ34" s="60">
        <f t="shared" si="40"/>
        <v>251.3</v>
      </c>
    </row>
    <row r="35" spans="1:36" ht="15" customHeight="1" x14ac:dyDescent="0.4">
      <c r="A35" s="46">
        <v>3</v>
      </c>
      <c r="B35" s="47" t="s">
        <v>60</v>
      </c>
      <c r="C35" s="48" t="s">
        <v>117</v>
      </c>
      <c r="D35" s="49">
        <f>VLOOKUP(C35,'[1]PREÇO ATUAL'!$A:$D,4,0)</f>
        <v>89.9</v>
      </c>
      <c r="E35" s="50"/>
      <c r="F35" s="50">
        <v>1</v>
      </c>
      <c r="G35" s="50"/>
      <c r="H35" s="50">
        <v>1</v>
      </c>
      <c r="I35" s="51"/>
      <c r="J35" s="51">
        <v>1</v>
      </c>
      <c r="K35" s="51"/>
      <c r="L35" s="51">
        <v>1</v>
      </c>
      <c r="M35" s="51"/>
      <c r="N35" s="51">
        <v>1</v>
      </c>
      <c r="O35" s="51"/>
      <c r="P35" s="51">
        <v>1</v>
      </c>
      <c r="Q35" s="51"/>
      <c r="R35" s="51">
        <v>1</v>
      </c>
      <c r="S35" s="51"/>
      <c r="T35" s="52">
        <f t="shared" si="39"/>
        <v>0</v>
      </c>
      <c r="U35" s="52">
        <f t="shared" si="39"/>
        <v>89.9</v>
      </c>
      <c r="V35" s="52">
        <f t="shared" si="39"/>
        <v>0</v>
      </c>
      <c r="W35" s="52">
        <f t="shared" si="39"/>
        <v>89.9</v>
      </c>
      <c r="X35" s="52">
        <f t="shared" si="39"/>
        <v>0</v>
      </c>
      <c r="Y35" s="52">
        <f t="shared" si="39"/>
        <v>89.9</v>
      </c>
      <c r="Z35" s="52">
        <f t="shared" si="39"/>
        <v>0</v>
      </c>
      <c r="AA35" s="52">
        <f t="shared" si="39"/>
        <v>89.9</v>
      </c>
      <c r="AB35" s="52">
        <f t="shared" si="39"/>
        <v>0</v>
      </c>
      <c r="AC35" s="52">
        <f t="shared" si="39"/>
        <v>89.9</v>
      </c>
      <c r="AD35" s="52">
        <f t="shared" si="39"/>
        <v>0</v>
      </c>
      <c r="AE35" s="52">
        <f t="shared" si="39"/>
        <v>89.9</v>
      </c>
      <c r="AF35" s="52">
        <f t="shared" si="39"/>
        <v>0</v>
      </c>
      <c r="AG35" s="52">
        <f t="shared" si="39"/>
        <v>89.9</v>
      </c>
      <c r="AH35" s="52">
        <f t="shared" si="39"/>
        <v>0</v>
      </c>
      <c r="AI35" s="53" t="e">
        <f>AJ35/$AI$2</f>
        <v>#N/A</v>
      </c>
      <c r="AJ35" s="52">
        <f t="shared" si="40"/>
        <v>629.29999999999995</v>
      </c>
    </row>
    <row r="36" spans="1:36" ht="15" customHeight="1" x14ac:dyDescent="0.4">
      <c r="A36" s="54">
        <v>4</v>
      </c>
      <c r="B36" s="67" t="s">
        <v>214</v>
      </c>
      <c r="C36" s="56" t="s">
        <v>119</v>
      </c>
      <c r="D36" s="57">
        <f>VLOOKUP(C36,'[1]PREÇO ATUAL'!$A:$D,4,0)</f>
        <v>175.9</v>
      </c>
      <c r="E36" s="58"/>
      <c r="F36" s="58"/>
      <c r="G36" s="58"/>
      <c r="H36" s="58">
        <v>4</v>
      </c>
      <c r="I36" s="59"/>
      <c r="J36" s="59"/>
      <c r="K36" s="59"/>
      <c r="L36" s="59">
        <v>4</v>
      </c>
      <c r="M36" s="59"/>
      <c r="N36" s="59"/>
      <c r="O36" s="59"/>
      <c r="P36" s="59">
        <v>4</v>
      </c>
      <c r="Q36" s="59"/>
      <c r="R36" s="59"/>
      <c r="S36" s="59"/>
      <c r="T36" s="60">
        <f t="shared" si="39"/>
        <v>0</v>
      </c>
      <c r="U36" s="60">
        <f t="shared" si="39"/>
        <v>0</v>
      </c>
      <c r="V36" s="60">
        <f t="shared" si="39"/>
        <v>0</v>
      </c>
      <c r="W36" s="60">
        <f t="shared" si="39"/>
        <v>703.6</v>
      </c>
      <c r="X36" s="60">
        <f t="shared" si="39"/>
        <v>0</v>
      </c>
      <c r="Y36" s="60">
        <f t="shared" si="39"/>
        <v>0</v>
      </c>
      <c r="Z36" s="60">
        <f t="shared" si="39"/>
        <v>0</v>
      </c>
      <c r="AA36" s="60">
        <f t="shared" si="39"/>
        <v>703.6</v>
      </c>
      <c r="AB36" s="60">
        <f t="shared" si="39"/>
        <v>0</v>
      </c>
      <c r="AC36" s="60">
        <f t="shared" si="39"/>
        <v>0</v>
      </c>
      <c r="AD36" s="60">
        <f t="shared" si="39"/>
        <v>0</v>
      </c>
      <c r="AE36" s="60">
        <f t="shared" si="39"/>
        <v>703.6</v>
      </c>
      <c r="AF36" s="60">
        <f t="shared" si="39"/>
        <v>0</v>
      </c>
      <c r="AG36" s="60">
        <f t="shared" si="39"/>
        <v>0</v>
      </c>
      <c r="AH36" s="60">
        <f t="shared" si="39"/>
        <v>0</v>
      </c>
      <c r="AI36" s="61" t="e">
        <f>AJ36/$AI$2</f>
        <v>#N/A</v>
      </c>
      <c r="AJ36" s="60">
        <f t="shared" si="40"/>
        <v>2110.8000000000002</v>
      </c>
    </row>
    <row r="37" spans="1:36" ht="23.25" customHeight="1" x14ac:dyDescent="0.4">
      <c r="A37" s="46">
        <v>5</v>
      </c>
      <c r="B37" s="66" t="s">
        <v>134</v>
      </c>
      <c r="C37" s="48" t="s">
        <v>163</v>
      </c>
      <c r="D37" s="49">
        <f>VLOOKUP(C37,'[1]PREÇO ATUAL'!$A:$D,4,0)</f>
        <v>139.9</v>
      </c>
      <c r="E37" s="50"/>
      <c r="F37" s="50"/>
      <c r="G37" s="50"/>
      <c r="H37" s="50"/>
      <c r="I37" s="51"/>
      <c r="J37" s="51">
        <v>1</v>
      </c>
      <c r="K37" s="51"/>
      <c r="L37" s="51"/>
      <c r="M37" s="51"/>
      <c r="N37" s="51"/>
      <c r="O37" s="51"/>
      <c r="P37" s="51">
        <v>1</v>
      </c>
      <c r="Q37" s="51"/>
      <c r="R37" s="51"/>
      <c r="S37" s="51"/>
      <c r="T37" s="52">
        <f t="shared" si="39"/>
        <v>0</v>
      </c>
      <c r="U37" s="52">
        <f t="shared" si="39"/>
        <v>0</v>
      </c>
      <c r="V37" s="52">
        <f t="shared" si="39"/>
        <v>0</v>
      </c>
      <c r="W37" s="52">
        <f t="shared" si="39"/>
        <v>0</v>
      </c>
      <c r="X37" s="52">
        <f t="shared" si="39"/>
        <v>0</v>
      </c>
      <c r="Y37" s="52">
        <f t="shared" si="39"/>
        <v>139.9</v>
      </c>
      <c r="Z37" s="52">
        <f t="shared" si="39"/>
        <v>0</v>
      </c>
      <c r="AA37" s="52">
        <f t="shared" si="39"/>
        <v>0</v>
      </c>
      <c r="AB37" s="52">
        <f t="shared" si="39"/>
        <v>0</v>
      </c>
      <c r="AC37" s="52">
        <f t="shared" si="39"/>
        <v>0</v>
      </c>
      <c r="AD37" s="52">
        <f t="shared" si="39"/>
        <v>0</v>
      </c>
      <c r="AE37" s="52">
        <f t="shared" si="39"/>
        <v>139.9</v>
      </c>
      <c r="AF37" s="52">
        <f t="shared" si="39"/>
        <v>0</v>
      </c>
      <c r="AG37" s="52">
        <f t="shared" si="39"/>
        <v>0</v>
      </c>
      <c r="AH37" s="52">
        <f t="shared" si="39"/>
        <v>0</v>
      </c>
      <c r="AI37" s="53" t="e">
        <f>AJ37/$AI$2</f>
        <v>#N/A</v>
      </c>
      <c r="AJ37" s="52">
        <f t="shared" si="40"/>
        <v>279.8</v>
      </c>
    </row>
    <row r="38" spans="1:36" ht="15" customHeight="1" x14ac:dyDescent="0.4">
      <c r="A38" s="54">
        <v>6</v>
      </c>
      <c r="B38" s="67" t="s">
        <v>122</v>
      </c>
      <c r="C38" s="56" t="s">
        <v>123</v>
      </c>
      <c r="D38" s="57">
        <f>VLOOKUP(C38,'[1]PREÇO ATUAL'!$A:$D,4,0)</f>
        <v>165.97811999999999</v>
      </c>
      <c r="E38" s="58"/>
      <c r="F38" s="105"/>
      <c r="G38" s="58"/>
      <c r="H38" s="105"/>
      <c r="I38" s="59"/>
      <c r="J38" s="105"/>
      <c r="K38" s="59"/>
      <c r="L38" s="105"/>
      <c r="M38" s="59"/>
      <c r="N38" s="59"/>
      <c r="O38" s="59"/>
      <c r="P38" s="105">
        <v>2</v>
      </c>
      <c r="Q38" s="105"/>
      <c r="R38" s="105"/>
      <c r="S38" s="105"/>
      <c r="T38" s="60">
        <f t="shared" si="39"/>
        <v>0</v>
      </c>
      <c r="U38" s="60">
        <f t="shared" si="39"/>
        <v>0</v>
      </c>
      <c r="V38" s="60">
        <f t="shared" si="39"/>
        <v>0</v>
      </c>
      <c r="W38" s="60">
        <f t="shared" si="39"/>
        <v>0</v>
      </c>
      <c r="X38" s="60">
        <f t="shared" si="39"/>
        <v>0</v>
      </c>
      <c r="Y38" s="60">
        <f t="shared" si="39"/>
        <v>0</v>
      </c>
      <c r="Z38" s="60">
        <f t="shared" si="39"/>
        <v>0</v>
      </c>
      <c r="AA38" s="60">
        <f t="shared" si="39"/>
        <v>0</v>
      </c>
      <c r="AB38" s="60">
        <f t="shared" si="39"/>
        <v>0</v>
      </c>
      <c r="AC38" s="60">
        <f t="shared" si="39"/>
        <v>0</v>
      </c>
      <c r="AD38" s="60">
        <f t="shared" si="39"/>
        <v>0</v>
      </c>
      <c r="AE38" s="60">
        <f t="shared" si="39"/>
        <v>331.95623999999998</v>
      </c>
      <c r="AF38" s="60">
        <f t="shared" si="39"/>
        <v>0</v>
      </c>
      <c r="AG38" s="60">
        <f t="shared" si="39"/>
        <v>0</v>
      </c>
      <c r="AH38" s="60">
        <f t="shared" si="39"/>
        <v>0</v>
      </c>
      <c r="AI38" s="61"/>
      <c r="AJ38" s="60">
        <f t="shared" si="40"/>
        <v>331.95623999999998</v>
      </c>
    </row>
    <row r="39" spans="1:36" ht="15" customHeight="1" x14ac:dyDescent="0.4">
      <c r="A39" s="46">
        <v>7</v>
      </c>
      <c r="B39" s="47" t="s">
        <v>124</v>
      </c>
      <c r="C39" s="48" t="s">
        <v>125</v>
      </c>
      <c r="D39" s="49">
        <f>VLOOKUP(C39,'[1]PREÇO ATUAL'!$A:$D,4,0)</f>
        <v>33.6224930838505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52">
        <v>0</v>
      </c>
      <c r="U39" s="52">
        <f t="shared" ref="U39:AH40" si="41">$D39*F39</f>
        <v>0</v>
      </c>
      <c r="V39" s="52">
        <f t="shared" si="41"/>
        <v>0</v>
      </c>
      <c r="W39" s="52">
        <f t="shared" si="41"/>
        <v>0</v>
      </c>
      <c r="X39" s="52">
        <f t="shared" si="41"/>
        <v>0</v>
      </c>
      <c r="Y39" s="52">
        <f t="shared" si="41"/>
        <v>0</v>
      </c>
      <c r="Z39" s="52">
        <f t="shared" si="41"/>
        <v>0</v>
      </c>
      <c r="AA39" s="52">
        <f t="shared" si="41"/>
        <v>0</v>
      </c>
      <c r="AB39" s="52">
        <f t="shared" si="41"/>
        <v>0</v>
      </c>
      <c r="AC39" s="52">
        <f t="shared" si="41"/>
        <v>0</v>
      </c>
      <c r="AD39" s="52">
        <f t="shared" si="41"/>
        <v>0</v>
      </c>
      <c r="AE39" s="52">
        <f t="shared" si="41"/>
        <v>0</v>
      </c>
      <c r="AF39" s="52">
        <f t="shared" si="41"/>
        <v>0</v>
      </c>
      <c r="AG39" s="52">
        <f t="shared" si="41"/>
        <v>0</v>
      </c>
      <c r="AH39" s="52">
        <f t="shared" si="41"/>
        <v>0</v>
      </c>
      <c r="AI39" s="53" t="e">
        <f>AJ39/$AI$2</f>
        <v>#N/A</v>
      </c>
      <c r="AJ39" s="52">
        <f t="shared" si="40"/>
        <v>0</v>
      </c>
    </row>
    <row r="40" spans="1:36" ht="15" customHeight="1" x14ac:dyDescent="0.4">
      <c r="A40" s="54">
        <v>8</v>
      </c>
      <c r="B40" s="55" t="s">
        <v>215</v>
      </c>
      <c r="C40" s="56" t="s">
        <v>127</v>
      </c>
      <c r="D40" s="57">
        <f>VLOOKUP(C40,'[1]PREÇO ATUAL'!$A:$D,4,0)</f>
        <v>81.260000000000005</v>
      </c>
      <c r="E40" s="73">
        <v>3.4</v>
      </c>
      <c r="F40" s="73">
        <v>3.4</v>
      </c>
      <c r="G40" s="73">
        <v>3.4</v>
      </c>
      <c r="H40" s="73">
        <v>3.4</v>
      </c>
      <c r="I40" s="74">
        <v>3.4</v>
      </c>
      <c r="J40" s="74">
        <v>3.4</v>
      </c>
      <c r="K40" s="74">
        <v>3.4</v>
      </c>
      <c r="L40" s="74">
        <v>3.4</v>
      </c>
      <c r="M40" s="74">
        <v>3.4</v>
      </c>
      <c r="N40" s="74">
        <v>3.4</v>
      </c>
      <c r="O40" s="57">
        <v>3.4</v>
      </c>
      <c r="P40" s="57">
        <v>3.4</v>
      </c>
      <c r="Q40" s="57">
        <v>3.4</v>
      </c>
      <c r="R40" s="57">
        <v>3.4</v>
      </c>
      <c r="S40" s="57">
        <v>3.4</v>
      </c>
      <c r="T40" s="60">
        <f>$D40*E40</f>
        <v>276.28399999999999</v>
      </c>
      <c r="U40" s="60">
        <f t="shared" si="41"/>
        <v>276.28399999999999</v>
      </c>
      <c r="V40" s="60">
        <f t="shared" si="41"/>
        <v>276.28399999999999</v>
      </c>
      <c r="W40" s="60">
        <f t="shared" si="41"/>
        <v>276.28399999999999</v>
      </c>
      <c r="X40" s="60">
        <f t="shared" si="41"/>
        <v>276.28399999999999</v>
      </c>
      <c r="Y40" s="60">
        <f t="shared" si="41"/>
        <v>276.28399999999999</v>
      </c>
      <c r="Z40" s="60">
        <f t="shared" si="41"/>
        <v>276.28399999999999</v>
      </c>
      <c r="AA40" s="60">
        <f t="shared" si="41"/>
        <v>276.28399999999999</v>
      </c>
      <c r="AB40" s="60">
        <f t="shared" si="41"/>
        <v>276.28399999999999</v>
      </c>
      <c r="AC40" s="60">
        <f t="shared" si="41"/>
        <v>276.28399999999999</v>
      </c>
      <c r="AD40" s="60">
        <f t="shared" si="41"/>
        <v>276.28399999999999</v>
      </c>
      <c r="AE40" s="60">
        <f t="shared" si="41"/>
        <v>276.28399999999999</v>
      </c>
      <c r="AF40" s="60">
        <f t="shared" si="41"/>
        <v>276.28399999999999</v>
      </c>
      <c r="AG40" s="60">
        <f t="shared" si="41"/>
        <v>276.28399999999999</v>
      </c>
      <c r="AH40" s="60">
        <f t="shared" si="41"/>
        <v>276.28399999999999</v>
      </c>
      <c r="AI40" s="61" t="e">
        <f>AJ40/$AI$2</f>
        <v>#N/A</v>
      </c>
      <c r="AJ40" s="60">
        <f t="shared" si="40"/>
        <v>4144.2600000000011</v>
      </c>
    </row>
    <row r="41" spans="1:36" ht="15" customHeight="1" x14ac:dyDescent="0.4">
      <c r="A41" s="46">
        <v>9</v>
      </c>
      <c r="B41" s="47" t="s">
        <v>128</v>
      </c>
      <c r="C41" s="48" t="s">
        <v>54</v>
      </c>
      <c r="D41" s="49" t="e">
        <f>VLOOKUP(C41,'[1]PREÇO ATUAL'!$A:$D,4,0)</f>
        <v>#N/A</v>
      </c>
      <c r="E41" s="75">
        <v>0.8</v>
      </c>
      <c r="F41" s="75">
        <v>1</v>
      </c>
      <c r="G41" s="75">
        <v>0.85</v>
      </c>
      <c r="H41" s="75">
        <v>1.35</v>
      </c>
      <c r="I41" s="75">
        <v>0.95</v>
      </c>
      <c r="J41" s="75">
        <v>1.1000000000000001</v>
      </c>
      <c r="K41" s="75">
        <v>0.8</v>
      </c>
      <c r="L41" s="75">
        <v>1.35</v>
      </c>
      <c r="M41" s="75">
        <v>0.85</v>
      </c>
      <c r="N41" s="75">
        <v>1.1499999999999999</v>
      </c>
      <c r="O41" s="75">
        <v>0.85</v>
      </c>
      <c r="P41" s="75">
        <v>2.75</v>
      </c>
      <c r="Q41" s="75">
        <v>0.85</v>
      </c>
      <c r="R41" s="75">
        <v>1.5</v>
      </c>
      <c r="S41" s="75">
        <v>0.85</v>
      </c>
      <c r="T41" s="52" t="e">
        <f t="shared" ref="T41:AH41" si="42">$D$41*E41</f>
        <v>#N/A</v>
      </c>
      <c r="U41" s="52" t="e">
        <f t="shared" si="42"/>
        <v>#N/A</v>
      </c>
      <c r="V41" s="52" t="e">
        <f t="shared" si="42"/>
        <v>#N/A</v>
      </c>
      <c r="W41" s="52" t="e">
        <f t="shared" si="42"/>
        <v>#N/A</v>
      </c>
      <c r="X41" s="52" t="e">
        <f t="shared" si="42"/>
        <v>#N/A</v>
      </c>
      <c r="Y41" s="52" t="e">
        <f t="shared" si="42"/>
        <v>#N/A</v>
      </c>
      <c r="Z41" s="52" t="e">
        <f t="shared" si="42"/>
        <v>#N/A</v>
      </c>
      <c r="AA41" s="52" t="e">
        <f t="shared" si="42"/>
        <v>#N/A</v>
      </c>
      <c r="AB41" s="52" t="e">
        <f t="shared" si="42"/>
        <v>#N/A</v>
      </c>
      <c r="AC41" s="52" t="e">
        <f t="shared" si="42"/>
        <v>#N/A</v>
      </c>
      <c r="AD41" s="52" t="e">
        <f t="shared" si="42"/>
        <v>#N/A</v>
      </c>
      <c r="AE41" s="52" t="e">
        <f t="shared" si="42"/>
        <v>#N/A</v>
      </c>
      <c r="AF41" s="52" t="e">
        <f t="shared" si="42"/>
        <v>#N/A</v>
      </c>
      <c r="AG41" s="52" t="e">
        <f t="shared" si="42"/>
        <v>#N/A</v>
      </c>
      <c r="AH41" s="52" t="e">
        <f t="shared" si="42"/>
        <v>#N/A</v>
      </c>
      <c r="AI41" s="53" t="e">
        <f>AJ41/$AI$2</f>
        <v>#N/A</v>
      </c>
      <c r="AJ41" s="52" t="e">
        <f t="shared" si="40"/>
        <v>#N/A</v>
      </c>
    </row>
    <row r="44" spans="1:36" ht="15.75" customHeight="1" x14ac:dyDescent="0.4"/>
    <row r="45" spans="1:36" ht="15.75" customHeight="1" x14ac:dyDescent="0.4"/>
    <row r="46" spans="1:36" ht="15.75" customHeight="1" x14ac:dyDescent="0.4"/>
    <row r="47" spans="1:36" ht="15.75" customHeight="1" x14ac:dyDescent="0.4"/>
    <row r="48" spans="1:36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</sheetData>
  <mergeCells count="15">
    <mergeCell ref="AI31:AJ31"/>
    <mergeCell ref="AI30:AJ30"/>
    <mergeCell ref="AI15:AJ15"/>
    <mergeCell ref="AI1:AJ1"/>
    <mergeCell ref="T1:AH1"/>
    <mergeCell ref="AI2:AJ2"/>
    <mergeCell ref="AI16:AJ16"/>
    <mergeCell ref="E30:S30"/>
    <mergeCell ref="T30:AH30"/>
    <mergeCell ref="A30:D31"/>
    <mergeCell ref="A1:D2"/>
    <mergeCell ref="E15:S15"/>
    <mergeCell ref="T15:AH15"/>
    <mergeCell ref="E1:S1"/>
    <mergeCell ref="A15:D16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</sheetPr>
  <dimension ref="A1:AJ985"/>
  <sheetViews>
    <sheetView showGridLines="0" zoomScaleNormal="100" workbookViewId="0">
      <pane xSplit="4" topLeftCell="E1" activePane="topRight" state="frozen"/>
      <selection pane="topRight" activeCell="H31" sqref="H31"/>
    </sheetView>
  </sheetViews>
  <sheetFormatPr defaultColWidth="14.4609375" defaultRowHeight="14.6" x14ac:dyDescent="0.4"/>
  <cols>
    <col min="1" max="1" width="3.69140625" customWidth="1"/>
    <col min="2" max="2" width="50" customWidth="1"/>
    <col min="3" max="3" width="16.84375" customWidth="1"/>
    <col min="4" max="4" width="8.69140625" customWidth="1"/>
    <col min="5" max="19" width="5.15234375" customWidth="1"/>
    <col min="20" max="20" width="14.15234375" customWidth="1"/>
    <col min="21" max="22" width="13.4609375" customWidth="1"/>
    <col min="23" max="23" width="15.3828125" customWidth="1"/>
    <col min="24" max="24" width="13.4609375" customWidth="1"/>
    <col min="25" max="25" width="15.3828125" customWidth="1"/>
    <col min="26" max="26" width="13.4609375" customWidth="1"/>
    <col min="27" max="27" width="15.3828125" customWidth="1"/>
    <col min="28" max="28" width="15.69140625" customWidth="1"/>
    <col min="29" max="30" width="13.69140625" customWidth="1"/>
    <col min="31" max="31" width="15.69140625" customWidth="1"/>
    <col min="32" max="34" width="13.69140625" customWidth="1"/>
    <col min="35" max="35" width="9.15234375" customWidth="1"/>
    <col min="36" max="36" width="15.53515625" customWidth="1"/>
  </cols>
  <sheetData>
    <row r="1" spans="1:36" ht="15.75" customHeight="1" x14ac:dyDescent="0.4">
      <c r="A1" s="239" t="s">
        <v>216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e">
        <f t="shared" ref="T2:AH2" si="0">MROUND(SUM(T4:T10),1)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2">
        <f>AC3+10000</f>
        <v>110000</v>
      </c>
      <c r="AE3" s="42">
        <f>AD3+10000</f>
        <v>120000</v>
      </c>
      <c r="AF3" s="42">
        <f>AE3+10000</f>
        <v>130000</v>
      </c>
      <c r="AG3" s="42">
        <f>AF3+10000</f>
        <v>140000</v>
      </c>
      <c r="AH3" s="42">
        <f>AG3+10000</f>
        <v>150000</v>
      </c>
      <c r="AI3" s="45" t="e">
        <f>SUM(AI4:AI10)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184</v>
      </c>
      <c r="D4" s="49">
        <f>VLOOKUP(C4,'[1]PREÇO ATUAL'!$A:$D,4,0)</f>
        <v>112.46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0">
        <v>1</v>
      </c>
      <c r="P4" s="50">
        <v>1</v>
      </c>
      <c r="Q4" s="50">
        <v>1</v>
      </c>
      <c r="R4" s="50">
        <v>1</v>
      </c>
      <c r="S4" s="50">
        <v>1</v>
      </c>
      <c r="T4" s="52">
        <f t="shared" ref="T4:AH9" si="1">$D4*E4</f>
        <v>112.46</v>
      </c>
      <c r="U4" s="52">
        <f t="shared" si="1"/>
        <v>112.46</v>
      </c>
      <c r="V4" s="52">
        <f t="shared" si="1"/>
        <v>112.46</v>
      </c>
      <c r="W4" s="52">
        <f t="shared" si="1"/>
        <v>112.46</v>
      </c>
      <c r="X4" s="52">
        <f t="shared" si="1"/>
        <v>112.46</v>
      </c>
      <c r="Y4" s="52">
        <f t="shared" si="1"/>
        <v>112.46</v>
      </c>
      <c r="Z4" s="52">
        <f t="shared" si="1"/>
        <v>112.46</v>
      </c>
      <c r="AA4" s="52">
        <f t="shared" si="1"/>
        <v>112.46</v>
      </c>
      <c r="AB4" s="52">
        <f t="shared" si="1"/>
        <v>112.46</v>
      </c>
      <c r="AC4" s="79">
        <f t="shared" si="1"/>
        <v>112.46</v>
      </c>
      <c r="AD4" s="79">
        <f t="shared" si="1"/>
        <v>112.46</v>
      </c>
      <c r="AE4" s="79">
        <f t="shared" si="1"/>
        <v>112.46</v>
      </c>
      <c r="AF4" s="79">
        <f t="shared" si="1"/>
        <v>112.46</v>
      </c>
      <c r="AG4" s="79">
        <f t="shared" si="1"/>
        <v>112.46</v>
      </c>
      <c r="AH4" s="79">
        <f t="shared" si="1"/>
        <v>112.46</v>
      </c>
      <c r="AI4" s="82" t="e">
        <f t="shared" ref="AI4:AI10" si="2">AJ4/$AI$2</f>
        <v>#N/A</v>
      </c>
      <c r="AJ4" s="52">
        <f t="shared" ref="AJ4:AJ10" si="3">SUM(T4:AH4)</f>
        <v>1686.9000000000003</v>
      </c>
    </row>
    <row r="5" spans="1:36" ht="15" customHeight="1" x14ac:dyDescent="0.4">
      <c r="A5" s="54">
        <v>2</v>
      </c>
      <c r="B5" s="55" t="s">
        <v>114</v>
      </c>
      <c r="C5" s="56" t="s">
        <v>185</v>
      </c>
      <c r="D5" s="57">
        <f>VLOOKUP(C5,'[1]PREÇO ATUAL'!$A:$D,4,0)</f>
        <v>35.9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8">
        <v>1</v>
      </c>
      <c r="O5" s="58">
        <v>1</v>
      </c>
      <c r="P5" s="58">
        <v>1</v>
      </c>
      <c r="Q5" s="58">
        <v>1</v>
      </c>
      <c r="R5" s="58">
        <v>1</v>
      </c>
      <c r="S5" s="58">
        <v>1</v>
      </c>
      <c r="T5" s="60">
        <f t="shared" si="1"/>
        <v>35.9</v>
      </c>
      <c r="U5" s="60">
        <f t="shared" si="1"/>
        <v>35.9</v>
      </c>
      <c r="V5" s="60">
        <f t="shared" si="1"/>
        <v>35.9</v>
      </c>
      <c r="W5" s="60">
        <f t="shared" si="1"/>
        <v>35.9</v>
      </c>
      <c r="X5" s="60">
        <f t="shared" si="1"/>
        <v>35.9</v>
      </c>
      <c r="Y5" s="60">
        <f t="shared" si="1"/>
        <v>35.9</v>
      </c>
      <c r="Z5" s="60">
        <f t="shared" si="1"/>
        <v>35.9</v>
      </c>
      <c r="AA5" s="60">
        <f t="shared" si="1"/>
        <v>35.9</v>
      </c>
      <c r="AB5" s="60">
        <f t="shared" si="1"/>
        <v>35.9</v>
      </c>
      <c r="AC5" s="80">
        <f t="shared" si="1"/>
        <v>35.9</v>
      </c>
      <c r="AD5" s="80">
        <f t="shared" si="1"/>
        <v>35.9</v>
      </c>
      <c r="AE5" s="80">
        <f t="shared" si="1"/>
        <v>35.9</v>
      </c>
      <c r="AF5" s="80">
        <f t="shared" si="1"/>
        <v>35.9</v>
      </c>
      <c r="AG5" s="80">
        <f t="shared" si="1"/>
        <v>35.9</v>
      </c>
      <c r="AH5" s="80">
        <f t="shared" si="1"/>
        <v>35.9</v>
      </c>
      <c r="AI5" s="83" t="e">
        <f t="shared" si="2"/>
        <v>#N/A</v>
      </c>
      <c r="AJ5" s="60">
        <f t="shared" si="3"/>
        <v>538.49999999999989</v>
      </c>
    </row>
    <row r="6" spans="1:36" ht="15" customHeight="1" x14ac:dyDescent="0.4">
      <c r="A6" s="46">
        <v>3</v>
      </c>
      <c r="B6" s="47" t="s">
        <v>116</v>
      </c>
      <c r="C6" s="48" t="s">
        <v>186</v>
      </c>
      <c r="D6" s="49">
        <f>VLOOKUP(C6,'[1]PREÇO ATUAL'!$A:$D,4,0)</f>
        <v>180.21</v>
      </c>
      <c r="E6" s="50"/>
      <c r="F6" s="50"/>
      <c r="G6" s="50">
        <v>1</v>
      </c>
      <c r="H6" s="50"/>
      <c r="I6" s="51"/>
      <c r="J6" s="51">
        <v>1</v>
      </c>
      <c r="K6" s="51"/>
      <c r="L6" s="51"/>
      <c r="M6" s="51">
        <v>1</v>
      </c>
      <c r="N6" s="50"/>
      <c r="O6" s="71"/>
      <c r="P6" s="51">
        <v>1</v>
      </c>
      <c r="Q6" s="51"/>
      <c r="R6" s="51"/>
      <c r="S6" s="51">
        <v>1</v>
      </c>
      <c r="T6" s="52">
        <f t="shared" si="1"/>
        <v>0</v>
      </c>
      <c r="U6" s="52">
        <f t="shared" si="1"/>
        <v>0</v>
      </c>
      <c r="V6" s="52">
        <f t="shared" si="1"/>
        <v>180.21</v>
      </c>
      <c r="W6" s="52">
        <f t="shared" si="1"/>
        <v>0</v>
      </c>
      <c r="X6" s="52">
        <f t="shared" si="1"/>
        <v>0</v>
      </c>
      <c r="Y6" s="52">
        <f t="shared" si="1"/>
        <v>180.21</v>
      </c>
      <c r="Z6" s="52">
        <f t="shared" si="1"/>
        <v>0</v>
      </c>
      <c r="AA6" s="52">
        <f t="shared" si="1"/>
        <v>0</v>
      </c>
      <c r="AB6" s="52">
        <f t="shared" si="1"/>
        <v>180.21</v>
      </c>
      <c r="AC6" s="79">
        <f t="shared" si="1"/>
        <v>0</v>
      </c>
      <c r="AD6" s="79">
        <f t="shared" si="1"/>
        <v>0</v>
      </c>
      <c r="AE6" s="79">
        <f t="shared" si="1"/>
        <v>180.21</v>
      </c>
      <c r="AF6" s="79">
        <f t="shared" si="1"/>
        <v>0</v>
      </c>
      <c r="AG6" s="79">
        <f t="shared" si="1"/>
        <v>0</v>
      </c>
      <c r="AH6" s="79">
        <f t="shared" si="1"/>
        <v>180.21</v>
      </c>
      <c r="AI6" s="82" t="e">
        <f t="shared" si="2"/>
        <v>#N/A</v>
      </c>
      <c r="AJ6" s="52">
        <f t="shared" si="3"/>
        <v>901.05000000000007</v>
      </c>
    </row>
    <row r="7" spans="1:36" ht="15" customHeight="1" x14ac:dyDescent="0.4">
      <c r="A7" s="54">
        <v>4</v>
      </c>
      <c r="B7" s="55" t="s">
        <v>118</v>
      </c>
      <c r="C7" s="56" t="s">
        <v>187</v>
      </c>
      <c r="D7" s="57">
        <f>VLOOKUP(C7,'[1]PREÇO ATUAL'!$A:$D,4,0)</f>
        <v>155.01</v>
      </c>
      <c r="E7" s="58"/>
      <c r="F7" s="58"/>
      <c r="G7" s="58"/>
      <c r="H7" s="58"/>
      <c r="I7" s="59"/>
      <c r="J7" s="59">
        <v>3</v>
      </c>
      <c r="K7" s="59"/>
      <c r="L7" s="59"/>
      <c r="M7" s="59"/>
      <c r="N7" s="58"/>
      <c r="O7" s="70"/>
      <c r="P7" s="59">
        <v>3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60">
        <f t="shared" si="1"/>
        <v>465.03</v>
      </c>
      <c r="Z7" s="60">
        <f t="shared" si="1"/>
        <v>0</v>
      </c>
      <c r="AA7" s="60">
        <f t="shared" si="1"/>
        <v>0</v>
      </c>
      <c r="AB7" s="60">
        <f t="shared" si="1"/>
        <v>0</v>
      </c>
      <c r="AC7" s="80">
        <f t="shared" si="1"/>
        <v>0</v>
      </c>
      <c r="AD7" s="80">
        <f t="shared" si="1"/>
        <v>0</v>
      </c>
      <c r="AE7" s="80">
        <f t="shared" si="1"/>
        <v>465.03</v>
      </c>
      <c r="AF7" s="80">
        <f t="shared" si="1"/>
        <v>0</v>
      </c>
      <c r="AG7" s="80">
        <f t="shared" si="1"/>
        <v>0</v>
      </c>
      <c r="AH7" s="80">
        <f t="shared" si="1"/>
        <v>0</v>
      </c>
      <c r="AI7" s="83" t="e">
        <f t="shared" si="2"/>
        <v>#N/A</v>
      </c>
      <c r="AJ7" s="60">
        <f t="shared" si="3"/>
        <v>930.06</v>
      </c>
    </row>
    <row r="8" spans="1:36" ht="15" customHeight="1" x14ac:dyDescent="0.4">
      <c r="A8" s="46">
        <v>5</v>
      </c>
      <c r="B8" s="47" t="s">
        <v>124</v>
      </c>
      <c r="C8" s="48" t="s">
        <v>125</v>
      </c>
      <c r="D8" s="49">
        <f>VLOOKUP(C8,'[1]PREÇO ATUAL'!$A:$D,4,0)</f>
        <v>33.6224930838505</v>
      </c>
      <c r="E8" s="50"/>
      <c r="F8" s="50"/>
      <c r="G8" s="50"/>
      <c r="H8" s="50"/>
      <c r="I8" s="51"/>
      <c r="J8" s="51"/>
      <c r="K8" s="51"/>
      <c r="L8" s="51"/>
      <c r="M8" s="51"/>
      <c r="N8" s="50"/>
      <c r="O8" s="71"/>
      <c r="P8" s="51"/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0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79">
        <f t="shared" si="1"/>
        <v>0</v>
      </c>
      <c r="AD8" s="79">
        <f t="shared" si="1"/>
        <v>0</v>
      </c>
      <c r="AE8" s="79">
        <f t="shared" si="1"/>
        <v>0</v>
      </c>
      <c r="AF8" s="79">
        <f t="shared" si="1"/>
        <v>0</v>
      </c>
      <c r="AG8" s="79">
        <f t="shared" si="1"/>
        <v>0</v>
      </c>
      <c r="AH8" s="79">
        <f t="shared" si="1"/>
        <v>0</v>
      </c>
      <c r="AI8" s="82" t="e">
        <f t="shared" si="2"/>
        <v>#N/A</v>
      </c>
      <c r="AJ8" s="52">
        <f t="shared" si="3"/>
        <v>0</v>
      </c>
    </row>
    <row r="9" spans="1:36" ht="15" customHeight="1" x14ac:dyDescent="0.4">
      <c r="A9" s="54">
        <v>6</v>
      </c>
      <c r="B9" s="55" t="s">
        <v>188</v>
      </c>
      <c r="C9" s="56" t="s">
        <v>189</v>
      </c>
      <c r="D9" s="57">
        <f>VLOOKUP(C9,'[1]PREÇO ATUAL'!$A:$D,4,0)</f>
        <v>87.82</v>
      </c>
      <c r="E9" s="73">
        <v>3.5</v>
      </c>
      <c r="F9" s="73">
        <v>3.5</v>
      </c>
      <c r="G9" s="73">
        <v>3.5</v>
      </c>
      <c r="H9" s="73">
        <v>3.5</v>
      </c>
      <c r="I9" s="73">
        <v>3.5</v>
      </c>
      <c r="J9" s="73">
        <v>3.5</v>
      </c>
      <c r="K9" s="73">
        <v>3.5</v>
      </c>
      <c r="L9" s="73">
        <v>3.5</v>
      </c>
      <c r="M9" s="73">
        <v>3.5</v>
      </c>
      <c r="N9" s="73">
        <v>3.5</v>
      </c>
      <c r="O9" s="73">
        <v>3.5</v>
      </c>
      <c r="P9" s="73">
        <v>3.5</v>
      </c>
      <c r="Q9" s="73">
        <v>3.5</v>
      </c>
      <c r="R9" s="73">
        <v>3.5</v>
      </c>
      <c r="S9" s="73">
        <v>3.5</v>
      </c>
      <c r="T9" s="60">
        <f t="shared" si="1"/>
        <v>307.37</v>
      </c>
      <c r="U9" s="60">
        <f t="shared" si="1"/>
        <v>307.37</v>
      </c>
      <c r="V9" s="60">
        <f t="shared" si="1"/>
        <v>307.37</v>
      </c>
      <c r="W9" s="60">
        <f t="shared" si="1"/>
        <v>307.37</v>
      </c>
      <c r="X9" s="60">
        <f t="shared" si="1"/>
        <v>307.37</v>
      </c>
      <c r="Y9" s="60">
        <f t="shared" si="1"/>
        <v>307.37</v>
      </c>
      <c r="Z9" s="60">
        <f t="shared" si="1"/>
        <v>307.37</v>
      </c>
      <c r="AA9" s="60">
        <f t="shared" si="1"/>
        <v>307.37</v>
      </c>
      <c r="AB9" s="60">
        <f t="shared" si="1"/>
        <v>307.37</v>
      </c>
      <c r="AC9" s="80">
        <f t="shared" si="1"/>
        <v>307.37</v>
      </c>
      <c r="AD9" s="80">
        <f t="shared" si="1"/>
        <v>307.37</v>
      </c>
      <c r="AE9" s="80">
        <f t="shared" si="1"/>
        <v>307.37</v>
      </c>
      <c r="AF9" s="80">
        <f t="shared" si="1"/>
        <v>307.37</v>
      </c>
      <c r="AG9" s="80">
        <f t="shared" si="1"/>
        <v>307.37</v>
      </c>
      <c r="AH9" s="80">
        <f t="shared" si="1"/>
        <v>307.37</v>
      </c>
      <c r="AI9" s="83" t="e">
        <f t="shared" si="2"/>
        <v>#N/A</v>
      </c>
      <c r="AJ9" s="60">
        <f t="shared" si="3"/>
        <v>4610.5499999999993</v>
      </c>
    </row>
    <row r="10" spans="1:36" ht="15" customHeight="1" x14ac:dyDescent="0.4">
      <c r="A10" s="46">
        <v>7</v>
      </c>
      <c r="B10" s="47" t="s">
        <v>128</v>
      </c>
      <c r="C10" s="48" t="s">
        <v>54</v>
      </c>
      <c r="D10" s="49" t="e">
        <f>VLOOKUP(C10,'[1]PREÇO ATUAL'!$A:$D,4,0)</f>
        <v>#N/A</v>
      </c>
      <c r="E10" s="63">
        <v>0.85</v>
      </c>
      <c r="F10" s="63">
        <v>0.9</v>
      </c>
      <c r="G10" s="63">
        <v>0.85</v>
      </c>
      <c r="H10" s="63">
        <v>0.9</v>
      </c>
      <c r="I10" s="49">
        <v>0.95</v>
      </c>
      <c r="J10" s="49">
        <v>1.05</v>
      </c>
      <c r="K10" s="49">
        <v>0.85</v>
      </c>
      <c r="L10" s="49">
        <v>0.9</v>
      </c>
      <c r="M10" s="49">
        <v>0.85</v>
      </c>
      <c r="N10" s="63">
        <v>1</v>
      </c>
      <c r="O10" s="109">
        <v>0.85</v>
      </c>
      <c r="P10" s="49">
        <v>1.25</v>
      </c>
      <c r="Q10" s="49">
        <v>0.85</v>
      </c>
      <c r="R10" s="49">
        <v>0.9</v>
      </c>
      <c r="S10" s="49">
        <v>0.95</v>
      </c>
      <c r="T10" s="52" t="e">
        <f>D10*E10</f>
        <v>#N/A</v>
      </c>
      <c r="U10" s="52" t="e">
        <f t="shared" ref="U10:AH10" si="4">$D10*F10</f>
        <v>#N/A</v>
      </c>
      <c r="V10" s="52" t="e">
        <f t="shared" si="4"/>
        <v>#N/A</v>
      </c>
      <c r="W10" s="52" t="e">
        <f t="shared" si="4"/>
        <v>#N/A</v>
      </c>
      <c r="X10" s="52" t="e">
        <f t="shared" si="4"/>
        <v>#N/A</v>
      </c>
      <c r="Y10" s="52" t="e">
        <f t="shared" si="4"/>
        <v>#N/A</v>
      </c>
      <c r="Z10" s="52" t="e">
        <f t="shared" si="4"/>
        <v>#N/A</v>
      </c>
      <c r="AA10" s="52" t="e">
        <f t="shared" si="4"/>
        <v>#N/A</v>
      </c>
      <c r="AB10" s="52" t="e">
        <f t="shared" si="4"/>
        <v>#N/A</v>
      </c>
      <c r="AC10" s="79" t="e">
        <f t="shared" si="4"/>
        <v>#N/A</v>
      </c>
      <c r="AD10" s="79" t="e">
        <f t="shared" si="4"/>
        <v>#N/A</v>
      </c>
      <c r="AE10" s="79" t="e">
        <f t="shared" si="4"/>
        <v>#N/A</v>
      </c>
      <c r="AF10" s="79" t="e">
        <f t="shared" si="4"/>
        <v>#N/A</v>
      </c>
      <c r="AG10" s="79" t="e">
        <f t="shared" si="4"/>
        <v>#N/A</v>
      </c>
      <c r="AH10" s="79" t="e">
        <f t="shared" si="4"/>
        <v>#N/A</v>
      </c>
      <c r="AI10" s="82" t="e">
        <f t="shared" si="2"/>
        <v>#N/A</v>
      </c>
      <c r="AJ10" s="52" t="e">
        <f t="shared" si="3"/>
        <v>#N/A</v>
      </c>
    </row>
    <row r="11" spans="1:36" ht="15" customHeight="1" x14ac:dyDescent="0.4">
      <c r="H11" s="65"/>
    </row>
    <row r="12" spans="1:36" ht="15.75" customHeight="1" x14ac:dyDescent="0.4">
      <c r="A12" s="239" t="s">
        <v>217</v>
      </c>
      <c r="B12" s="211"/>
      <c r="C12" s="211"/>
      <c r="D12" s="212"/>
      <c r="E12" s="218" t="s">
        <v>1</v>
      </c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22" t="s">
        <v>2</v>
      </c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32" t="s">
        <v>3</v>
      </c>
      <c r="AJ12" s="209"/>
    </row>
    <row r="13" spans="1:36" ht="15" customHeight="1" x14ac:dyDescent="0.4">
      <c r="A13" s="234"/>
      <c r="B13" s="217"/>
      <c r="C13" s="217"/>
      <c r="D13" s="238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 t="e">
        <f t="shared" ref="T13:AH13" si="5">MROUND(SUM(T15:T22),1)</f>
        <v>#N/A</v>
      </c>
      <c r="U13" s="37" t="e">
        <f t="shared" si="5"/>
        <v>#N/A</v>
      </c>
      <c r="V13" s="37" t="e">
        <f t="shared" si="5"/>
        <v>#N/A</v>
      </c>
      <c r="W13" s="37" t="e">
        <f t="shared" si="5"/>
        <v>#N/A</v>
      </c>
      <c r="X13" s="37" t="e">
        <f t="shared" si="5"/>
        <v>#N/A</v>
      </c>
      <c r="Y13" s="37" t="e">
        <f t="shared" si="5"/>
        <v>#N/A</v>
      </c>
      <c r="Z13" s="37" t="e">
        <f t="shared" si="5"/>
        <v>#N/A</v>
      </c>
      <c r="AA13" s="37" t="e">
        <f t="shared" si="5"/>
        <v>#N/A</v>
      </c>
      <c r="AB13" s="37" t="e">
        <f t="shared" si="5"/>
        <v>#N/A</v>
      </c>
      <c r="AC13" s="37" t="e">
        <f t="shared" si="5"/>
        <v>#N/A</v>
      </c>
      <c r="AD13" s="37" t="e">
        <f t="shared" si="5"/>
        <v>#N/A</v>
      </c>
      <c r="AE13" s="37" t="e">
        <f t="shared" si="5"/>
        <v>#N/A</v>
      </c>
      <c r="AF13" s="37" t="e">
        <f t="shared" si="5"/>
        <v>#N/A</v>
      </c>
      <c r="AG13" s="37" t="e">
        <f t="shared" si="5"/>
        <v>#N/A</v>
      </c>
      <c r="AH13" s="37" t="e">
        <f t="shared" si="5"/>
        <v>#N/A</v>
      </c>
      <c r="AI13" s="208" t="e">
        <f>SUM(T13:AH13)</f>
        <v>#N/A</v>
      </c>
      <c r="AJ13" s="209"/>
    </row>
    <row r="14" spans="1:36" ht="15" customHeight="1" x14ac:dyDescent="0.4">
      <c r="A14" s="39" t="s">
        <v>5</v>
      </c>
      <c r="B14" s="39" t="s">
        <v>6</v>
      </c>
      <c r="C14" s="39" t="s">
        <v>7</v>
      </c>
      <c r="D14" s="41" t="s">
        <v>8</v>
      </c>
      <c r="E14" s="42" t="s">
        <v>102</v>
      </c>
      <c r="F14" s="42" t="s">
        <v>103</v>
      </c>
      <c r="G14" s="42" t="s">
        <v>104</v>
      </c>
      <c r="H14" s="42" t="s">
        <v>105</v>
      </c>
      <c r="I14" s="42" t="s">
        <v>106</v>
      </c>
      <c r="J14" s="42" t="s">
        <v>107</v>
      </c>
      <c r="K14" s="42" t="s">
        <v>108</v>
      </c>
      <c r="L14" s="42" t="s">
        <v>109</v>
      </c>
      <c r="M14" s="42" t="s">
        <v>110</v>
      </c>
      <c r="N14" s="42" t="s">
        <v>111</v>
      </c>
      <c r="O14" s="42" t="s">
        <v>203</v>
      </c>
      <c r="P14" s="42" t="s">
        <v>204</v>
      </c>
      <c r="Q14" s="42" t="s">
        <v>205</v>
      </c>
      <c r="R14" s="42" t="s">
        <v>206</v>
      </c>
      <c r="S14" s="42" t="s">
        <v>207</v>
      </c>
      <c r="T14" s="42">
        <v>10000</v>
      </c>
      <c r="U14" s="42">
        <v>20000</v>
      </c>
      <c r="V14" s="42">
        <v>30000</v>
      </c>
      <c r="W14" s="42">
        <v>40000</v>
      </c>
      <c r="X14" s="42">
        <v>50000</v>
      </c>
      <c r="Y14" s="42">
        <v>60000</v>
      </c>
      <c r="Z14" s="42">
        <v>70000</v>
      </c>
      <c r="AA14" s="42">
        <v>80000</v>
      </c>
      <c r="AB14" s="42">
        <v>90000</v>
      </c>
      <c r="AC14" s="42">
        <v>100000</v>
      </c>
      <c r="AD14" s="42">
        <f>AC14+10000</f>
        <v>110000</v>
      </c>
      <c r="AE14" s="42">
        <f>AD14+10000</f>
        <v>120000</v>
      </c>
      <c r="AF14" s="42">
        <f>AE14+10000</f>
        <v>130000</v>
      </c>
      <c r="AG14" s="42">
        <f>AF14+10000</f>
        <v>140000</v>
      </c>
      <c r="AH14" s="42">
        <f>AG14+10000</f>
        <v>150000</v>
      </c>
      <c r="AI14" s="45" t="e">
        <f>SUM(AI15:AI22)</f>
        <v>#N/A</v>
      </c>
      <c r="AJ14" s="39" t="s">
        <v>25</v>
      </c>
    </row>
    <row r="15" spans="1:36" ht="15" customHeight="1" x14ac:dyDescent="0.4">
      <c r="A15" s="46">
        <v>1</v>
      </c>
      <c r="B15" s="47" t="s">
        <v>112</v>
      </c>
      <c r="C15" s="48" t="s">
        <v>184</v>
      </c>
      <c r="D15" s="49">
        <f>VLOOKUP(C15,'[1]PREÇO ATUAL'!$A:$D,4,0)</f>
        <v>112.46</v>
      </c>
      <c r="E15" s="50">
        <v>1</v>
      </c>
      <c r="F15" s="50">
        <v>1</v>
      </c>
      <c r="G15" s="50">
        <v>1</v>
      </c>
      <c r="H15" s="50">
        <v>1</v>
      </c>
      <c r="I15" s="51">
        <v>1</v>
      </c>
      <c r="J15" s="51">
        <v>1</v>
      </c>
      <c r="K15" s="51">
        <v>1</v>
      </c>
      <c r="L15" s="51">
        <v>1</v>
      </c>
      <c r="M15" s="51">
        <v>1</v>
      </c>
      <c r="N15" s="50">
        <v>1</v>
      </c>
      <c r="O15" s="50">
        <v>1</v>
      </c>
      <c r="P15" s="50">
        <v>1</v>
      </c>
      <c r="Q15" s="50">
        <v>1</v>
      </c>
      <c r="R15" s="50">
        <v>1</v>
      </c>
      <c r="S15" s="50">
        <v>1</v>
      </c>
      <c r="T15" s="52">
        <f t="shared" ref="T15:AH21" si="6">$D15*E15</f>
        <v>112.46</v>
      </c>
      <c r="U15" s="52">
        <f t="shared" si="6"/>
        <v>112.46</v>
      </c>
      <c r="V15" s="52">
        <f t="shared" si="6"/>
        <v>112.46</v>
      </c>
      <c r="W15" s="52">
        <f t="shared" si="6"/>
        <v>112.46</v>
      </c>
      <c r="X15" s="52">
        <f t="shared" si="6"/>
        <v>112.46</v>
      </c>
      <c r="Y15" s="52">
        <f t="shared" si="6"/>
        <v>112.46</v>
      </c>
      <c r="Z15" s="52">
        <f t="shared" si="6"/>
        <v>112.46</v>
      </c>
      <c r="AA15" s="52">
        <f t="shared" si="6"/>
        <v>112.46</v>
      </c>
      <c r="AB15" s="52">
        <f t="shared" si="6"/>
        <v>112.46</v>
      </c>
      <c r="AC15" s="79">
        <f t="shared" si="6"/>
        <v>112.46</v>
      </c>
      <c r="AD15" s="79">
        <f t="shared" si="6"/>
        <v>112.46</v>
      </c>
      <c r="AE15" s="79">
        <f t="shared" si="6"/>
        <v>112.46</v>
      </c>
      <c r="AF15" s="79">
        <f t="shared" si="6"/>
        <v>112.46</v>
      </c>
      <c r="AG15" s="79">
        <f t="shared" si="6"/>
        <v>112.46</v>
      </c>
      <c r="AH15" s="79">
        <f t="shared" si="6"/>
        <v>112.46</v>
      </c>
      <c r="AI15" s="82" t="e">
        <f t="shared" ref="AI15:AI22" si="7">AJ15/$AI$2</f>
        <v>#N/A</v>
      </c>
      <c r="AJ15" s="52">
        <f t="shared" ref="AJ15:AJ22" si="8">SUM(T15:AH15)</f>
        <v>1686.9000000000003</v>
      </c>
    </row>
    <row r="16" spans="1:36" ht="15" customHeight="1" x14ac:dyDescent="0.4">
      <c r="A16" s="54">
        <v>2</v>
      </c>
      <c r="B16" s="55" t="s">
        <v>114</v>
      </c>
      <c r="C16" s="56" t="s">
        <v>185</v>
      </c>
      <c r="D16" s="57">
        <f>VLOOKUP(C16,'[1]PREÇO ATUAL'!$A:$D,4,0)</f>
        <v>35.9</v>
      </c>
      <c r="E16" s="58">
        <v>1</v>
      </c>
      <c r="F16" s="58">
        <v>1</v>
      </c>
      <c r="G16" s="58">
        <v>1</v>
      </c>
      <c r="H16" s="58">
        <v>1</v>
      </c>
      <c r="I16" s="59">
        <v>1</v>
      </c>
      <c r="J16" s="59">
        <v>1</v>
      </c>
      <c r="K16" s="59">
        <v>1</v>
      </c>
      <c r="L16" s="59">
        <v>1</v>
      </c>
      <c r="M16" s="59">
        <v>1</v>
      </c>
      <c r="N16" s="58">
        <v>1</v>
      </c>
      <c r="O16" s="58">
        <v>1</v>
      </c>
      <c r="P16" s="58">
        <v>1</v>
      </c>
      <c r="Q16" s="58">
        <v>1</v>
      </c>
      <c r="R16" s="58">
        <v>1</v>
      </c>
      <c r="S16" s="58">
        <v>1</v>
      </c>
      <c r="T16" s="60">
        <f t="shared" si="6"/>
        <v>35.9</v>
      </c>
      <c r="U16" s="60">
        <f t="shared" si="6"/>
        <v>35.9</v>
      </c>
      <c r="V16" s="60">
        <f t="shared" si="6"/>
        <v>35.9</v>
      </c>
      <c r="W16" s="60">
        <f t="shared" si="6"/>
        <v>35.9</v>
      </c>
      <c r="X16" s="60">
        <f t="shared" si="6"/>
        <v>35.9</v>
      </c>
      <c r="Y16" s="60">
        <f t="shared" si="6"/>
        <v>35.9</v>
      </c>
      <c r="Z16" s="60">
        <f t="shared" si="6"/>
        <v>35.9</v>
      </c>
      <c r="AA16" s="60">
        <f t="shared" si="6"/>
        <v>35.9</v>
      </c>
      <c r="AB16" s="60">
        <f t="shared" si="6"/>
        <v>35.9</v>
      </c>
      <c r="AC16" s="80">
        <f t="shared" si="6"/>
        <v>35.9</v>
      </c>
      <c r="AD16" s="80">
        <f t="shared" si="6"/>
        <v>35.9</v>
      </c>
      <c r="AE16" s="80">
        <f t="shared" si="6"/>
        <v>35.9</v>
      </c>
      <c r="AF16" s="80">
        <f t="shared" si="6"/>
        <v>35.9</v>
      </c>
      <c r="AG16" s="80">
        <f t="shared" si="6"/>
        <v>35.9</v>
      </c>
      <c r="AH16" s="80">
        <f t="shared" si="6"/>
        <v>35.9</v>
      </c>
      <c r="AI16" s="83" t="e">
        <f t="shared" si="7"/>
        <v>#N/A</v>
      </c>
      <c r="AJ16" s="60">
        <f t="shared" si="8"/>
        <v>538.49999999999989</v>
      </c>
    </row>
    <row r="17" spans="1:36" ht="15" customHeight="1" x14ac:dyDescent="0.4">
      <c r="A17" s="46">
        <v>3</v>
      </c>
      <c r="B17" s="47" t="s">
        <v>116</v>
      </c>
      <c r="C17" s="48" t="s">
        <v>186</v>
      </c>
      <c r="D17" s="49">
        <f>VLOOKUP(C17,'[1]PREÇO ATUAL'!$A:$D,4,0)</f>
        <v>180.21</v>
      </c>
      <c r="E17" s="50"/>
      <c r="F17" s="50"/>
      <c r="G17" s="50">
        <v>1</v>
      </c>
      <c r="H17" s="50"/>
      <c r="I17" s="51"/>
      <c r="J17" s="51">
        <v>1</v>
      </c>
      <c r="K17" s="51"/>
      <c r="L17" s="51"/>
      <c r="M17" s="51">
        <v>1</v>
      </c>
      <c r="N17" s="50"/>
      <c r="O17" s="71"/>
      <c r="P17" s="51">
        <v>1</v>
      </c>
      <c r="Q17" s="51"/>
      <c r="R17" s="51"/>
      <c r="S17" s="51">
        <v>1</v>
      </c>
      <c r="T17" s="52">
        <f t="shared" si="6"/>
        <v>0</v>
      </c>
      <c r="U17" s="52">
        <f t="shared" si="6"/>
        <v>0</v>
      </c>
      <c r="V17" s="52">
        <f t="shared" si="6"/>
        <v>180.21</v>
      </c>
      <c r="W17" s="52">
        <f t="shared" si="6"/>
        <v>0</v>
      </c>
      <c r="X17" s="52">
        <f t="shared" si="6"/>
        <v>0</v>
      </c>
      <c r="Y17" s="52">
        <f t="shared" si="6"/>
        <v>180.21</v>
      </c>
      <c r="Z17" s="52">
        <f t="shared" si="6"/>
        <v>0</v>
      </c>
      <c r="AA17" s="52">
        <f t="shared" si="6"/>
        <v>0</v>
      </c>
      <c r="AB17" s="52">
        <f t="shared" si="6"/>
        <v>180.21</v>
      </c>
      <c r="AC17" s="79">
        <f t="shared" si="6"/>
        <v>0</v>
      </c>
      <c r="AD17" s="79">
        <f t="shared" si="6"/>
        <v>0</v>
      </c>
      <c r="AE17" s="79">
        <f t="shared" si="6"/>
        <v>180.21</v>
      </c>
      <c r="AF17" s="79">
        <f t="shared" si="6"/>
        <v>0</v>
      </c>
      <c r="AG17" s="79">
        <f t="shared" si="6"/>
        <v>0</v>
      </c>
      <c r="AH17" s="79">
        <f t="shared" si="6"/>
        <v>180.21</v>
      </c>
      <c r="AI17" s="82" t="e">
        <f t="shared" si="7"/>
        <v>#N/A</v>
      </c>
      <c r="AJ17" s="52">
        <f t="shared" si="8"/>
        <v>901.05000000000007</v>
      </c>
    </row>
    <row r="18" spans="1:36" ht="15" customHeight="1" x14ac:dyDescent="0.4">
      <c r="A18" s="54">
        <v>4</v>
      </c>
      <c r="B18" s="55" t="s">
        <v>118</v>
      </c>
      <c r="C18" s="56" t="s">
        <v>187</v>
      </c>
      <c r="D18" s="57">
        <f>VLOOKUP(C18,'[1]PREÇO ATUAL'!$A:$D,4,0)</f>
        <v>155.01</v>
      </c>
      <c r="E18" s="58"/>
      <c r="F18" s="58"/>
      <c r="G18" s="58"/>
      <c r="H18" s="58"/>
      <c r="I18" s="59"/>
      <c r="J18" s="59">
        <v>3</v>
      </c>
      <c r="K18" s="59"/>
      <c r="L18" s="59"/>
      <c r="M18" s="59"/>
      <c r="N18" s="58"/>
      <c r="O18" s="70"/>
      <c r="P18" s="59">
        <v>3</v>
      </c>
      <c r="Q18" s="59"/>
      <c r="R18" s="59"/>
      <c r="S18" s="59"/>
      <c r="T18" s="60">
        <f t="shared" si="6"/>
        <v>0</v>
      </c>
      <c r="U18" s="60">
        <f t="shared" si="6"/>
        <v>0</v>
      </c>
      <c r="V18" s="60">
        <f t="shared" si="6"/>
        <v>0</v>
      </c>
      <c r="W18" s="60">
        <f t="shared" si="6"/>
        <v>0</v>
      </c>
      <c r="X18" s="60">
        <f t="shared" si="6"/>
        <v>0</v>
      </c>
      <c r="Y18" s="60">
        <f t="shared" si="6"/>
        <v>465.03</v>
      </c>
      <c r="Z18" s="60">
        <f t="shared" si="6"/>
        <v>0</v>
      </c>
      <c r="AA18" s="60">
        <f t="shared" si="6"/>
        <v>0</v>
      </c>
      <c r="AB18" s="60">
        <f t="shared" si="6"/>
        <v>0</v>
      </c>
      <c r="AC18" s="80">
        <f t="shared" si="6"/>
        <v>0</v>
      </c>
      <c r="AD18" s="80">
        <f t="shared" si="6"/>
        <v>0</v>
      </c>
      <c r="AE18" s="80">
        <f t="shared" si="6"/>
        <v>465.03</v>
      </c>
      <c r="AF18" s="80">
        <f t="shared" si="6"/>
        <v>0</v>
      </c>
      <c r="AG18" s="80">
        <f t="shared" si="6"/>
        <v>0</v>
      </c>
      <c r="AH18" s="80">
        <f t="shared" si="6"/>
        <v>0</v>
      </c>
      <c r="AI18" s="83" t="e">
        <f t="shared" si="7"/>
        <v>#N/A</v>
      </c>
      <c r="AJ18" s="60">
        <f t="shared" si="8"/>
        <v>930.06</v>
      </c>
    </row>
    <row r="19" spans="1:36" ht="15" customHeight="1" x14ac:dyDescent="0.4">
      <c r="A19" s="46">
        <v>5</v>
      </c>
      <c r="B19" s="47" t="s">
        <v>124</v>
      </c>
      <c r="C19" s="48" t="s">
        <v>125</v>
      </c>
      <c r="D19" s="49">
        <f>VLOOKUP(C19,'[1]PREÇO ATUAL'!$A:$D,4,0)</f>
        <v>33.6224930838505</v>
      </c>
      <c r="E19" s="50"/>
      <c r="F19" s="50"/>
      <c r="G19" s="50"/>
      <c r="H19" s="50"/>
      <c r="I19" s="51"/>
      <c r="J19" s="51"/>
      <c r="K19" s="51"/>
      <c r="L19" s="51"/>
      <c r="M19" s="51"/>
      <c r="N19" s="50"/>
      <c r="O19" s="71"/>
      <c r="P19" s="51"/>
      <c r="Q19" s="51"/>
      <c r="R19" s="51"/>
      <c r="S19" s="51"/>
      <c r="T19" s="52">
        <f t="shared" si="6"/>
        <v>0</v>
      </c>
      <c r="U19" s="52">
        <f t="shared" si="6"/>
        <v>0</v>
      </c>
      <c r="V19" s="52">
        <f t="shared" si="6"/>
        <v>0</v>
      </c>
      <c r="W19" s="52">
        <f t="shared" si="6"/>
        <v>0</v>
      </c>
      <c r="X19" s="52">
        <f t="shared" si="6"/>
        <v>0</v>
      </c>
      <c r="Y19" s="52">
        <f t="shared" si="6"/>
        <v>0</v>
      </c>
      <c r="Z19" s="52">
        <f t="shared" si="6"/>
        <v>0</v>
      </c>
      <c r="AA19" s="52">
        <f t="shared" si="6"/>
        <v>0</v>
      </c>
      <c r="AB19" s="52">
        <f t="shared" si="6"/>
        <v>0</v>
      </c>
      <c r="AC19" s="79">
        <f t="shared" si="6"/>
        <v>0</v>
      </c>
      <c r="AD19" s="79">
        <f t="shared" si="6"/>
        <v>0</v>
      </c>
      <c r="AE19" s="79">
        <f t="shared" si="6"/>
        <v>0</v>
      </c>
      <c r="AF19" s="79">
        <f t="shared" si="6"/>
        <v>0</v>
      </c>
      <c r="AG19" s="79">
        <f t="shared" si="6"/>
        <v>0</v>
      </c>
      <c r="AH19" s="79">
        <f t="shared" si="6"/>
        <v>0</v>
      </c>
      <c r="AI19" s="82" t="e">
        <f t="shared" si="7"/>
        <v>#N/A</v>
      </c>
      <c r="AJ19" s="52">
        <f t="shared" si="8"/>
        <v>0</v>
      </c>
    </row>
    <row r="20" spans="1:36" ht="15" customHeight="1" x14ac:dyDescent="0.4">
      <c r="A20" s="54"/>
      <c r="B20" s="55" t="s">
        <v>135</v>
      </c>
      <c r="C20" s="56" t="s">
        <v>123</v>
      </c>
      <c r="D20" s="57">
        <f>VLOOKUP(C20,'[1]PREÇO ATUAL'!$A:$D,4,0)</f>
        <v>165.97811999999999</v>
      </c>
      <c r="E20" s="73"/>
      <c r="F20" s="73"/>
      <c r="G20" s="73"/>
      <c r="H20" s="73"/>
      <c r="I20" s="74"/>
      <c r="J20" s="74"/>
      <c r="K20" s="74"/>
      <c r="L20" s="74"/>
      <c r="M20" s="74"/>
      <c r="N20" s="73"/>
      <c r="O20" s="99"/>
      <c r="P20" s="62">
        <v>2</v>
      </c>
      <c r="Q20" s="74"/>
      <c r="R20" s="74"/>
      <c r="S20" s="74"/>
      <c r="T20" s="60">
        <f t="shared" si="6"/>
        <v>0</v>
      </c>
      <c r="U20" s="60">
        <f t="shared" si="6"/>
        <v>0</v>
      </c>
      <c r="V20" s="60">
        <f t="shared" si="6"/>
        <v>0</v>
      </c>
      <c r="W20" s="60">
        <f t="shared" si="6"/>
        <v>0</v>
      </c>
      <c r="X20" s="60">
        <f t="shared" si="6"/>
        <v>0</v>
      </c>
      <c r="Y20" s="60">
        <f t="shared" si="6"/>
        <v>0</v>
      </c>
      <c r="Z20" s="60">
        <f t="shared" si="6"/>
        <v>0</v>
      </c>
      <c r="AA20" s="60">
        <f t="shared" si="6"/>
        <v>0</v>
      </c>
      <c r="AB20" s="60">
        <f t="shared" si="6"/>
        <v>0</v>
      </c>
      <c r="AC20" s="80">
        <f t="shared" si="6"/>
        <v>0</v>
      </c>
      <c r="AD20" s="80">
        <f t="shared" si="6"/>
        <v>0</v>
      </c>
      <c r="AE20" s="80">
        <f t="shared" si="6"/>
        <v>331.95623999999998</v>
      </c>
      <c r="AF20" s="80">
        <f t="shared" si="6"/>
        <v>0</v>
      </c>
      <c r="AG20" s="80">
        <f t="shared" si="6"/>
        <v>0</v>
      </c>
      <c r="AH20" s="80">
        <f t="shared" si="6"/>
        <v>0</v>
      </c>
      <c r="AI20" s="83" t="e">
        <f t="shared" si="7"/>
        <v>#N/A</v>
      </c>
      <c r="AJ20" s="60">
        <f t="shared" si="8"/>
        <v>331.95623999999998</v>
      </c>
    </row>
    <row r="21" spans="1:36" ht="15" customHeight="1" x14ac:dyDescent="0.4">
      <c r="A21" s="46">
        <v>6</v>
      </c>
      <c r="B21" s="47" t="s">
        <v>188</v>
      </c>
      <c r="C21" s="48" t="s">
        <v>189</v>
      </c>
      <c r="D21" s="49">
        <f>VLOOKUP(C21,'[1]PREÇO ATUAL'!$A:$D,4,0)</f>
        <v>87.82</v>
      </c>
      <c r="E21" s="75">
        <v>3.5</v>
      </c>
      <c r="F21" s="75">
        <v>3.5</v>
      </c>
      <c r="G21" s="75">
        <v>3.5</v>
      </c>
      <c r="H21" s="75">
        <v>3.5</v>
      </c>
      <c r="I21" s="76">
        <v>3.5</v>
      </c>
      <c r="J21" s="76">
        <v>3.5</v>
      </c>
      <c r="K21" s="76">
        <v>3.5</v>
      </c>
      <c r="L21" s="76">
        <v>3.5</v>
      </c>
      <c r="M21" s="76">
        <v>3.5</v>
      </c>
      <c r="N21" s="75">
        <v>3.5</v>
      </c>
      <c r="O21" s="98">
        <v>3.5</v>
      </c>
      <c r="P21" s="76">
        <v>3.5</v>
      </c>
      <c r="Q21" s="76">
        <v>3.5</v>
      </c>
      <c r="R21" s="76">
        <v>3.5</v>
      </c>
      <c r="S21" s="76">
        <v>3.5</v>
      </c>
      <c r="T21" s="52">
        <f t="shared" si="6"/>
        <v>307.37</v>
      </c>
      <c r="U21" s="52">
        <f t="shared" si="6"/>
        <v>307.37</v>
      </c>
      <c r="V21" s="52">
        <f t="shared" si="6"/>
        <v>307.37</v>
      </c>
      <c r="W21" s="52">
        <f t="shared" si="6"/>
        <v>307.37</v>
      </c>
      <c r="X21" s="52">
        <f t="shared" si="6"/>
        <v>307.37</v>
      </c>
      <c r="Y21" s="52">
        <f t="shared" si="6"/>
        <v>307.37</v>
      </c>
      <c r="Z21" s="52">
        <f t="shared" si="6"/>
        <v>307.37</v>
      </c>
      <c r="AA21" s="52">
        <f t="shared" si="6"/>
        <v>307.37</v>
      </c>
      <c r="AB21" s="52">
        <f t="shared" si="6"/>
        <v>307.37</v>
      </c>
      <c r="AC21" s="79">
        <f t="shared" si="6"/>
        <v>307.37</v>
      </c>
      <c r="AD21" s="79">
        <f t="shared" si="6"/>
        <v>307.37</v>
      </c>
      <c r="AE21" s="79">
        <f t="shared" si="6"/>
        <v>307.37</v>
      </c>
      <c r="AF21" s="79">
        <f t="shared" si="6"/>
        <v>307.37</v>
      </c>
      <c r="AG21" s="79">
        <f t="shared" si="6"/>
        <v>307.37</v>
      </c>
      <c r="AH21" s="79">
        <f t="shared" si="6"/>
        <v>307.37</v>
      </c>
      <c r="AI21" s="82" t="e">
        <f t="shared" si="7"/>
        <v>#N/A</v>
      </c>
      <c r="AJ21" s="52">
        <f t="shared" si="8"/>
        <v>4610.5499999999993</v>
      </c>
    </row>
    <row r="22" spans="1:36" ht="15" customHeight="1" x14ac:dyDescent="0.4">
      <c r="A22" s="54">
        <v>7</v>
      </c>
      <c r="B22" s="55" t="s">
        <v>128</v>
      </c>
      <c r="C22" s="56" t="s">
        <v>54</v>
      </c>
      <c r="D22" s="57" t="e">
        <f>VLOOKUP(C22,'[1]PREÇO ATUAL'!$A:$D,4,0)</f>
        <v>#N/A</v>
      </c>
      <c r="E22" s="73">
        <v>0.85</v>
      </c>
      <c r="F22" s="73">
        <v>0.9</v>
      </c>
      <c r="G22" s="73">
        <v>0.85</v>
      </c>
      <c r="H22" s="73">
        <v>0.9</v>
      </c>
      <c r="I22" s="74">
        <v>0.95</v>
      </c>
      <c r="J22" s="74">
        <v>1.05</v>
      </c>
      <c r="K22" s="74">
        <v>0.85</v>
      </c>
      <c r="L22" s="74">
        <v>0.9</v>
      </c>
      <c r="M22" s="74">
        <v>0.85</v>
      </c>
      <c r="N22" s="73">
        <v>1</v>
      </c>
      <c r="O22" s="99">
        <v>0.85</v>
      </c>
      <c r="P22" s="74">
        <v>1.25</v>
      </c>
      <c r="Q22" s="74">
        <v>0.85</v>
      </c>
      <c r="R22" s="74">
        <v>0.9</v>
      </c>
      <c r="S22" s="74">
        <v>0.95</v>
      </c>
      <c r="T22" s="60" t="e">
        <f>D22*E22</f>
        <v>#N/A</v>
      </c>
      <c r="U22" s="60" t="e">
        <f t="shared" ref="U22:AH22" si="9">$D22*F22</f>
        <v>#N/A</v>
      </c>
      <c r="V22" s="60" t="e">
        <f t="shared" si="9"/>
        <v>#N/A</v>
      </c>
      <c r="W22" s="60" t="e">
        <f t="shared" si="9"/>
        <v>#N/A</v>
      </c>
      <c r="X22" s="60" t="e">
        <f t="shared" si="9"/>
        <v>#N/A</v>
      </c>
      <c r="Y22" s="60" t="e">
        <f t="shared" si="9"/>
        <v>#N/A</v>
      </c>
      <c r="Z22" s="60" t="e">
        <f t="shared" si="9"/>
        <v>#N/A</v>
      </c>
      <c r="AA22" s="60" t="e">
        <f t="shared" si="9"/>
        <v>#N/A</v>
      </c>
      <c r="AB22" s="60" t="e">
        <f t="shared" si="9"/>
        <v>#N/A</v>
      </c>
      <c r="AC22" s="80" t="e">
        <f t="shared" si="9"/>
        <v>#N/A</v>
      </c>
      <c r="AD22" s="80" t="e">
        <f t="shared" si="9"/>
        <v>#N/A</v>
      </c>
      <c r="AE22" s="80" t="e">
        <f t="shared" si="9"/>
        <v>#N/A</v>
      </c>
      <c r="AF22" s="80" t="e">
        <f t="shared" si="9"/>
        <v>#N/A</v>
      </c>
      <c r="AG22" s="80" t="e">
        <f t="shared" si="9"/>
        <v>#N/A</v>
      </c>
      <c r="AH22" s="80" t="e">
        <f t="shared" si="9"/>
        <v>#N/A</v>
      </c>
      <c r="AI22" s="83" t="e">
        <f t="shared" si="7"/>
        <v>#N/A</v>
      </c>
      <c r="AJ22" s="60" t="e">
        <f t="shared" si="8"/>
        <v>#N/A</v>
      </c>
    </row>
    <row r="23" spans="1:36" ht="15.75" customHeight="1" x14ac:dyDescent="0.4"/>
    <row r="24" spans="1:36" ht="15.75" customHeight="1" x14ac:dyDescent="0.4"/>
    <row r="25" spans="1:36" ht="15.75" customHeight="1" x14ac:dyDescent="0.4"/>
    <row r="26" spans="1:36" ht="15.75" customHeight="1" x14ac:dyDescent="0.4"/>
    <row r="27" spans="1:36" ht="15.75" customHeight="1" x14ac:dyDescent="0.4"/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10">
    <mergeCell ref="A1:D2"/>
    <mergeCell ref="AI13:AJ13"/>
    <mergeCell ref="AI12:AJ12"/>
    <mergeCell ref="E1:S1"/>
    <mergeCell ref="A12:D13"/>
    <mergeCell ref="AI1:AJ1"/>
    <mergeCell ref="T1:AH1"/>
    <mergeCell ref="AI2:AJ2"/>
    <mergeCell ref="E12:S12"/>
    <mergeCell ref="T12:AH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</sheetPr>
  <dimension ref="A1:AJ985"/>
  <sheetViews>
    <sheetView showGridLines="0" topLeftCell="A7" zoomScaleNormal="100" workbookViewId="0">
      <pane xSplit="4" topLeftCell="E1" activePane="topRight" state="frozen"/>
      <selection activeCell="A7" sqref="A7"/>
      <selection pane="topRight" activeCell="B29" sqref="B29"/>
    </sheetView>
  </sheetViews>
  <sheetFormatPr defaultColWidth="14.4609375" defaultRowHeight="14.6" x14ac:dyDescent="0.4"/>
  <cols>
    <col min="1" max="1" width="3.69140625" customWidth="1"/>
    <col min="2" max="2" width="50" customWidth="1"/>
    <col min="3" max="3" width="16.84375" customWidth="1"/>
    <col min="4" max="4" width="8.69140625" customWidth="1"/>
    <col min="5" max="19" width="5.15234375" customWidth="1"/>
    <col min="20" max="20" width="14.15234375" customWidth="1"/>
    <col min="21" max="22" width="13.4609375" customWidth="1"/>
    <col min="23" max="23" width="15.3828125" customWidth="1"/>
    <col min="24" max="24" width="13.4609375" customWidth="1"/>
    <col min="25" max="25" width="15.3828125" customWidth="1"/>
    <col min="26" max="26" width="13.4609375" customWidth="1"/>
    <col min="27" max="27" width="15.3828125" customWidth="1"/>
    <col min="28" max="28" width="15.69140625" customWidth="1"/>
    <col min="29" max="29" width="14.53515625" customWidth="1"/>
    <col min="30" max="30" width="13.69140625" customWidth="1"/>
    <col min="31" max="31" width="15.69140625" customWidth="1"/>
    <col min="32" max="34" width="13.69140625" customWidth="1"/>
    <col min="35" max="35" width="9.15234375" customWidth="1"/>
    <col min="36" max="36" width="15.53515625" customWidth="1"/>
  </cols>
  <sheetData>
    <row r="1" spans="1:36" ht="15" customHeight="1" x14ac:dyDescent="0.4">
      <c r="A1" s="233" t="s">
        <v>218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35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H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2">
        <f>AC3+10000</f>
        <v>110000</v>
      </c>
      <c r="AE3" s="42">
        <f>AD3+10000</f>
        <v>120000</v>
      </c>
      <c r="AF3" s="42">
        <f>AE3+10000</f>
        <v>130000</v>
      </c>
      <c r="AG3" s="42">
        <f>AF3+10000</f>
        <v>140000</v>
      </c>
      <c r="AH3" s="42">
        <f>AG3+10000</f>
        <v>150000</v>
      </c>
      <c r="AI3" s="45" t="e">
        <f>SUM(AI4:AI11)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1">
        <v>1</v>
      </c>
      <c r="P4" s="50">
        <v>1</v>
      </c>
      <c r="Q4" s="51">
        <v>1</v>
      </c>
      <c r="R4" s="50">
        <v>1</v>
      </c>
      <c r="S4" s="51">
        <v>1</v>
      </c>
      <c r="T4" s="52">
        <f t="shared" ref="T4:AH8" si="1">$D4*E4</f>
        <v>79.900000000000006</v>
      </c>
      <c r="U4" s="52">
        <f t="shared" si="1"/>
        <v>79.900000000000006</v>
      </c>
      <c r="V4" s="52">
        <f t="shared" si="1"/>
        <v>79.900000000000006</v>
      </c>
      <c r="W4" s="52">
        <f t="shared" si="1"/>
        <v>79.900000000000006</v>
      </c>
      <c r="X4" s="52">
        <f t="shared" si="1"/>
        <v>79.900000000000006</v>
      </c>
      <c r="Y4" s="52">
        <f t="shared" si="1"/>
        <v>79.900000000000006</v>
      </c>
      <c r="Z4" s="52">
        <f t="shared" si="1"/>
        <v>79.900000000000006</v>
      </c>
      <c r="AA4" s="52">
        <f t="shared" si="1"/>
        <v>79.900000000000006</v>
      </c>
      <c r="AB4" s="52">
        <f t="shared" si="1"/>
        <v>79.900000000000006</v>
      </c>
      <c r="AC4" s="79">
        <f t="shared" si="1"/>
        <v>79.900000000000006</v>
      </c>
      <c r="AD4" s="79">
        <f t="shared" si="1"/>
        <v>79.900000000000006</v>
      </c>
      <c r="AE4" s="79">
        <f t="shared" si="1"/>
        <v>79.900000000000006</v>
      </c>
      <c r="AF4" s="79">
        <f t="shared" si="1"/>
        <v>79.900000000000006</v>
      </c>
      <c r="AG4" s="79">
        <f t="shared" si="1"/>
        <v>79.900000000000006</v>
      </c>
      <c r="AH4" s="79">
        <f t="shared" si="1"/>
        <v>79.900000000000006</v>
      </c>
      <c r="AI4" s="82" t="e">
        <f t="shared" ref="AI4:AI11" si="2">AJ4/$AI$2</f>
        <v>#N/A</v>
      </c>
      <c r="AJ4" s="52">
        <f t="shared" ref="AJ4:AJ11" si="3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8">
        <v>1</v>
      </c>
      <c r="O5" s="59"/>
      <c r="P5" s="58">
        <v>1</v>
      </c>
      <c r="Q5" s="59"/>
      <c r="R5" s="58">
        <v>1</v>
      </c>
      <c r="S5" s="59"/>
      <c r="T5" s="60">
        <f t="shared" si="1"/>
        <v>0</v>
      </c>
      <c r="U5" s="60">
        <f t="shared" si="1"/>
        <v>35.9</v>
      </c>
      <c r="V5" s="60">
        <f t="shared" si="1"/>
        <v>0</v>
      </c>
      <c r="W5" s="60">
        <f t="shared" si="1"/>
        <v>35.9</v>
      </c>
      <c r="X5" s="60">
        <f t="shared" si="1"/>
        <v>0</v>
      </c>
      <c r="Y5" s="60">
        <f t="shared" si="1"/>
        <v>35.9</v>
      </c>
      <c r="Z5" s="60">
        <f t="shared" si="1"/>
        <v>0</v>
      </c>
      <c r="AA5" s="60">
        <f t="shared" si="1"/>
        <v>35.9</v>
      </c>
      <c r="AB5" s="60">
        <f t="shared" si="1"/>
        <v>0</v>
      </c>
      <c r="AC5" s="80">
        <f t="shared" si="1"/>
        <v>35.9</v>
      </c>
      <c r="AD5" s="80">
        <f t="shared" si="1"/>
        <v>0</v>
      </c>
      <c r="AE5" s="80">
        <f t="shared" si="1"/>
        <v>35.9</v>
      </c>
      <c r="AF5" s="80">
        <f t="shared" si="1"/>
        <v>0</v>
      </c>
      <c r="AG5" s="80">
        <f t="shared" si="1"/>
        <v>35.9</v>
      </c>
      <c r="AH5" s="80">
        <f t="shared" si="1"/>
        <v>0</v>
      </c>
      <c r="AI5" s="83" t="e">
        <f t="shared" si="2"/>
        <v>#N/A</v>
      </c>
      <c r="AJ5" s="60">
        <f t="shared" si="3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/>
      <c r="F6" s="50"/>
      <c r="G6" s="50">
        <v>1</v>
      </c>
      <c r="H6" s="50"/>
      <c r="I6" s="51"/>
      <c r="J6" s="51">
        <v>1</v>
      </c>
      <c r="K6" s="51"/>
      <c r="L6" s="51"/>
      <c r="M6" s="51">
        <v>1</v>
      </c>
      <c r="N6" s="50"/>
      <c r="O6" s="51">
        <v>1</v>
      </c>
      <c r="P6" s="50"/>
      <c r="Q6" s="51">
        <v>1</v>
      </c>
      <c r="R6" s="50"/>
      <c r="S6" s="51">
        <v>1</v>
      </c>
      <c r="T6" s="52">
        <f t="shared" si="1"/>
        <v>0</v>
      </c>
      <c r="U6" s="52">
        <f t="shared" si="1"/>
        <v>0</v>
      </c>
      <c r="V6" s="52">
        <f t="shared" si="1"/>
        <v>89.9</v>
      </c>
      <c r="W6" s="52">
        <f t="shared" si="1"/>
        <v>0</v>
      </c>
      <c r="X6" s="52">
        <f t="shared" si="1"/>
        <v>0</v>
      </c>
      <c r="Y6" s="52">
        <f t="shared" si="1"/>
        <v>89.9</v>
      </c>
      <c r="Z6" s="52">
        <f t="shared" si="1"/>
        <v>0</v>
      </c>
      <c r="AA6" s="52">
        <f t="shared" si="1"/>
        <v>0</v>
      </c>
      <c r="AB6" s="52">
        <f t="shared" si="1"/>
        <v>89.9</v>
      </c>
      <c r="AC6" s="79">
        <f t="shared" si="1"/>
        <v>0</v>
      </c>
      <c r="AD6" s="79">
        <f t="shared" si="1"/>
        <v>89.9</v>
      </c>
      <c r="AE6" s="79">
        <f t="shared" si="1"/>
        <v>0</v>
      </c>
      <c r="AF6" s="79">
        <f t="shared" si="1"/>
        <v>89.9</v>
      </c>
      <c r="AG6" s="79">
        <f t="shared" si="1"/>
        <v>0</v>
      </c>
      <c r="AH6" s="79">
        <f t="shared" si="1"/>
        <v>89.9</v>
      </c>
      <c r="AI6" s="82" t="e">
        <f t="shared" si="2"/>
        <v>#N/A</v>
      </c>
      <c r="AJ6" s="52">
        <f t="shared" si="3"/>
        <v>539.4</v>
      </c>
    </row>
    <row r="7" spans="1:36" ht="1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4</v>
      </c>
      <c r="I7" s="59"/>
      <c r="J7" s="59"/>
      <c r="K7" s="59"/>
      <c r="L7" s="59">
        <v>4</v>
      </c>
      <c r="M7" s="59"/>
      <c r="N7" s="58"/>
      <c r="O7" s="70"/>
      <c r="P7" s="59">
        <v>4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703.6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703.6</v>
      </c>
      <c r="AB7" s="60">
        <f t="shared" si="1"/>
        <v>0</v>
      </c>
      <c r="AC7" s="80">
        <f t="shared" si="1"/>
        <v>0</v>
      </c>
      <c r="AD7" s="80">
        <f t="shared" si="1"/>
        <v>0</v>
      </c>
      <c r="AE7" s="80">
        <f t="shared" si="1"/>
        <v>703.6</v>
      </c>
      <c r="AF7" s="80">
        <f t="shared" si="1"/>
        <v>0</v>
      </c>
      <c r="AG7" s="80">
        <f t="shared" si="1"/>
        <v>0</v>
      </c>
      <c r="AH7" s="80">
        <f t="shared" si="1"/>
        <v>0</v>
      </c>
      <c r="AI7" s="83" t="e">
        <f t="shared" si="2"/>
        <v>#N/A</v>
      </c>
      <c r="AJ7" s="60">
        <f t="shared" si="3"/>
        <v>2110.8000000000002</v>
      </c>
    </row>
    <row r="8" spans="1:36" ht="15.7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0"/>
      <c r="O8" s="71"/>
      <c r="P8" s="51">
        <v>1</v>
      </c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143.22999999999999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79">
        <f t="shared" si="1"/>
        <v>0</v>
      </c>
      <c r="AD8" s="79">
        <f t="shared" si="1"/>
        <v>0</v>
      </c>
      <c r="AE8" s="79">
        <f t="shared" si="1"/>
        <v>143.22999999999999</v>
      </c>
      <c r="AF8" s="79">
        <f t="shared" si="1"/>
        <v>0</v>
      </c>
      <c r="AG8" s="79">
        <f t="shared" si="1"/>
        <v>0</v>
      </c>
      <c r="AH8" s="79">
        <f t="shared" si="1"/>
        <v>0</v>
      </c>
      <c r="AI8" s="82" t="e">
        <f t="shared" si="2"/>
        <v>#N/A</v>
      </c>
      <c r="AJ8" s="52">
        <f t="shared" si="3"/>
        <v>286.45999999999998</v>
      </c>
    </row>
    <row r="9" spans="1:36" ht="15.75" customHeight="1" x14ac:dyDescent="0.4">
      <c r="A9" s="54">
        <v>6</v>
      </c>
      <c r="B9" s="55" t="s">
        <v>124</v>
      </c>
      <c r="C9" s="56" t="s">
        <v>125</v>
      </c>
      <c r="D9" s="57">
        <f>VLOOKUP(C9,'[1]PREÇO ATUAL'!$A:$D,4,0)</f>
        <v>33.6224930838505</v>
      </c>
      <c r="E9" s="73"/>
      <c r="F9" s="73"/>
      <c r="G9" s="73"/>
      <c r="H9" s="58"/>
      <c r="I9" s="74"/>
      <c r="J9" s="74"/>
      <c r="K9" s="74"/>
      <c r="L9" s="59"/>
      <c r="M9" s="74"/>
      <c r="N9" s="73"/>
      <c r="O9" s="99"/>
      <c r="P9" s="74"/>
      <c r="Q9" s="74"/>
      <c r="R9" s="74"/>
      <c r="S9" s="74"/>
      <c r="T9" s="60">
        <v>0</v>
      </c>
      <c r="U9" s="60">
        <f t="shared" ref="U9:AH9" si="4">$D9*F9</f>
        <v>0</v>
      </c>
      <c r="V9" s="60">
        <f t="shared" si="4"/>
        <v>0</v>
      </c>
      <c r="W9" s="60">
        <f t="shared" si="4"/>
        <v>0</v>
      </c>
      <c r="X9" s="60">
        <f t="shared" si="4"/>
        <v>0</v>
      </c>
      <c r="Y9" s="60">
        <f t="shared" si="4"/>
        <v>0</v>
      </c>
      <c r="Z9" s="60">
        <f t="shared" si="4"/>
        <v>0</v>
      </c>
      <c r="AA9" s="60">
        <f t="shared" si="4"/>
        <v>0</v>
      </c>
      <c r="AB9" s="60">
        <f t="shared" si="4"/>
        <v>0</v>
      </c>
      <c r="AC9" s="80">
        <f t="shared" si="4"/>
        <v>0</v>
      </c>
      <c r="AD9" s="80">
        <f t="shared" si="4"/>
        <v>0</v>
      </c>
      <c r="AE9" s="80">
        <f t="shared" si="4"/>
        <v>0</v>
      </c>
      <c r="AF9" s="80">
        <f t="shared" si="4"/>
        <v>0</v>
      </c>
      <c r="AG9" s="80">
        <f t="shared" si="4"/>
        <v>0</v>
      </c>
      <c r="AH9" s="80">
        <f t="shared" si="4"/>
        <v>0</v>
      </c>
      <c r="AI9" s="83" t="e">
        <f t="shared" si="2"/>
        <v>#N/A</v>
      </c>
      <c r="AJ9" s="60">
        <f t="shared" si="3"/>
        <v>0</v>
      </c>
    </row>
    <row r="10" spans="1:36" ht="15.75" customHeight="1" x14ac:dyDescent="0.4">
      <c r="A10" s="46">
        <v>7</v>
      </c>
      <c r="B10" s="47" t="s">
        <v>126</v>
      </c>
      <c r="C10" s="48" t="s">
        <v>127</v>
      </c>
      <c r="D10" s="49">
        <f>VLOOKUP(C10,'[1]PREÇO ATUAL'!$A:$D,4,0)</f>
        <v>81.260000000000005</v>
      </c>
      <c r="E10" s="63">
        <v>3.36</v>
      </c>
      <c r="F10" s="63">
        <v>3.36</v>
      </c>
      <c r="G10" s="63">
        <v>3.36</v>
      </c>
      <c r="H10" s="63">
        <v>3.36</v>
      </c>
      <c r="I10" s="63">
        <v>3.36</v>
      </c>
      <c r="J10" s="63">
        <v>3.36</v>
      </c>
      <c r="K10" s="63">
        <v>3.36</v>
      </c>
      <c r="L10" s="63">
        <v>3.36</v>
      </c>
      <c r="M10" s="63">
        <v>3.36</v>
      </c>
      <c r="N10" s="63">
        <v>3.36</v>
      </c>
      <c r="O10" s="63">
        <v>3.36</v>
      </c>
      <c r="P10" s="63">
        <v>3.36</v>
      </c>
      <c r="Q10" s="63">
        <v>3.36</v>
      </c>
      <c r="R10" s="63">
        <v>3.36</v>
      </c>
      <c r="S10" s="63">
        <v>3.36</v>
      </c>
      <c r="T10" s="52">
        <f t="shared" ref="T10:AH10" si="5">$D$10*E10</f>
        <v>273.03360000000004</v>
      </c>
      <c r="U10" s="52">
        <f t="shared" si="5"/>
        <v>273.03360000000004</v>
      </c>
      <c r="V10" s="52">
        <f t="shared" si="5"/>
        <v>273.03360000000004</v>
      </c>
      <c r="W10" s="52">
        <f t="shared" si="5"/>
        <v>273.03360000000004</v>
      </c>
      <c r="X10" s="52">
        <f t="shared" si="5"/>
        <v>273.03360000000004</v>
      </c>
      <c r="Y10" s="52">
        <f t="shared" si="5"/>
        <v>273.03360000000004</v>
      </c>
      <c r="Z10" s="52">
        <f t="shared" si="5"/>
        <v>273.03360000000004</v>
      </c>
      <c r="AA10" s="52">
        <f t="shared" si="5"/>
        <v>273.03360000000004</v>
      </c>
      <c r="AB10" s="52">
        <f t="shared" si="5"/>
        <v>273.03360000000004</v>
      </c>
      <c r="AC10" s="79">
        <f t="shared" si="5"/>
        <v>273.03360000000004</v>
      </c>
      <c r="AD10" s="79">
        <f t="shared" si="5"/>
        <v>273.03360000000004</v>
      </c>
      <c r="AE10" s="79">
        <f t="shared" si="5"/>
        <v>273.03360000000004</v>
      </c>
      <c r="AF10" s="79">
        <f t="shared" si="5"/>
        <v>273.03360000000004</v>
      </c>
      <c r="AG10" s="79">
        <f t="shared" si="5"/>
        <v>273.03360000000004</v>
      </c>
      <c r="AH10" s="79">
        <f t="shared" si="5"/>
        <v>273.03360000000004</v>
      </c>
      <c r="AI10" s="82" t="e">
        <f t="shared" si="2"/>
        <v>#N/A</v>
      </c>
      <c r="AJ10" s="52">
        <f t="shared" si="3"/>
        <v>4095.5040000000017</v>
      </c>
    </row>
    <row r="11" spans="1:3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73">
        <v>0.8</v>
      </c>
      <c r="F11" s="73">
        <v>0.95</v>
      </c>
      <c r="G11" s="73">
        <v>0.8</v>
      </c>
      <c r="H11" s="73">
        <v>1.25</v>
      </c>
      <c r="I11" s="74">
        <v>0.95</v>
      </c>
      <c r="J11" s="74">
        <v>0.95</v>
      </c>
      <c r="K11" s="74">
        <v>0.8</v>
      </c>
      <c r="L11" s="74">
        <v>1.25</v>
      </c>
      <c r="M11" s="74">
        <v>0.8</v>
      </c>
      <c r="N11" s="73">
        <v>1.1000000000000001</v>
      </c>
      <c r="O11" s="99">
        <v>0.8</v>
      </c>
      <c r="P11" s="74">
        <v>1.25</v>
      </c>
      <c r="Q11" s="74">
        <v>0.8</v>
      </c>
      <c r="R11" s="74">
        <v>0.95</v>
      </c>
      <c r="S11" s="74">
        <v>0.95</v>
      </c>
      <c r="T11" s="60" t="e">
        <f>D11*E11</f>
        <v>#N/A</v>
      </c>
      <c r="U11" s="60" t="e">
        <f t="shared" ref="U11:AH11" si="6">$D$11*F11</f>
        <v>#N/A</v>
      </c>
      <c r="V11" s="60" t="e">
        <f t="shared" si="6"/>
        <v>#N/A</v>
      </c>
      <c r="W11" s="60" t="e">
        <f t="shared" si="6"/>
        <v>#N/A</v>
      </c>
      <c r="X11" s="60" t="e">
        <f t="shared" si="6"/>
        <v>#N/A</v>
      </c>
      <c r="Y11" s="60" t="e">
        <f t="shared" si="6"/>
        <v>#N/A</v>
      </c>
      <c r="Z11" s="60" t="e">
        <f t="shared" si="6"/>
        <v>#N/A</v>
      </c>
      <c r="AA11" s="60" t="e">
        <f t="shared" si="6"/>
        <v>#N/A</v>
      </c>
      <c r="AB11" s="60" t="e">
        <f t="shared" si="6"/>
        <v>#N/A</v>
      </c>
      <c r="AC11" s="80" t="e">
        <f t="shared" si="6"/>
        <v>#N/A</v>
      </c>
      <c r="AD11" s="80" t="e">
        <f t="shared" si="6"/>
        <v>#N/A</v>
      </c>
      <c r="AE11" s="80" t="e">
        <f t="shared" si="6"/>
        <v>#N/A</v>
      </c>
      <c r="AF11" s="80" t="e">
        <f t="shared" si="6"/>
        <v>#N/A</v>
      </c>
      <c r="AG11" s="80" t="e">
        <f t="shared" si="6"/>
        <v>#N/A</v>
      </c>
      <c r="AH11" s="80" t="e">
        <f t="shared" si="6"/>
        <v>#N/A</v>
      </c>
      <c r="AI11" s="83" t="e">
        <f t="shared" si="2"/>
        <v>#N/A</v>
      </c>
      <c r="AJ11" s="60" t="e">
        <f t="shared" si="3"/>
        <v>#N/A</v>
      </c>
    </row>
    <row r="12" spans="1:36" ht="15.75" customHeight="1" x14ac:dyDescent="0.4">
      <c r="H12" s="81"/>
    </row>
    <row r="13" spans="1:36" ht="15" customHeight="1" x14ac:dyDescent="0.4">
      <c r="A13" s="233" t="s">
        <v>219</v>
      </c>
      <c r="B13" s="211"/>
      <c r="C13" s="211"/>
      <c r="D13" s="211"/>
      <c r="E13" s="237" t="s">
        <v>1</v>
      </c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2"/>
      <c r="T13" s="235" t="s">
        <v>2</v>
      </c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  <c r="AI13" s="232" t="s">
        <v>3</v>
      </c>
      <c r="AJ13" s="209"/>
    </row>
    <row r="14" spans="1:36" ht="15" customHeight="1" x14ac:dyDescent="0.4">
      <c r="A14" s="234"/>
      <c r="B14" s="217"/>
      <c r="C14" s="217"/>
      <c r="D14" s="217"/>
      <c r="E14" s="220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38"/>
      <c r="T14" s="37" t="e">
        <f t="shared" ref="T14:AH14" si="7">MROUND(SUM(T16:T24),1)</f>
        <v>#N/A</v>
      </c>
      <c r="U14" s="37" t="e">
        <f t="shared" si="7"/>
        <v>#N/A</v>
      </c>
      <c r="V14" s="37" t="e">
        <f t="shared" si="7"/>
        <v>#N/A</v>
      </c>
      <c r="W14" s="37" t="e">
        <f t="shared" si="7"/>
        <v>#N/A</v>
      </c>
      <c r="X14" s="37" t="e">
        <f t="shared" si="7"/>
        <v>#N/A</v>
      </c>
      <c r="Y14" s="37" t="e">
        <f t="shared" si="7"/>
        <v>#N/A</v>
      </c>
      <c r="Z14" s="37" t="e">
        <f t="shared" si="7"/>
        <v>#N/A</v>
      </c>
      <c r="AA14" s="37" t="e">
        <f t="shared" si="7"/>
        <v>#N/A</v>
      </c>
      <c r="AB14" s="37" t="e">
        <f t="shared" si="7"/>
        <v>#N/A</v>
      </c>
      <c r="AC14" s="37" t="e">
        <f t="shared" si="7"/>
        <v>#N/A</v>
      </c>
      <c r="AD14" s="37" t="e">
        <f t="shared" si="7"/>
        <v>#N/A</v>
      </c>
      <c r="AE14" s="37" t="e">
        <f t="shared" si="7"/>
        <v>#N/A</v>
      </c>
      <c r="AF14" s="37" t="e">
        <f t="shared" si="7"/>
        <v>#N/A</v>
      </c>
      <c r="AG14" s="37" t="e">
        <f t="shared" si="7"/>
        <v>#N/A</v>
      </c>
      <c r="AH14" s="37" t="e">
        <f t="shared" si="7"/>
        <v>#N/A</v>
      </c>
      <c r="AI14" s="208" t="e">
        <f>SUM(T14:AH14)</f>
        <v>#N/A</v>
      </c>
      <c r="AJ14" s="209"/>
    </row>
    <row r="15" spans="1:36" ht="15" customHeight="1" x14ac:dyDescent="0.4">
      <c r="A15" s="39" t="s">
        <v>5</v>
      </c>
      <c r="B15" s="39" t="s">
        <v>6</v>
      </c>
      <c r="C15" s="39" t="s">
        <v>7</v>
      </c>
      <c r="D15" s="41" t="s">
        <v>8</v>
      </c>
      <c r="E15" s="42" t="s">
        <v>102</v>
      </c>
      <c r="F15" s="42" t="s">
        <v>103</v>
      </c>
      <c r="G15" s="42" t="s">
        <v>104</v>
      </c>
      <c r="H15" s="42" t="s">
        <v>105</v>
      </c>
      <c r="I15" s="42" t="s">
        <v>106</v>
      </c>
      <c r="J15" s="42" t="s">
        <v>107</v>
      </c>
      <c r="K15" s="42" t="s">
        <v>108</v>
      </c>
      <c r="L15" s="42" t="s">
        <v>109</v>
      </c>
      <c r="M15" s="42" t="s">
        <v>110</v>
      </c>
      <c r="N15" s="42" t="s">
        <v>111</v>
      </c>
      <c r="O15" s="42" t="s">
        <v>203</v>
      </c>
      <c r="P15" s="42" t="s">
        <v>204</v>
      </c>
      <c r="Q15" s="42" t="s">
        <v>205</v>
      </c>
      <c r="R15" s="42" t="s">
        <v>206</v>
      </c>
      <c r="S15" s="42" t="s">
        <v>207</v>
      </c>
      <c r="T15" s="42">
        <v>10000</v>
      </c>
      <c r="U15" s="42">
        <v>20000</v>
      </c>
      <c r="V15" s="42">
        <v>30000</v>
      </c>
      <c r="W15" s="42">
        <v>40000</v>
      </c>
      <c r="X15" s="42">
        <v>50000</v>
      </c>
      <c r="Y15" s="42">
        <v>60000</v>
      </c>
      <c r="Z15" s="42">
        <v>70000</v>
      </c>
      <c r="AA15" s="42">
        <v>80000</v>
      </c>
      <c r="AB15" s="42">
        <v>90000</v>
      </c>
      <c r="AC15" s="42">
        <v>100000</v>
      </c>
      <c r="AD15" s="42">
        <f>AC15+10000</f>
        <v>110000</v>
      </c>
      <c r="AE15" s="42">
        <f>AD15+10000</f>
        <v>120000</v>
      </c>
      <c r="AF15" s="42">
        <f>AE15+10000</f>
        <v>130000</v>
      </c>
      <c r="AG15" s="42">
        <f>AF15+10000</f>
        <v>140000</v>
      </c>
      <c r="AH15" s="42">
        <f>AG15+10000</f>
        <v>150000</v>
      </c>
      <c r="AI15" s="45" t="e">
        <f>SUM(AI16:AI24)</f>
        <v>#N/A</v>
      </c>
      <c r="AJ15" s="39" t="s">
        <v>25</v>
      </c>
    </row>
    <row r="16" spans="1:36" ht="15" customHeight="1" x14ac:dyDescent="0.4">
      <c r="A16" s="46">
        <v>1</v>
      </c>
      <c r="B16" s="47" t="s">
        <v>112</v>
      </c>
      <c r="C16" s="48" t="s">
        <v>113</v>
      </c>
      <c r="D16" s="49">
        <f>VLOOKUP(C16,'[1]PREÇO ATUAL'!$A:$D,4,0)</f>
        <v>79.900000000000006</v>
      </c>
      <c r="E16" s="50">
        <v>1</v>
      </c>
      <c r="F16" s="50">
        <v>1</v>
      </c>
      <c r="G16" s="50">
        <v>1</v>
      </c>
      <c r="H16" s="50">
        <v>1</v>
      </c>
      <c r="I16" s="51">
        <v>1</v>
      </c>
      <c r="J16" s="51">
        <v>1</v>
      </c>
      <c r="K16" s="51">
        <v>1</v>
      </c>
      <c r="L16" s="51">
        <v>1</v>
      </c>
      <c r="M16" s="51">
        <v>1</v>
      </c>
      <c r="N16" s="50">
        <v>1</v>
      </c>
      <c r="O16" s="51">
        <v>1</v>
      </c>
      <c r="P16" s="50">
        <v>1</v>
      </c>
      <c r="Q16" s="51">
        <v>1</v>
      </c>
      <c r="R16" s="50">
        <v>1</v>
      </c>
      <c r="S16" s="50">
        <v>1</v>
      </c>
      <c r="T16" s="52">
        <f t="shared" ref="T16:AH20" si="8">$D16*E16</f>
        <v>79.900000000000006</v>
      </c>
      <c r="U16" s="52">
        <f t="shared" si="8"/>
        <v>79.900000000000006</v>
      </c>
      <c r="V16" s="52">
        <f t="shared" si="8"/>
        <v>79.900000000000006</v>
      </c>
      <c r="W16" s="52">
        <f t="shared" si="8"/>
        <v>79.900000000000006</v>
      </c>
      <c r="X16" s="52">
        <f t="shared" si="8"/>
        <v>79.900000000000006</v>
      </c>
      <c r="Y16" s="52">
        <f t="shared" si="8"/>
        <v>79.900000000000006</v>
      </c>
      <c r="Z16" s="52">
        <f t="shared" si="8"/>
        <v>79.900000000000006</v>
      </c>
      <c r="AA16" s="52">
        <f t="shared" si="8"/>
        <v>79.900000000000006</v>
      </c>
      <c r="AB16" s="52">
        <f t="shared" si="8"/>
        <v>79.900000000000006</v>
      </c>
      <c r="AC16" s="79">
        <f t="shared" si="8"/>
        <v>79.900000000000006</v>
      </c>
      <c r="AD16" s="79">
        <f t="shared" si="8"/>
        <v>79.900000000000006</v>
      </c>
      <c r="AE16" s="79">
        <f t="shared" si="8"/>
        <v>79.900000000000006</v>
      </c>
      <c r="AF16" s="79">
        <f t="shared" si="8"/>
        <v>79.900000000000006</v>
      </c>
      <c r="AG16" s="79">
        <f t="shared" si="8"/>
        <v>79.900000000000006</v>
      </c>
      <c r="AH16" s="79">
        <f t="shared" si="8"/>
        <v>79.900000000000006</v>
      </c>
      <c r="AI16" s="82" t="e">
        <f t="shared" ref="AI16:AI24" si="9">AJ16/$AI$2</f>
        <v>#N/A</v>
      </c>
      <c r="AJ16" s="52">
        <f t="shared" ref="AJ16:AJ24" si="10">SUM(T16:AH16)</f>
        <v>1198.5</v>
      </c>
    </row>
    <row r="17" spans="1:36" ht="15" customHeight="1" x14ac:dyDescent="0.4">
      <c r="A17" s="54">
        <v>2</v>
      </c>
      <c r="B17" s="55" t="s">
        <v>114</v>
      </c>
      <c r="C17" s="56" t="s">
        <v>115</v>
      </c>
      <c r="D17" s="57">
        <f>VLOOKUP(C17,'[1]PREÇO ATUAL'!$A:$D,4,0)</f>
        <v>35.9</v>
      </c>
      <c r="E17" s="58"/>
      <c r="F17" s="58">
        <v>1</v>
      </c>
      <c r="G17" s="58"/>
      <c r="H17" s="58">
        <v>1</v>
      </c>
      <c r="I17" s="59"/>
      <c r="J17" s="59">
        <v>1</v>
      </c>
      <c r="K17" s="59"/>
      <c r="L17" s="59">
        <v>1</v>
      </c>
      <c r="M17" s="59"/>
      <c r="N17" s="58">
        <v>1</v>
      </c>
      <c r="O17" s="59"/>
      <c r="P17" s="58">
        <v>1</v>
      </c>
      <c r="Q17" s="59"/>
      <c r="R17" s="58">
        <v>1</v>
      </c>
      <c r="S17" s="58"/>
      <c r="T17" s="60">
        <f t="shared" si="8"/>
        <v>0</v>
      </c>
      <c r="U17" s="60">
        <f t="shared" si="8"/>
        <v>35.9</v>
      </c>
      <c r="V17" s="60">
        <f t="shared" si="8"/>
        <v>0</v>
      </c>
      <c r="W17" s="60">
        <f t="shared" si="8"/>
        <v>35.9</v>
      </c>
      <c r="X17" s="60">
        <f t="shared" si="8"/>
        <v>0</v>
      </c>
      <c r="Y17" s="60">
        <f t="shared" si="8"/>
        <v>35.9</v>
      </c>
      <c r="Z17" s="60">
        <f t="shared" si="8"/>
        <v>0</v>
      </c>
      <c r="AA17" s="60">
        <f t="shared" si="8"/>
        <v>35.9</v>
      </c>
      <c r="AB17" s="60">
        <f t="shared" si="8"/>
        <v>0</v>
      </c>
      <c r="AC17" s="80">
        <f t="shared" si="8"/>
        <v>35.9</v>
      </c>
      <c r="AD17" s="80">
        <f t="shared" si="8"/>
        <v>0</v>
      </c>
      <c r="AE17" s="80">
        <f t="shared" si="8"/>
        <v>35.9</v>
      </c>
      <c r="AF17" s="80">
        <f t="shared" si="8"/>
        <v>0</v>
      </c>
      <c r="AG17" s="80">
        <f t="shared" si="8"/>
        <v>35.9</v>
      </c>
      <c r="AH17" s="80">
        <f t="shared" si="8"/>
        <v>0</v>
      </c>
      <c r="AI17" s="83" t="e">
        <f t="shared" si="9"/>
        <v>#N/A</v>
      </c>
      <c r="AJ17" s="60">
        <f t="shared" si="10"/>
        <v>251.3</v>
      </c>
    </row>
    <row r="18" spans="1:36" ht="15" customHeight="1" x14ac:dyDescent="0.4">
      <c r="A18" s="46">
        <v>3</v>
      </c>
      <c r="B18" s="47" t="s">
        <v>116</v>
      </c>
      <c r="C18" s="48" t="s">
        <v>117</v>
      </c>
      <c r="D18" s="49">
        <f>VLOOKUP(C18,'[1]PREÇO ATUAL'!$A:$D,4,0)</f>
        <v>89.9</v>
      </c>
      <c r="E18" s="50"/>
      <c r="F18" s="50"/>
      <c r="G18" s="50">
        <v>1</v>
      </c>
      <c r="H18" s="50"/>
      <c r="I18" s="51"/>
      <c r="J18" s="51">
        <v>1</v>
      </c>
      <c r="K18" s="51"/>
      <c r="L18" s="51"/>
      <c r="M18" s="51">
        <v>1</v>
      </c>
      <c r="N18" s="50"/>
      <c r="O18" s="71"/>
      <c r="P18" s="51">
        <v>1</v>
      </c>
      <c r="Q18" s="51"/>
      <c r="R18" s="51"/>
      <c r="S18" s="51">
        <v>1</v>
      </c>
      <c r="T18" s="52">
        <f t="shared" si="8"/>
        <v>0</v>
      </c>
      <c r="U18" s="52">
        <f t="shared" si="8"/>
        <v>0</v>
      </c>
      <c r="V18" s="52">
        <f t="shared" si="8"/>
        <v>89.9</v>
      </c>
      <c r="W18" s="52">
        <f t="shared" si="8"/>
        <v>0</v>
      </c>
      <c r="X18" s="52">
        <f t="shared" si="8"/>
        <v>0</v>
      </c>
      <c r="Y18" s="52">
        <f t="shared" si="8"/>
        <v>89.9</v>
      </c>
      <c r="Z18" s="52">
        <f t="shared" si="8"/>
        <v>0</v>
      </c>
      <c r="AA18" s="52">
        <f t="shared" si="8"/>
        <v>0</v>
      </c>
      <c r="AB18" s="52">
        <f t="shared" si="8"/>
        <v>89.9</v>
      </c>
      <c r="AC18" s="79">
        <f t="shared" si="8"/>
        <v>0</v>
      </c>
      <c r="AD18" s="79">
        <f t="shared" si="8"/>
        <v>0</v>
      </c>
      <c r="AE18" s="79">
        <f t="shared" si="8"/>
        <v>89.9</v>
      </c>
      <c r="AF18" s="79">
        <f t="shared" si="8"/>
        <v>0</v>
      </c>
      <c r="AG18" s="79">
        <f t="shared" si="8"/>
        <v>0</v>
      </c>
      <c r="AH18" s="79">
        <f t="shared" si="8"/>
        <v>89.9</v>
      </c>
      <c r="AI18" s="82" t="e">
        <f t="shared" si="9"/>
        <v>#N/A</v>
      </c>
      <c r="AJ18" s="52">
        <f t="shared" si="10"/>
        <v>449.5</v>
      </c>
    </row>
    <row r="19" spans="1:36" ht="15" customHeight="1" x14ac:dyDescent="0.4">
      <c r="A19" s="54">
        <v>4</v>
      </c>
      <c r="B19" s="55" t="s">
        <v>118</v>
      </c>
      <c r="C19" s="56" t="s">
        <v>119</v>
      </c>
      <c r="D19" s="57">
        <f>VLOOKUP(C19,'[1]PREÇO ATUAL'!$A:$D,4,0)</f>
        <v>175.9</v>
      </c>
      <c r="E19" s="58"/>
      <c r="F19" s="58"/>
      <c r="G19" s="58"/>
      <c r="H19" s="58">
        <v>4</v>
      </c>
      <c r="I19" s="59"/>
      <c r="J19" s="59"/>
      <c r="K19" s="59"/>
      <c r="L19" s="59">
        <v>4</v>
      </c>
      <c r="M19" s="59"/>
      <c r="N19" s="58"/>
      <c r="O19" s="70"/>
      <c r="P19" s="59">
        <v>4</v>
      </c>
      <c r="Q19" s="59"/>
      <c r="R19" s="59"/>
      <c r="S19" s="59"/>
      <c r="T19" s="60">
        <f t="shared" si="8"/>
        <v>0</v>
      </c>
      <c r="U19" s="60">
        <f t="shared" si="8"/>
        <v>0</v>
      </c>
      <c r="V19" s="60">
        <f t="shared" si="8"/>
        <v>0</v>
      </c>
      <c r="W19" s="60">
        <f t="shared" si="8"/>
        <v>703.6</v>
      </c>
      <c r="X19" s="60">
        <f t="shared" si="8"/>
        <v>0</v>
      </c>
      <c r="Y19" s="60">
        <f t="shared" si="8"/>
        <v>0</v>
      </c>
      <c r="Z19" s="60">
        <f t="shared" si="8"/>
        <v>0</v>
      </c>
      <c r="AA19" s="60">
        <f t="shared" si="8"/>
        <v>703.6</v>
      </c>
      <c r="AB19" s="60">
        <f t="shared" si="8"/>
        <v>0</v>
      </c>
      <c r="AC19" s="80">
        <f t="shared" si="8"/>
        <v>0</v>
      </c>
      <c r="AD19" s="80">
        <f t="shared" si="8"/>
        <v>0</v>
      </c>
      <c r="AE19" s="80">
        <f t="shared" si="8"/>
        <v>703.6</v>
      </c>
      <c r="AF19" s="80">
        <f t="shared" si="8"/>
        <v>0</v>
      </c>
      <c r="AG19" s="80">
        <f t="shared" si="8"/>
        <v>0</v>
      </c>
      <c r="AH19" s="80">
        <f t="shared" si="8"/>
        <v>0</v>
      </c>
      <c r="AI19" s="83" t="e">
        <f t="shared" si="9"/>
        <v>#N/A</v>
      </c>
      <c r="AJ19" s="60">
        <f t="shared" si="10"/>
        <v>2110.8000000000002</v>
      </c>
    </row>
    <row r="20" spans="1:36" ht="15.75" customHeight="1" x14ac:dyDescent="0.4">
      <c r="A20" s="46">
        <v>5</v>
      </c>
      <c r="B20" s="47" t="s">
        <v>120</v>
      </c>
      <c r="C20" s="48" t="s">
        <v>121</v>
      </c>
      <c r="D20" s="49">
        <f>VLOOKUP(C20,'[1]PREÇO ATUAL'!$A:$D,4,0)</f>
        <v>143.22999999999999</v>
      </c>
      <c r="E20" s="50"/>
      <c r="F20" s="50"/>
      <c r="G20" s="50"/>
      <c r="H20" s="50"/>
      <c r="I20" s="51"/>
      <c r="J20" s="51">
        <v>1</v>
      </c>
      <c r="K20" s="51"/>
      <c r="L20" s="51"/>
      <c r="M20" s="51"/>
      <c r="N20" s="50"/>
      <c r="O20" s="71"/>
      <c r="P20" s="51">
        <v>1</v>
      </c>
      <c r="Q20" s="51"/>
      <c r="R20" s="51"/>
      <c r="S20" s="51"/>
      <c r="T20" s="52">
        <f t="shared" si="8"/>
        <v>0</v>
      </c>
      <c r="U20" s="52">
        <f t="shared" si="8"/>
        <v>0</v>
      </c>
      <c r="V20" s="52">
        <f t="shared" si="8"/>
        <v>0</v>
      </c>
      <c r="W20" s="52">
        <f t="shared" si="8"/>
        <v>0</v>
      </c>
      <c r="X20" s="52">
        <f t="shared" si="8"/>
        <v>0</v>
      </c>
      <c r="Y20" s="52">
        <f t="shared" si="8"/>
        <v>143.22999999999999</v>
      </c>
      <c r="Z20" s="52">
        <f t="shared" si="8"/>
        <v>0</v>
      </c>
      <c r="AA20" s="52">
        <f t="shared" si="8"/>
        <v>0</v>
      </c>
      <c r="AB20" s="52">
        <f t="shared" si="8"/>
        <v>0</v>
      </c>
      <c r="AC20" s="79">
        <f t="shared" si="8"/>
        <v>0</v>
      </c>
      <c r="AD20" s="79">
        <f t="shared" si="8"/>
        <v>0</v>
      </c>
      <c r="AE20" s="79">
        <f t="shared" si="8"/>
        <v>143.22999999999999</v>
      </c>
      <c r="AF20" s="79">
        <f t="shared" si="8"/>
        <v>0</v>
      </c>
      <c r="AG20" s="79">
        <f t="shared" si="8"/>
        <v>0</v>
      </c>
      <c r="AH20" s="79">
        <f t="shared" si="8"/>
        <v>0</v>
      </c>
      <c r="AI20" s="82" t="e">
        <f t="shared" si="9"/>
        <v>#N/A</v>
      </c>
      <c r="AJ20" s="52">
        <f t="shared" si="10"/>
        <v>286.45999999999998</v>
      </c>
    </row>
    <row r="21" spans="1:36" ht="15.75" customHeight="1" x14ac:dyDescent="0.4">
      <c r="A21" s="54">
        <v>6</v>
      </c>
      <c r="B21" s="55" t="s">
        <v>124</v>
      </c>
      <c r="C21" s="56" t="s">
        <v>125</v>
      </c>
      <c r="D21" s="57">
        <f>VLOOKUP(C21,'[1]PREÇO ATUAL'!$A:$D,4,0)</f>
        <v>33.6224930838505</v>
      </c>
      <c r="E21" s="73"/>
      <c r="F21" s="73"/>
      <c r="G21" s="73"/>
      <c r="H21" s="58"/>
      <c r="I21" s="74"/>
      <c r="J21" s="74"/>
      <c r="K21" s="74"/>
      <c r="L21" s="59"/>
      <c r="M21" s="74"/>
      <c r="N21" s="73"/>
      <c r="O21" s="99"/>
      <c r="P21" s="74"/>
      <c r="Q21" s="74"/>
      <c r="R21" s="74"/>
      <c r="S21" s="74"/>
      <c r="T21" s="60">
        <v>0</v>
      </c>
      <c r="U21" s="60">
        <f t="shared" ref="U21:AH22" si="11">$D21*F21</f>
        <v>0</v>
      </c>
      <c r="V21" s="60">
        <f t="shared" si="11"/>
        <v>0</v>
      </c>
      <c r="W21" s="60">
        <f t="shared" si="11"/>
        <v>0</v>
      </c>
      <c r="X21" s="60">
        <f t="shared" si="11"/>
        <v>0</v>
      </c>
      <c r="Y21" s="60">
        <f t="shared" si="11"/>
        <v>0</v>
      </c>
      <c r="Z21" s="60">
        <f t="shared" si="11"/>
        <v>0</v>
      </c>
      <c r="AA21" s="60">
        <f t="shared" si="11"/>
        <v>0</v>
      </c>
      <c r="AB21" s="60">
        <f t="shared" si="11"/>
        <v>0</v>
      </c>
      <c r="AC21" s="80">
        <f t="shared" si="11"/>
        <v>0</v>
      </c>
      <c r="AD21" s="80">
        <f t="shared" si="11"/>
        <v>0</v>
      </c>
      <c r="AE21" s="80">
        <f t="shared" si="11"/>
        <v>0</v>
      </c>
      <c r="AF21" s="80">
        <f t="shared" si="11"/>
        <v>0</v>
      </c>
      <c r="AG21" s="80">
        <f t="shared" si="11"/>
        <v>0</v>
      </c>
      <c r="AH21" s="80">
        <f t="shared" si="11"/>
        <v>0</v>
      </c>
      <c r="AI21" s="83" t="e">
        <f t="shared" si="9"/>
        <v>#N/A</v>
      </c>
      <c r="AJ21" s="60">
        <f t="shared" si="10"/>
        <v>0</v>
      </c>
    </row>
    <row r="22" spans="1:36" ht="15.75" customHeight="1" x14ac:dyDescent="0.4">
      <c r="A22" s="46">
        <v>7</v>
      </c>
      <c r="B22" s="47" t="s">
        <v>135</v>
      </c>
      <c r="C22" s="48" t="s">
        <v>123</v>
      </c>
      <c r="D22" s="49">
        <f>VLOOKUP(C22,'[1]PREÇO ATUAL'!$A:$D,4,0)</f>
        <v>165.97811999999999</v>
      </c>
      <c r="E22" s="50"/>
      <c r="F22" s="50"/>
      <c r="G22" s="50"/>
      <c r="H22" s="50"/>
      <c r="I22" s="51"/>
      <c r="J22" s="51"/>
      <c r="K22" s="51"/>
      <c r="L22" s="51"/>
      <c r="M22" s="51"/>
      <c r="N22" s="50"/>
      <c r="O22" s="71"/>
      <c r="P22" s="97">
        <v>2</v>
      </c>
      <c r="Q22" s="51"/>
      <c r="R22" s="51"/>
      <c r="S22" s="51"/>
      <c r="T22" s="52">
        <f>$D22*E22</f>
        <v>0</v>
      </c>
      <c r="U22" s="52">
        <f t="shared" si="11"/>
        <v>0</v>
      </c>
      <c r="V22" s="52">
        <f t="shared" si="11"/>
        <v>0</v>
      </c>
      <c r="W22" s="52">
        <f t="shared" si="11"/>
        <v>0</v>
      </c>
      <c r="X22" s="52">
        <f t="shared" si="11"/>
        <v>0</v>
      </c>
      <c r="Y22" s="52">
        <f t="shared" si="11"/>
        <v>0</v>
      </c>
      <c r="Z22" s="52">
        <f t="shared" si="11"/>
        <v>0</v>
      </c>
      <c r="AA22" s="52">
        <f t="shared" si="11"/>
        <v>0</v>
      </c>
      <c r="AB22" s="52">
        <f t="shared" si="11"/>
        <v>0</v>
      </c>
      <c r="AC22" s="79">
        <f t="shared" si="11"/>
        <v>0</v>
      </c>
      <c r="AD22" s="79">
        <f t="shared" si="11"/>
        <v>0</v>
      </c>
      <c r="AE22" s="79">
        <f t="shared" si="11"/>
        <v>331.95623999999998</v>
      </c>
      <c r="AF22" s="79">
        <f t="shared" si="11"/>
        <v>0</v>
      </c>
      <c r="AG22" s="79">
        <f t="shared" si="11"/>
        <v>0</v>
      </c>
      <c r="AH22" s="79">
        <f t="shared" si="11"/>
        <v>0</v>
      </c>
      <c r="AI22" s="82" t="e">
        <f t="shared" si="9"/>
        <v>#N/A</v>
      </c>
      <c r="AJ22" s="52">
        <f t="shared" si="10"/>
        <v>331.95623999999998</v>
      </c>
    </row>
    <row r="23" spans="1:36" ht="15.75" customHeight="1" x14ac:dyDescent="0.4">
      <c r="A23" s="54">
        <v>8</v>
      </c>
      <c r="B23" s="55" t="s">
        <v>126</v>
      </c>
      <c r="C23" s="56" t="s">
        <v>127</v>
      </c>
      <c r="D23" s="57">
        <f>VLOOKUP(C23,'[1]PREÇO ATUAL'!$A:$D,4,0)</f>
        <v>81.260000000000005</v>
      </c>
      <c r="E23" s="73">
        <v>3.36</v>
      </c>
      <c r="F23" s="73">
        <v>3.36</v>
      </c>
      <c r="G23" s="73">
        <v>3.36</v>
      </c>
      <c r="H23" s="73">
        <v>3.36</v>
      </c>
      <c r="I23" s="74">
        <v>3.36</v>
      </c>
      <c r="J23" s="74">
        <v>3.36</v>
      </c>
      <c r="K23" s="74">
        <v>3.36</v>
      </c>
      <c r="L23" s="74">
        <v>3.36</v>
      </c>
      <c r="M23" s="74">
        <v>3.36</v>
      </c>
      <c r="N23" s="73">
        <v>3.36</v>
      </c>
      <c r="O23" s="99">
        <v>3.36</v>
      </c>
      <c r="P23" s="74">
        <v>3.36</v>
      </c>
      <c r="Q23" s="74">
        <v>3.36</v>
      </c>
      <c r="R23" s="74">
        <v>3.36</v>
      </c>
      <c r="S23" s="74">
        <v>3.36</v>
      </c>
      <c r="T23" s="60">
        <f t="shared" ref="T23:AH23" si="12">$D$10*E23</f>
        <v>273.03360000000004</v>
      </c>
      <c r="U23" s="60">
        <f t="shared" si="12"/>
        <v>273.03360000000004</v>
      </c>
      <c r="V23" s="60">
        <f t="shared" si="12"/>
        <v>273.03360000000004</v>
      </c>
      <c r="W23" s="60">
        <f t="shared" si="12"/>
        <v>273.03360000000004</v>
      </c>
      <c r="X23" s="60">
        <f t="shared" si="12"/>
        <v>273.03360000000004</v>
      </c>
      <c r="Y23" s="60">
        <f t="shared" si="12"/>
        <v>273.03360000000004</v>
      </c>
      <c r="Z23" s="60">
        <f t="shared" si="12"/>
        <v>273.03360000000004</v>
      </c>
      <c r="AA23" s="60">
        <f t="shared" si="12"/>
        <v>273.03360000000004</v>
      </c>
      <c r="AB23" s="60">
        <f t="shared" si="12"/>
        <v>273.03360000000004</v>
      </c>
      <c r="AC23" s="80">
        <f t="shared" si="12"/>
        <v>273.03360000000004</v>
      </c>
      <c r="AD23" s="80">
        <f t="shared" si="12"/>
        <v>273.03360000000004</v>
      </c>
      <c r="AE23" s="80">
        <f t="shared" si="12"/>
        <v>273.03360000000004</v>
      </c>
      <c r="AF23" s="80">
        <f t="shared" si="12"/>
        <v>273.03360000000004</v>
      </c>
      <c r="AG23" s="80">
        <f t="shared" si="12"/>
        <v>273.03360000000004</v>
      </c>
      <c r="AH23" s="80">
        <f t="shared" si="12"/>
        <v>273.03360000000004</v>
      </c>
      <c r="AI23" s="83" t="e">
        <f t="shared" si="9"/>
        <v>#N/A</v>
      </c>
      <c r="AJ23" s="60">
        <f t="shared" si="10"/>
        <v>4095.5040000000017</v>
      </c>
    </row>
    <row r="24" spans="1:36" ht="15.75" customHeight="1" x14ac:dyDescent="0.4">
      <c r="A24" s="46">
        <v>9</v>
      </c>
      <c r="B24" s="47" t="s">
        <v>128</v>
      </c>
      <c r="C24" s="48" t="s">
        <v>54</v>
      </c>
      <c r="D24" s="49" t="e">
        <f>VLOOKUP(C24,'[1]PREÇO ATUAL'!$A:$D,4,0)</f>
        <v>#N/A</v>
      </c>
      <c r="E24" s="75">
        <v>0.8</v>
      </c>
      <c r="F24" s="75">
        <v>0.95</v>
      </c>
      <c r="G24" s="75">
        <v>0.8</v>
      </c>
      <c r="H24" s="75">
        <v>1.25</v>
      </c>
      <c r="I24" s="76">
        <v>0.95</v>
      </c>
      <c r="J24" s="76">
        <v>0.95</v>
      </c>
      <c r="K24" s="76">
        <v>0.8</v>
      </c>
      <c r="L24" s="76">
        <v>1.25</v>
      </c>
      <c r="M24" s="76">
        <v>0.8</v>
      </c>
      <c r="N24" s="75">
        <v>1.1000000000000001</v>
      </c>
      <c r="O24" s="98">
        <v>0.8</v>
      </c>
      <c r="P24" s="76">
        <v>1.25</v>
      </c>
      <c r="Q24" s="76">
        <v>0.8</v>
      </c>
      <c r="R24" s="76">
        <v>0.95</v>
      </c>
      <c r="S24" s="76">
        <v>0.95</v>
      </c>
      <c r="T24" s="52" t="e">
        <f>D24*E24</f>
        <v>#N/A</v>
      </c>
      <c r="U24" s="52" t="e">
        <f t="shared" ref="U24:AH24" si="13">$D$11*F24</f>
        <v>#N/A</v>
      </c>
      <c r="V24" s="52" t="e">
        <f t="shared" si="13"/>
        <v>#N/A</v>
      </c>
      <c r="W24" s="52" t="e">
        <f t="shared" si="13"/>
        <v>#N/A</v>
      </c>
      <c r="X24" s="52" t="e">
        <f t="shared" si="13"/>
        <v>#N/A</v>
      </c>
      <c r="Y24" s="52" t="e">
        <f t="shared" si="13"/>
        <v>#N/A</v>
      </c>
      <c r="Z24" s="52" t="e">
        <f t="shared" si="13"/>
        <v>#N/A</v>
      </c>
      <c r="AA24" s="52" t="e">
        <f t="shared" si="13"/>
        <v>#N/A</v>
      </c>
      <c r="AB24" s="52" t="e">
        <f t="shared" si="13"/>
        <v>#N/A</v>
      </c>
      <c r="AC24" s="79" t="e">
        <f t="shared" si="13"/>
        <v>#N/A</v>
      </c>
      <c r="AD24" s="79" t="e">
        <f t="shared" si="13"/>
        <v>#N/A</v>
      </c>
      <c r="AE24" s="79" t="e">
        <f t="shared" si="13"/>
        <v>#N/A</v>
      </c>
      <c r="AF24" s="79" t="e">
        <f t="shared" si="13"/>
        <v>#N/A</v>
      </c>
      <c r="AG24" s="79" t="e">
        <f t="shared" si="13"/>
        <v>#N/A</v>
      </c>
      <c r="AH24" s="79" t="e">
        <f t="shared" si="13"/>
        <v>#N/A</v>
      </c>
      <c r="AI24" s="82" t="e">
        <f t="shared" si="9"/>
        <v>#N/A</v>
      </c>
      <c r="AJ24" s="52" t="e">
        <f t="shared" si="10"/>
        <v>#N/A</v>
      </c>
    </row>
    <row r="25" spans="1:36" ht="15.75" customHeight="1" x14ac:dyDescent="0.4"/>
    <row r="26" spans="1:36" ht="15.75" customHeight="1" x14ac:dyDescent="0.4"/>
    <row r="27" spans="1:36" ht="15.75" customHeight="1" x14ac:dyDescent="0.4">
      <c r="T27" s="110"/>
    </row>
    <row r="28" spans="1:36" ht="15.75" customHeight="1" x14ac:dyDescent="0.4"/>
    <row r="29" spans="1:36" ht="15.75" customHeight="1" x14ac:dyDescent="0.4"/>
    <row r="30" spans="1:36" ht="15.75" customHeight="1" x14ac:dyDescent="0.4"/>
    <row r="31" spans="1:36" ht="15.75" customHeight="1" x14ac:dyDescent="0.4"/>
    <row r="32" spans="1:36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10">
    <mergeCell ref="E13:S14"/>
    <mergeCell ref="A1:D2"/>
    <mergeCell ref="AI13:AJ13"/>
    <mergeCell ref="E1:S2"/>
    <mergeCell ref="AI1:AJ1"/>
    <mergeCell ref="AI2:AJ2"/>
    <mergeCell ref="T1:AH1"/>
    <mergeCell ref="A13:D14"/>
    <mergeCell ref="AI14:AJ14"/>
    <mergeCell ref="T13:AH1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FF00"/>
  </sheetPr>
  <dimension ref="A1:Z983"/>
  <sheetViews>
    <sheetView showGridLines="0" zoomScaleNormal="100" workbookViewId="0">
      <pane xSplit="4" topLeftCell="E1" activePane="topRight" state="frozen"/>
      <selection pane="topRight" activeCell="B3" sqref="B3"/>
    </sheetView>
  </sheetViews>
  <sheetFormatPr defaultColWidth="14.4609375" defaultRowHeight="14.6" x14ac:dyDescent="0.4"/>
  <cols>
    <col min="1" max="1" width="3.69140625" customWidth="1"/>
    <col min="2" max="2" width="46.3046875" customWidth="1"/>
    <col min="3" max="3" width="16.84375" customWidth="1"/>
    <col min="4" max="4" width="8.69140625" customWidth="1"/>
    <col min="5" max="14" width="5.15234375" customWidth="1"/>
    <col min="15" max="15" width="14.15234375" customWidth="1"/>
    <col min="16" max="17" width="13.4609375" customWidth="1"/>
    <col min="18" max="18" width="15.3828125" customWidth="1"/>
    <col min="19" max="19" width="13.4609375" customWidth="1"/>
    <col min="20" max="20" width="15.3828125" customWidth="1"/>
    <col min="21" max="21" width="13.4609375" customWidth="1"/>
    <col min="22" max="22" width="15.3828125" customWidth="1"/>
    <col min="23" max="23" width="15.69140625" customWidth="1"/>
    <col min="24" max="24" width="14.53515625" customWidth="1"/>
    <col min="25" max="25" width="9.15234375" customWidth="1"/>
    <col min="26" max="26" width="15.53515625" customWidth="1"/>
  </cols>
  <sheetData>
    <row r="1" spans="1:26" ht="15" customHeight="1" x14ac:dyDescent="0.4">
      <c r="A1" s="233" t="s">
        <v>220</v>
      </c>
      <c r="B1" s="211"/>
      <c r="C1" s="211"/>
      <c r="D1" s="211"/>
      <c r="E1" s="242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22" t="s">
        <v>2</v>
      </c>
      <c r="P1" s="223"/>
      <c r="Q1" s="223"/>
      <c r="R1" s="223"/>
      <c r="S1" s="223"/>
      <c r="T1" s="223"/>
      <c r="U1" s="223"/>
      <c r="V1" s="223"/>
      <c r="W1" s="223"/>
      <c r="X1" s="223"/>
      <c r="Y1" s="232" t="s">
        <v>3</v>
      </c>
      <c r="Z1" s="209"/>
    </row>
    <row r="2" spans="1:26" ht="15" customHeight="1" x14ac:dyDescent="0.4">
      <c r="A2" s="234"/>
      <c r="B2" s="217"/>
      <c r="C2" s="217"/>
      <c r="D2" s="217"/>
      <c r="E2" s="35"/>
      <c r="F2" s="36"/>
      <c r="G2" s="36"/>
      <c r="H2" s="36"/>
      <c r="I2" s="36"/>
      <c r="J2" s="36"/>
      <c r="K2" s="36"/>
      <c r="L2" s="36"/>
      <c r="M2" s="36"/>
      <c r="N2" s="111"/>
      <c r="O2" s="37" t="e">
        <f t="shared" ref="O2:X2" si="0">MROUND(SUM(O4:O10),1)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e">
        <f>SUM(Y4:Y10)</f>
        <v>#N/A</v>
      </c>
      <c r="Z3" s="39" t="s">
        <v>25</v>
      </c>
    </row>
    <row r="4" spans="1:26" ht="15" customHeight="1" x14ac:dyDescent="0.4">
      <c r="A4" s="46">
        <v>1</v>
      </c>
      <c r="B4" s="47" t="s">
        <v>112</v>
      </c>
      <c r="C4" s="48" t="s">
        <v>184</v>
      </c>
      <c r="D4" s="49">
        <f>VLOOKUP(C4,'[1]PREÇO ATUAL'!$A:$D,4,0)</f>
        <v>112.46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84">
        <v>1</v>
      </c>
      <c r="O4" s="52">
        <f t="shared" ref="O4:X7" si="1">$D4*E4</f>
        <v>112.46</v>
      </c>
      <c r="P4" s="52">
        <f t="shared" si="1"/>
        <v>112.46</v>
      </c>
      <c r="Q4" s="52">
        <f t="shared" si="1"/>
        <v>112.46</v>
      </c>
      <c r="R4" s="52">
        <f t="shared" si="1"/>
        <v>112.46</v>
      </c>
      <c r="S4" s="52">
        <f t="shared" si="1"/>
        <v>112.46</v>
      </c>
      <c r="T4" s="52">
        <f t="shared" si="1"/>
        <v>112.46</v>
      </c>
      <c r="U4" s="52">
        <f t="shared" si="1"/>
        <v>112.46</v>
      </c>
      <c r="V4" s="52">
        <f t="shared" si="1"/>
        <v>112.46</v>
      </c>
      <c r="W4" s="52">
        <f t="shared" si="1"/>
        <v>112.46</v>
      </c>
      <c r="X4" s="79">
        <f t="shared" si="1"/>
        <v>112.46</v>
      </c>
      <c r="Y4" s="82" t="e">
        <f t="shared" ref="Y4:Y10" si="2">Z4/$Y$2</f>
        <v>#N/A</v>
      </c>
      <c r="Z4" s="52">
        <f t="shared" ref="Z4:Z10" si="3">SUM(O4:X4)</f>
        <v>1124.6000000000001</v>
      </c>
    </row>
    <row r="5" spans="1:26" ht="15" customHeight="1" x14ac:dyDescent="0.4">
      <c r="A5" s="54">
        <v>2</v>
      </c>
      <c r="B5" s="55" t="s">
        <v>114</v>
      </c>
      <c r="C5" s="56" t="s">
        <v>185</v>
      </c>
      <c r="D5" s="57">
        <f>VLOOKUP(C5,'[1]PREÇO ATUAL'!$A:$D,4,0)</f>
        <v>35.9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85">
        <v>1</v>
      </c>
      <c r="O5" s="60">
        <f t="shared" si="1"/>
        <v>35.9</v>
      </c>
      <c r="P5" s="60">
        <f t="shared" si="1"/>
        <v>35.9</v>
      </c>
      <c r="Q5" s="60">
        <f t="shared" si="1"/>
        <v>35.9</v>
      </c>
      <c r="R5" s="60">
        <f t="shared" si="1"/>
        <v>35.9</v>
      </c>
      <c r="S5" s="60">
        <f t="shared" si="1"/>
        <v>35.9</v>
      </c>
      <c r="T5" s="60">
        <f t="shared" si="1"/>
        <v>35.9</v>
      </c>
      <c r="U5" s="60">
        <f t="shared" si="1"/>
        <v>35.9</v>
      </c>
      <c r="V5" s="60">
        <f t="shared" si="1"/>
        <v>35.9</v>
      </c>
      <c r="W5" s="60">
        <f t="shared" si="1"/>
        <v>35.9</v>
      </c>
      <c r="X5" s="80">
        <f t="shared" si="1"/>
        <v>35.9</v>
      </c>
      <c r="Y5" s="83" t="e">
        <f t="shared" si="2"/>
        <v>#N/A</v>
      </c>
      <c r="Z5" s="60">
        <f t="shared" si="3"/>
        <v>358.99999999999994</v>
      </c>
    </row>
    <row r="6" spans="1:26" ht="15" customHeight="1" x14ac:dyDescent="0.4">
      <c r="A6" s="46">
        <v>3</v>
      </c>
      <c r="B6" s="47" t="s">
        <v>116</v>
      </c>
      <c r="C6" s="48" t="s">
        <v>221</v>
      </c>
      <c r="D6" s="49">
        <f>VLOOKUP(C6,'[1]PREÇO ATUAL'!$A:$D,4,0)</f>
        <v>114.17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84">
        <v>1</v>
      </c>
      <c r="O6" s="52">
        <f t="shared" si="1"/>
        <v>0</v>
      </c>
      <c r="P6" s="52">
        <f t="shared" si="1"/>
        <v>114.17</v>
      </c>
      <c r="Q6" s="52">
        <f t="shared" si="1"/>
        <v>0</v>
      </c>
      <c r="R6" s="52">
        <f t="shared" si="1"/>
        <v>114.17</v>
      </c>
      <c r="S6" s="52">
        <f t="shared" si="1"/>
        <v>0</v>
      </c>
      <c r="T6" s="52">
        <f t="shared" si="1"/>
        <v>114.17</v>
      </c>
      <c r="U6" s="52">
        <f t="shared" si="1"/>
        <v>0</v>
      </c>
      <c r="V6" s="52">
        <f t="shared" si="1"/>
        <v>114.17</v>
      </c>
      <c r="W6" s="52">
        <f t="shared" si="1"/>
        <v>0</v>
      </c>
      <c r="X6" s="79">
        <f t="shared" si="1"/>
        <v>114.17</v>
      </c>
      <c r="Y6" s="82" t="e">
        <f t="shared" si="2"/>
        <v>#N/A</v>
      </c>
      <c r="Z6" s="52">
        <f t="shared" si="3"/>
        <v>570.85</v>
      </c>
    </row>
    <row r="7" spans="1:26" ht="15" customHeight="1" x14ac:dyDescent="0.4">
      <c r="A7" s="54">
        <v>4</v>
      </c>
      <c r="B7" s="55" t="s">
        <v>118</v>
      </c>
      <c r="C7" s="56" t="s">
        <v>187</v>
      </c>
      <c r="D7" s="57">
        <f>VLOOKUP(C7,'[1]PREÇO ATUAL'!$A:$D,4,0)</f>
        <v>155.01</v>
      </c>
      <c r="E7" s="58"/>
      <c r="F7" s="58"/>
      <c r="G7" s="58"/>
      <c r="H7" s="58"/>
      <c r="I7" s="59"/>
      <c r="J7" s="59">
        <v>4</v>
      </c>
      <c r="K7" s="59"/>
      <c r="L7" s="59"/>
      <c r="M7" s="59"/>
      <c r="N7" s="85"/>
      <c r="O7" s="60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0">
        <f t="shared" si="1"/>
        <v>0</v>
      </c>
      <c r="T7" s="60">
        <f t="shared" si="1"/>
        <v>620.04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80">
        <f t="shared" si="1"/>
        <v>0</v>
      </c>
      <c r="Y7" s="83" t="e">
        <f t="shared" si="2"/>
        <v>#N/A</v>
      </c>
      <c r="Z7" s="60">
        <f t="shared" si="3"/>
        <v>620.04</v>
      </c>
    </row>
    <row r="8" spans="1:26" ht="15.75" customHeight="1" x14ac:dyDescent="0.4">
      <c r="A8" s="112">
        <v>5</v>
      </c>
      <c r="B8" s="113" t="s">
        <v>124</v>
      </c>
      <c r="C8" s="114" t="s">
        <v>125</v>
      </c>
      <c r="D8" s="115">
        <f>VLOOKUP(C8,'[1]PREÇO ATUAL'!$A:$D,4,0)</f>
        <v>33.6224930838505</v>
      </c>
      <c r="E8" s="116"/>
      <c r="F8" s="116"/>
      <c r="G8" s="116"/>
      <c r="H8" s="117"/>
      <c r="I8" s="118"/>
      <c r="J8" s="118"/>
      <c r="K8" s="118"/>
      <c r="L8" s="119"/>
      <c r="M8" s="118"/>
      <c r="N8" s="120"/>
      <c r="O8" s="121">
        <v>0</v>
      </c>
      <c r="P8" s="121">
        <f t="shared" ref="P8:X8" si="4">$D8*F8</f>
        <v>0</v>
      </c>
      <c r="Q8" s="121">
        <f t="shared" si="4"/>
        <v>0</v>
      </c>
      <c r="R8" s="121">
        <f t="shared" si="4"/>
        <v>0</v>
      </c>
      <c r="S8" s="121">
        <f t="shared" si="4"/>
        <v>0</v>
      </c>
      <c r="T8" s="121">
        <f t="shared" si="4"/>
        <v>0</v>
      </c>
      <c r="U8" s="121">
        <f t="shared" si="4"/>
        <v>0</v>
      </c>
      <c r="V8" s="121">
        <f t="shared" si="4"/>
        <v>0</v>
      </c>
      <c r="W8" s="121">
        <f t="shared" si="4"/>
        <v>0</v>
      </c>
      <c r="X8" s="122">
        <f t="shared" si="4"/>
        <v>0</v>
      </c>
      <c r="Y8" s="123" t="e">
        <f t="shared" si="2"/>
        <v>#N/A</v>
      </c>
      <c r="Z8" s="121">
        <f t="shared" si="3"/>
        <v>0</v>
      </c>
    </row>
    <row r="9" spans="1:26" ht="15.75" customHeight="1" x14ac:dyDescent="0.4">
      <c r="A9" s="124">
        <v>6</v>
      </c>
      <c r="B9" s="125" t="s">
        <v>188</v>
      </c>
      <c r="C9" s="126" t="s">
        <v>189</v>
      </c>
      <c r="D9" s="127">
        <f>VLOOKUP(C9,'[1]PREÇO ATUAL'!$A:$D,4,0)</f>
        <v>87.82</v>
      </c>
      <c r="E9" s="128">
        <v>4.8</v>
      </c>
      <c r="F9" s="128">
        <v>4.8</v>
      </c>
      <c r="G9" s="128">
        <v>4.8</v>
      </c>
      <c r="H9" s="128">
        <v>4.8</v>
      </c>
      <c r="I9" s="128">
        <v>4.8</v>
      </c>
      <c r="J9" s="128">
        <v>4.8</v>
      </c>
      <c r="K9" s="128">
        <v>4.8</v>
      </c>
      <c r="L9" s="128">
        <v>4.8</v>
      </c>
      <c r="M9" s="128">
        <v>4.8</v>
      </c>
      <c r="N9" s="128">
        <v>4.8</v>
      </c>
      <c r="O9" s="129">
        <f t="shared" ref="O9:X9" si="5">$D$9*E9</f>
        <v>421.53599999999994</v>
      </c>
      <c r="P9" s="129">
        <f t="shared" si="5"/>
        <v>421.53599999999994</v>
      </c>
      <c r="Q9" s="129">
        <f t="shared" si="5"/>
        <v>421.53599999999994</v>
      </c>
      <c r="R9" s="129">
        <f t="shared" si="5"/>
        <v>421.53599999999994</v>
      </c>
      <c r="S9" s="129">
        <f t="shared" si="5"/>
        <v>421.53599999999994</v>
      </c>
      <c r="T9" s="129">
        <f t="shared" si="5"/>
        <v>421.53599999999994</v>
      </c>
      <c r="U9" s="129">
        <f t="shared" si="5"/>
        <v>421.53599999999994</v>
      </c>
      <c r="V9" s="129">
        <f t="shared" si="5"/>
        <v>421.53599999999994</v>
      </c>
      <c r="W9" s="129">
        <f t="shared" si="5"/>
        <v>421.53599999999994</v>
      </c>
      <c r="X9" s="130">
        <f t="shared" si="5"/>
        <v>421.53599999999994</v>
      </c>
      <c r="Y9" s="131" t="e">
        <f t="shared" si="2"/>
        <v>#N/A</v>
      </c>
      <c r="Z9" s="129">
        <f t="shared" si="3"/>
        <v>4215.3599999999997</v>
      </c>
    </row>
    <row r="10" spans="1:26" ht="15.75" customHeight="1" x14ac:dyDescent="0.4">
      <c r="A10" s="112">
        <v>7</v>
      </c>
      <c r="B10" s="113" t="s">
        <v>128</v>
      </c>
      <c r="C10" s="114" t="s">
        <v>54</v>
      </c>
      <c r="D10" s="115" t="e">
        <f>VLOOKUP(C10,'[1]PREÇO ATUAL'!$A:$D,4,0)</f>
        <v>#N/A</v>
      </c>
      <c r="E10" s="116">
        <v>0.85</v>
      </c>
      <c r="F10" s="116">
        <v>0.9</v>
      </c>
      <c r="G10" s="116">
        <v>0.85</v>
      </c>
      <c r="H10" s="116">
        <v>0.95</v>
      </c>
      <c r="I10" s="118">
        <v>0.95</v>
      </c>
      <c r="J10" s="118">
        <v>1.1499999999999999</v>
      </c>
      <c r="K10" s="118">
        <v>0.85</v>
      </c>
      <c r="L10" s="118">
        <v>0.95</v>
      </c>
      <c r="M10" s="118">
        <v>0.85</v>
      </c>
      <c r="N10" s="120">
        <v>1</v>
      </c>
      <c r="O10" s="121" t="e">
        <f>D10*E10</f>
        <v>#N/A</v>
      </c>
      <c r="P10" s="121" t="e">
        <f t="shared" ref="P10:X10" si="6">$D$10*F10</f>
        <v>#N/A</v>
      </c>
      <c r="Q10" s="121" t="e">
        <f t="shared" si="6"/>
        <v>#N/A</v>
      </c>
      <c r="R10" s="121" t="e">
        <f t="shared" si="6"/>
        <v>#N/A</v>
      </c>
      <c r="S10" s="121" t="e">
        <f t="shared" si="6"/>
        <v>#N/A</v>
      </c>
      <c r="T10" s="121" t="e">
        <f t="shared" si="6"/>
        <v>#N/A</v>
      </c>
      <c r="U10" s="121" t="e">
        <f t="shared" si="6"/>
        <v>#N/A</v>
      </c>
      <c r="V10" s="121" t="e">
        <f t="shared" si="6"/>
        <v>#N/A</v>
      </c>
      <c r="W10" s="121" t="e">
        <f t="shared" si="6"/>
        <v>#N/A</v>
      </c>
      <c r="X10" s="122" t="e">
        <f t="shared" si="6"/>
        <v>#N/A</v>
      </c>
      <c r="Y10" s="123" t="e">
        <f t="shared" si="2"/>
        <v>#N/A</v>
      </c>
      <c r="Z10" s="121" t="e">
        <f t="shared" si="3"/>
        <v>#N/A</v>
      </c>
    </row>
    <row r="11" spans="1:26" ht="15.75" customHeight="1" x14ac:dyDescent="0.4">
      <c r="H11" s="81"/>
    </row>
    <row r="12" spans="1:26" ht="15.75" customHeight="1" x14ac:dyDescent="0.4"/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</sheetData>
  <mergeCells count="5">
    <mergeCell ref="A1:D2"/>
    <mergeCell ref="Y2:Z2"/>
    <mergeCell ref="Y1:Z1"/>
    <mergeCell ref="O1:X1"/>
    <mergeCell ref="E1:N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6CFC24"/>
  </sheetPr>
  <dimension ref="A1:AJ985"/>
  <sheetViews>
    <sheetView showGridLines="0" zoomScaleNormal="100" workbookViewId="0">
      <pane xSplit="4" topLeftCell="E1" activePane="topRight" state="frozen"/>
      <selection pane="topRight"/>
    </sheetView>
  </sheetViews>
  <sheetFormatPr defaultColWidth="14.4609375" defaultRowHeight="14.6" x14ac:dyDescent="0.4"/>
  <cols>
    <col min="1" max="1" width="3.69140625" customWidth="1"/>
    <col min="2" max="2" width="52.3828125" customWidth="1"/>
    <col min="3" max="3" width="16.84375" customWidth="1"/>
    <col min="4" max="4" width="8.69140625" customWidth="1"/>
    <col min="5" max="19" width="5.15234375" customWidth="1"/>
    <col min="20" max="20" width="14.15234375" customWidth="1"/>
    <col min="21" max="22" width="13.4609375" customWidth="1"/>
    <col min="23" max="23" width="15.3828125" customWidth="1"/>
    <col min="24" max="24" width="13.4609375" customWidth="1"/>
    <col min="25" max="25" width="15.3828125" customWidth="1"/>
    <col min="26" max="26" width="13.4609375" customWidth="1"/>
    <col min="27" max="27" width="15.3828125" customWidth="1"/>
    <col min="28" max="28" width="15.69140625" customWidth="1"/>
    <col min="29" max="29" width="14.53515625" customWidth="1"/>
    <col min="30" max="30" width="13.69140625" customWidth="1"/>
    <col min="31" max="31" width="15.69140625" customWidth="1"/>
    <col min="32" max="34" width="14.53515625" customWidth="1"/>
    <col min="35" max="35" width="9.15234375" customWidth="1"/>
    <col min="36" max="36" width="15.53515625" customWidth="1"/>
  </cols>
  <sheetData>
    <row r="1" spans="1:36" ht="15.75" customHeight="1" x14ac:dyDescent="0.4">
      <c r="A1" s="239" t="s">
        <v>222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e">
        <f t="shared" ref="T2:AH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SUM(T2:AG2)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2">
        <f>AC3+10000</f>
        <v>110000</v>
      </c>
      <c r="AE3" s="42">
        <f>AD3+10000</f>
        <v>120000</v>
      </c>
      <c r="AF3" s="42">
        <f>AE3+10000</f>
        <v>130000</v>
      </c>
      <c r="AG3" s="42">
        <f>AF3+10000</f>
        <v>140000</v>
      </c>
      <c r="AH3" s="42">
        <f>AG3+10000</f>
        <v>150000</v>
      </c>
      <c r="AI3" s="45" t="e">
        <f>SUM(AI4:AI11)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184</v>
      </c>
      <c r="D4" s="49">
        <f>VLOOKUP(C4,'[1]PREÇO ATUAL'!$A:$D,4,0)</f>
        <v>112.46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1">
        <v>1</v>
      </c>
      <c r="P4" s="50">
        <v>1</v>
      </c>
      <c r="Q4" s="51">
        <v>1</v>
      </c>
      <c r="R4" s="50">
        <v>1</v>
      </c>
      <c r="S4" s="50">
        <v>1</v>
      </c>
      <c r="T4" s="52">
        <f t="shared" ref="T4:AH10" si="1">$D4*E4</f>
        <v>112.46</v>
      </c>
      <c r="U4" s="52">
        <f t="shared" si="1"/>
        <v>112.46</v>
      </c>
      <c r="V4" s="52">
        <f t="shared" si="1"/>
        <v>112.46</v>
      </c>
      <c r="W4" s="52">
        <f t="shared" si="1"/>
        <v>112.46</v>
      </c>
      <c r="X4" s="52">
        <f t="shared" si="1"/>
        <v>112.46</v>
      </c>
      <c r="Y4" s="52">
        <f t="shared" si="1"/>
        <v>112.46</v>
      </c>
      <c r="Z4" s="52">
        <f t="shared" si="1"/>
        <v>112.46</v>
      </c>
      <c r="AA4" s="52">
        <f t="shared" si="1"/>
        <v>112.46</v>
      </c>
      <c r="AB4" s="52">
        <f t="shared" si="1"/>
        <v>112.46</v>
      </c>
      <c r="AC4" s="52">
        <f t="shared" si="1"/>
        <v>112.46</v>
      </c>
      <c r="AD4" s="52">
        <f t="shared" si="1"/>
        <v>112.46</v>
      </c>
      <c r="AE4" s="52">
        <f t="shared" si="1"/>
        <v>112.46</v>
      </c>
      <c r="AF4" s="52">
        <f t="shared" si="1"/>
        <v>112.46</v>
      </c>
      <c r="AG4" s="79">
        <f t="shared" si="1"/>
        <v>112.46</v>
      </c>
      <c r="AH4" s="79">
        <f t="shared" si="1"/>
        <v>112.46</v>
      </c>
      <c r="AI4" s="82" t="e">
        <f t="shared" ref="AI4:AI11" si="2">AJ4/$AI$2</f>
        <v>#N/A</v>
      </c>
      <c r="AJ4" s="52">
        <f t="shared" ref="AJ4:AJ11" si="3">SUM(T4:AG4)</f>
        <v>1574.4400000000003</v>
      </c>
    </row>
    <row r="5" spans="1:36" ht="15" customHeight="1" x14ac:dyDescent="0.4">
      <c r="A5" s="54">
        <v>2</v>
      </c>
      <c r="B5" s="55" t="s">
        <v>114</v>
      </c>
      <c r="C5" s="56" t="s">
        <v>185</v>
      </c>
      <c r="D5" s="57">
        <f>VLOOKUP(C5,'[1]PREÇO ATUAL'!$A:$D,4,0)</f>
        <v>35.9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8">
        <v>1</v>
      </c>
      <c r="O5" s="59">
        <v>1</v>
      </c>
      <c r="P5" s="58">
        <v>1</v>
      </c>
      <c r="Q5" s="59">
        <v>1</v>
      </c>
      <c r="R5" s="58">
        <v>1</v>
      </c>
      <c r="S5" s="58">
        <v>1</v>
      </c>
      <c r="T5" s="60">
        <f t="shared" si="1"/>
        <v>35.9</v>
      </c>
      <c r="U5" s="60">
        <f t="shared" si="1"/>
        <v>35.9</v>
      </c>
      <c r="V5" s="60">
        <f t="shared" si="1"/>
        <v>35.9</v>
      </c>
      <c r="W5" s="60">
        <f t="shared" si="1"/>
        <v>35.9</v>
      </c>
      <c r="X5" s="60">
        <f t="shared" si="1"/>
        <v>35.9</v>
      </c>
      <c r="Y5" s="60">
        <f t="shared" si="1"/>
        <v>35.9</v>
      </c>
      <c r="Z5" s="60">
        <f t="shared" si="1"/>
        <v>35.9</v>
      </c>
      <c r="AA5" s="60">
        <f t="shared" si="1"/>
        <v>35.9</v>
      </c>
      <c r="AB5" s="60">
        <f t="shared" si="1"/>
        <v>35.9</v>
      </c>
      <c r="AC5" s="60">
        <f t="shared" si="1"/>
        <v>35.9</v>
      </c>
      <c r="AD5" s="60">
        <f t="shared" si="1"/>
        <v>35.9</v>
      </c>
      <c r="AE5" s="60">
        <f t="shared" si="1"/>
        <v>35.9</v>
      </c>
      <c r="AF5" s="60">
        <f t="shared" si="1"/>
        <v>35.9</v>
      </c>
      <c r="AG5" s="80">
        <f t="shared" si="1"/>
        <v>35.9</v>
      </c>
      <c r="AH5" s="80">
        <f t="shared" si="1"/>
        <v>35.9</v>
      </c>
      <c r="AI5" s="83" t="e">
        <f t="shared" si="2"/>
        <v>#N/A</v>
      </c>
      <c r="AJ5" s="60">
        <f t="shared" si="3"/>
        <v>502.59999999999985</v>
      </c>
    </row>
    <row r="6" spans="1:36" ht="15" customHeight="1" x14ac:dyDescent="0.4">
      <c r="A6" s="46">
        <v>3</v>
      </c>
      <c r="B6" s="47" t="s">
        <v>116</v>
      </c>
      <c r="C6" s="48" t="s">
        <v>186</v>
      </c>
      <c r="D6" s="49">
        <f>VLOOKUP(C6,'[1]PREÇO ATUAL'!$A:$D,4,0)</f>
        <v>180.21</v>
      </c>
      <c r="E6" s="50"/>
      <c r="F6" s="50"/>
      <c r="G6" s="50">
        <v>1</v>
      </c>
      <c r="H6" s="50"/>
      <c r="I6" s="51"/>
      <c r="J6" s="51">
        <v>1</v>
      </c>
      <c r="K6" s="51"/>
      <c r="L6" s="51"/>
      <c r="M6" s="51">
        <v>1</v>
      </c>
      <c r="N6" s="50"/>
      <c r="O6" s="51"/>
      <c r="P6" s="50">
        <v>1</v>
      </c>
      <c r="Q6" s="51"/>
      <c r="R6" s="50"/>
      <c r="S6" s="51">
        <v>1</v>
      </c>
      <c r="T6" s="52">
        <f t="shared" si="1"/>
        <v>0</v>
      </c>
      <c r="U6" s="52">
        <f t="shared" si="1"/>
        <v>0</v>
      </c>
      <c r="V6" s="52">
        <f t="shared" si="1"/>
        <v>180.21</v>
      </c>
      <c r="W6" s="52">
        <f t="shared" si="1"/>
        <v>0</v>
      </c>
      <c r="X6" s="52">
        <f t="shared" si="1"/>
        <v>0</v>
      </c>
      <c r="Y6" s="52">
        <f t="shared" si="1"/>
        <v>180.21</v>
      </c>
      <c r="Z6" s="52">
        <f t="shared" si="1"/>
        <v>0</v>
      </c>
      <c r="AA6" s="52">
        <f t="shared" si="1"/>
        <v>0</v>
      </c>
      <c r="AB6" s="52">
        <f t="shared" si="1"/>
        <v>180.21</v>
      </c>
      <c r="AC6" s="52">
        <f t="shared" si="1"/>
        <v>0</v>
      </c>
      <c r="AD6" s="52">
        <f t="shared" si="1"/>
        <v>0</v>
      </c>
      <c r="AE6" s="52">
        <f t="shared" si="1"/>
        <v>180.21</v>
      </c>
      <c r="AF6" s="52">
        <f t="shared" si="1"/>
        <v>0</v>
      </c>
      <c r="AG6" s="79">
        <f t="shared" si="1"/>
        <v>0</v>
      </c>
      <c r="AH6" s="79">
        <f t="shared" si="1"/>
        <v>180.21</v>
      </c>
      <c r="AI6" s="82" t="e">
        <f t="shared" si="2"/>
        <v>#N/A</v>
      </c>
      <c r="AJ6" s="52">
        <f t="shared" si="3"/>
        <v>720.84</v>
      </c>
    </row>
    <row r="7" spans="1:36" ht="15" customHeight="1" x14ac:dyDescent="0.4">
      <c r="A7" s="54">
        <v>4</v>
      </c>
      <c r="B7" s="55" t="s">
        <v>118</v>
      </c>
      <c r="C7" s="56" t="s">
        <v>187</v>
      </c>
      <c r="D7" s="57">
        <f>VLOOKUP(C7,'[1]PREÇO ATUAL'!$A:$D,4,0)</f>
        <v>155.01</v>
      </c>
      <c r="E7" s="58"/>
      <c r="F7" s="58"/>
      <c r="G7" s="58"/>
      <c r="H7" s="58"/>
      <c r="I7" s="59"/>
      <c r="J7" s="59">
        <v>3</v>
      </c>
      <c r="K7" s="59"/>
      <c r="L7" s="59"/>
      <c r="M7" s="59"/>
      <c r="N7" s="58"/>
      <c r="O7" s="70"/>
      <c r="P7" s="59">
        <v>3</v>
      </c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60">
        <f t="shared" si="1"/>
        <v>465.03</v>
      </c>
      <c r="Z7" s="60">
        <f t="shared" si="1"/>
        <v>0</v>
      </c>
      <c r="AA7" s="60">
        <f t="shared" si="1"/>
        <v>0</v>
      </c>
      <c r="AB7" s="60">
        <f t="shared" si="1"/>
        <v>0</v>
      </c>
      <c r="AC7" s="60">
        <f t="shared" si="1"/>
        <v>0</v>
      </c>
      <c r="AD7" s="60">
        <f t="shared" si="1"/>
        <v>0</v>
      </c>
      <c r="AE7" s="60">
        <f t="shared" si="1"/>
        <v>465.03</v>
      </c>
      <c r="AF7" s="60">
        <f t="shared" si="1"/>
        <v>0</v>
      </c>
      <c r="AG7" s="80">
        <f t="shared" si="1"/>
        <v>0</v>
      </c>
      <c r="AH7" s="80">
        <f t="shared" si="1"/>
        <v>0</v>
      </c>
      <c r="AI7" s="83" t="e">
        <f t="shared" si="2"/>
        <v>#N/A</v>
      </c>
      <c r="AJ7" s="60">
        <f t="shared" si="3"/>
        <v>930.06</v>
      </c>
    </row>
    <row r="8" spans="1:36" ht="15" customHeight="1" x14ac:dyDescent="0.4">
      <c r="A8" s="46">
        <v>5</v>
      </c>
      <c r="B8" s="47" t="s">
        <v>124</v>
      </c>
      <c r="C8" s="48" t="s">
        <v>125</v>
      </c>
      <c r="D8" s="49">
        <f>VLOOKUP(C8,'[1]PREÇO ATUAL'!$A:$D,4,0)</f>
        <v>33.6224930838505</v>
      </c>
      <c r="E8" s="50"/>
      <c r="F8" s="50"/>
      <c r="G8" s="50"/>
      <c r="H8" s="50"/>
      <c r="I8" s="51"/>
      <c r="J8" s="51"/>
      <c r="K8" s="51"/>
      <c r="L8" s="51"/>
      <c r="M8" s="51"/>
      <c r="N8" s="50"/>
      <c r="O8" s="71"/>
      <c r="P8" s="51"/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52">
        <f t="shared" si="1"/>
        <v>0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0</v>
      </c>
      <c r="AF8" s="52">
        <f t="shared" si="1"/>
        <v>0</v>
      </c>
      <c r="AG8" s="79">
        <f t="shared" si="1"/>
        <v>0</v>
      </c>
      <c r="AH8" s="79">
        <f t="shared" si="1"/>
        <v>0</v>
      </c>
      <c r="AI8" s="82" t="e">
        <f t="shared" si="2"/>
        <v>#N/A</v>
      </c>
      <c r="AJ8" s="52">
        <f t="shared" si="3"/>
        <v>0</v>
      </c>
    </row>
    <row r="9" spans="1:36" ht="25.5" customHeight="1" x14ac:dyDescent="0.4">
      <c r="A9" s="54">
        <v>6</v>
      </c>
      <c r="B9" s="67" t="s">
        <v>223</v>
      </c>
      <c r="C9" s="56" t="s">
        <v>224</v>
      </c>
      <c r="D9" s="57">
        <f>VLOOKUP(C9,'[1]PREÇO ATUAL'!$A:$D,4,0)</f>
        <v>180.85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59">
        <v>1</v>
      </c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180.85</v>
      </c>
      <c r="AF9" s="60">
        <f t="shared" si="1"/>
        <v>0</v>
      </c>
      <c r="AG9" s="80">
        <f t="shared" si="1"/>
        <v>0</v>
      </c>
      <c r="AH9" s="80">
        <f t="shared" si="1"/>
        <v>0</v>
      </c>
      <c r="AI9" s="83" t="e">
        <f t="shared" si="2"/>
        <v>#N/A</v>
      </c>
      <c r="AJ9" s="60">
        <f t="shared" si="3"/>
        <v>180.85</v>
      </c>
    </row>
    <row r="10" spans="1:36" ht="15" customHeight="1" x14ac:dyDescent="0.4">
      <c r="A10" s="46">
        <v>7</v>
      </c>
      <c r="B10" s="47" t="s">
        <v>188</v>
      </c>
      <c r="C10" s="48" t="s">
        <v>189</v>
      </c>
      <c r="D10" s="49">
        <f>VLOOKUP(C10,'[1]PREÇO ATUAL'!$A:$D,4,0)</f>
        <v>87.82</v>
      </c>
      <c r="E10" s="75">
        <v>3.6</v>
      </c>
      <c r="F10" s="75">
        <v>3.6</v>
      </c>
      <c r="G10" s="75">
        <v>3.6</v>
      </c>
      <c r="H10" s="75">
        <v>3.6</v>
      </c>
      <c r="I10" s="76">
        <v>3.6</v>
      </c>
      <c r="J10" s="76">
        <v>3.6</v>
      </c>
      <c r="K10" s="76">
        <v>3.6</v>
      </c>
      <c r="L10" s="76">
        <v>3.6</v>
      </c>
      <c r="M10" s="76">
        <v>3.6</v>
      </c>
      <c r="N10" s="75">
        <v>3.6</v>
      </c>
      <c r="O10" s="98">
        <v>3.6</v>
      </c>
      <c r="P10" s="76">
        <v>3.6</v>
      </c>
      <c r="Q10" s="76">
        <v>3.6</v>
      </c>
      <c r="R10" s="76">
        <v>3.6</v>
      </c>
      <c r="S10" s="76">
        <v>3.6</v>
      </c>
      <c r="T10" s="52">
        <f t="shared" si="1"/>
        <v>316.15199999999999</v>
      </c>
      <c r="U10" s="52">
        <f t="shared" si="1"/>
        <v>316.15199999999999</v>
      </c>
      <c r="V10" s="52">
        <f t="shared" si="1"/>
        <v>316.15199999999999</v>
      </c>
      <c r="W10" s="52">
        <f t="shared" si="1"/>
        <v>316.15199999999999</v>
      </c>
      <c r="X10" s="52">
        <f t="shared" si="1"/>
        <v>316.15199999999999</v>
      </c>
      <c r="Y10" s="52">
        <f t="shared" si="1"/>
        <v>316.15199999999999</v>
      </c>
      <c r="Z10" s="52">
        <f t="shared" si="1"/>
        <v>316.15199999999999</v>
      </c>
      <c r="AA10" s="52">
        <f t="shared" si="1"/>
        <v>316.15199999999999</v>
      </c>
      <c r="AB10" s="52">
        <f t="shared" si="1"/>
        <v>316.15199999999999</v>
      </c>
      <c r="AC10" s="52">
        <f t="shared" si="1"/>
        <v>316.15199999999999</v>
      </c>
      <c r="AD10" s="52">
        <f t="shared" si="1"/>
        <v>316.15199999999999</v>
      </c>
      <c r="AE10" s="52">
        <f t="shared" si="1"/>
        <v>316.15199999999999</v>
      </c>
      <c r="AF10" s="52">
        <f t="shared" si="1"/>
        <v>316.15199999999999</v>
      </c>
      <c r="AG10" s="79">
        <f t="shared" si="1"/>
        <v>316.15199999999999</v>
      </c>
      <c r="AH10" s="79">
        <f t="shared" si="1"/>
        <v>316.15199999999999</v>
      </c>
      <c r="AI10" s="82" t="e">
        <f t="shared" si="2"/>
        <v>#N/A</v>
      </c>
      <c r="AJ10" s="52">
        <f t="shared" si="3"/>
        <v>4426.1279999999997</v>
      </c>
    </row>
    <row r="11" spans="1:36" ht="1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73">
        <v>0.85</v>
      </c>
      <c r="F11" s="73">
        <v>0.9</v>
      </c>
      <c r="G11" s="73">
        <v>0.85</v>
      </c>
      <c r="H11" s="73">
        <v>0.9</v>
      </c>
      <c r="I11" s="74">
        <v>0.95</v>
      </c>
      <c r="J11" s="74">
        <v>1.05</v>
      </c>
      <c r="K11" s="74">
        <v>0.85</v>
      </c>
      <c r="L11" s="74">
        <v>0.9</v>
      </c>
      <c r="M11" s="74">
        <v>0.85</v>
      </c>
      <c r="N11" s="73">
        <v>1</v>
      </c>
      <c r="O11" s="99">
        <v>0.85</v>
      </c>
      <c r="P11" s="74">
        <v>1.25</v>
      </c>
      <c r="Q11" s="74">
        <v>0.85</v>
      </c>
      <c r="R11" s="74">
        <v>0.9</v>
      </c>
      <c r="S11" s="74">
        <v>0.95</v>
      </c>
      <c r="T11" s="60" t="e">
        <f>D11*E11</f>
        <v>#N/A</v>
      </c>
      <c r="U11" s="60" t="e">
        <f t="shared" ref="U11:AH11" si="4">$D11*F11</f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0" t="e">
        <f t="shared" si="4"/>
        <v>#N/A</v>
      </c>
      <c r="Z11" s="60" t="e">
        <f t="shared" si="4"/>
        <v>#N/A</v>
      </c>
      <c r="AA11" s="60" t="e">
        <f t="shared" si="4"/>
        <v>#N/A</v>
      </c>
      <c r="AB11" s="60" t="e">
        <f t="shared" si="4"/>
        <v>#N/A</v>
      </c>
      <c r="AC11" s="60" t="e">
        <f t="shared" si="4"/>
        <v>#N/A</v>
      </c>
      <c r="AD11" s="60" t="e">
        <f t="shared" si="4"/>
        <v>#N/A</v>
      </c>
      <c r="AE11" s="60" t="e">
        <f t="shared" si="4"/>
        <v>#N/A</v>
      </c>
      <c r="AF11" s="60" t="e">
        <f t="shared" si="4"/>
        <v>#N/A</v>
      </c>
      <c r="AG11" s="80" t="e">
        <f t="shared" si="4"/>
        <v>#N/A</v>
      </c>
      <c r="AH11" s="80" t="e">
        <f t="shared" si="4"/>
        <v>#N/A</v>
      </c>
      <c r="AI11" s="83" t="e">
        <f t="shared" si="2"/>
        <v>#N/A</v>
      </c>
      <c r="AJ11" s="60" t="e">
        <f t="shared" si="3"/>
        <v>#N/A</v>
      </c>
    </row>
    <row r="12" spans="1:36" ht="15" customHeight="1" x14ac:dyDescent="0.4">
      <c r="H12" s="65"/>
      <c r="L12" s="65"/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5">
    <mergeCell ref="A1:D2"/>
    <mergeCell ref="E1:S1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CFC24"/>
  </sheetPr>
  <dimension ref="A1:AJ985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44.53515625" customWidth="1"/>
    <col min="3" max="3" width="16.84375" customWidth="1"/>
    <col min="4" max="4" width="8.69140625" customWidth="1"/>
    <col min="5" max="19" width="5.15234375" customWidth="1"/>
    <col min="20" max="20" width="14.15234375" customWidth="1"/>
    <col min="21" max="22" width="13.4609375" customWidth="1"/>
    <col min="23" max="23" width="15.3828125" customWidth="1"/>
    <col min="24" max="24" width="13.4609375" customWidth="1"/>
    <col min="25" max="25" width="15.3828125" customWidth="1"/>
    <col min="26" max="26" width="13.4609375" customWidth="1"/>
    <col min="27" max="27" width="15.3828125" customWidth="1"/>
    <col min="28" max="29" width="15.69140625" customWidth="1"/>
    <col min="30" max="30" width="13.69140625" customWidth="1"/>
    <col min="31" max="31" width="15.69140625" customWidth="1"/>
    <col min="32" max="32" width="13.69140625" customWidth="1"/>
    <col min="33" max="33" width="15.69140625" customWidth="1"/>
    <col min="34" max="34" width="13.69140625" customWidth="1"/>
    <col min="35" max="35" width="7" customWidth="1"/>
  </cols>
  <sheetData>
    <row r="1" spans="1:36" ht="15.75" customHeight="1" x14ac:dyDescent="0.4">
      <c r="A1" s="239" t="s">
        <v>225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H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132" t="e">
        <f t="shared" si="0"/>
        <v>#N/A</v>
      </c>
      <c r="AD2" s="132" t="e">
        <f t="shared" si="0"/>
        <v>#N/A</v>
      </c>
      <c r="AE2" s="132" t="e">
        <f t="shared" si="0"/>
        <v>#N/A</v>
      </c>
      <c r="AF2" s="132" t="e">
        <f t="shared" si="0"/>
        <v>#N/A</v>
      </c>
      <c r="AG2" s="132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f t="shared" ref="AC3:AH3" si="1">AB3+10000</f>
        <v>100000</v>
      </c>
      <c r="AD3" s="42">
        <f t="shared" si="1"/>
        <v>110000</v>
      </c>
      <c r="AE3" s="42">
        <f t="shared" si="1"/>
        <v>120000</v>
      </c>
      <c r="AF3" s="42">
        <f t="shared" si="1"/>
        <v>130000</v>
      </c>
      <c r="AG3" s="42">
        <f t="shared" si="1"/>
        <v>140000</v>
      </c>
      <c r="AH3" s="42">
        <f t="shared" si="1"/>
        <v>150000</v>
      </c>
      <c r="AI3" s="45" t="e">
        <f>SUM(AI4:AI11)</f>
        <v>#N/A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184</v>
      </c>
      <c r="D4" s="49">
        <f>VLOOKUP(C4,'[1]PREÇO ATUAL'!$A:$D,4,0)</f>
        <v>112.46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0">
        <v>1</v>
      </c>
      <c r="O4" s="51">
        <v>1</v>
      </c>
      <c r="P4" s="50">
        <v>1</v>
      </c>
      <c r="Q4" s="51">
        <v>1</v>
      </c>
      <c r="R4" s="50">
        <v>1</v>
      </c>
      <c r="S4" s="51">
        <v>1</v>
      </c>
      <c r="T4" s="52">
        <f t="shared" ref="T4:AH10" si="2">$D4*E4</f>
        <v>112.46</v>
      </c>
      <c r="U4" s="52">
        <f t="shared" si="2"/>
        <v>112.46</v>
      </c>
      <c r="V4" s="52">
        <f t="shared" si="2"/>
        <v>112.46</v>
      </c>
      <c r="W4" s="52">
        <f t="shared" si="2"/>
        <v>112.46</v>
      </c>
      <c r="X4" s="52">
        <f t="shared" si="2"/>
        <v>112.46</v>
      </c>
      <c r="Y4" s="52">
        <f t="shared" si="2"/>
        <v>112.46</v>
      </c>
      <c r="Z4" s="52">
        <f t="shared" si="2"/>
        <v>112.46</v>
      </c>
      <c r="AA4" s="52">
        <f t="shared" si="2"/>
        <v>112.46</v>
      </c>
      <c r="AB4" s="52">
        <f t="shared" si="2"/>
        <v>112.46</v>
      </c>
      <c r="AC4" s="79">
        <f t="shared" si="2"/>
        <v>112.46</v>
      </c>
      <c r="AD4" s="79">
        <f t="shared" si="2"/>
        <v>112.46</v>
      </c>
      <c r="AE4" s="79">
        <f t="shared" si="2"/>
        <v>112.46</v>
      </c>
      <c r="AF4" s="79">
        <f t="shared" si="2"/>
        <v>112.46</v>
      </c>
      <c r="AG4" s="79">
        <f t="shared" si="2"/>
        <v>112.46</v>
      </c>
      <c r="AH4" s="79">
        <f t="shared" si="2"/>
        <v>112.46</v>
      </c>
      <c r="AI4" s="82" t="e">
        <f>AJ4/$AI$2</f>
        <v>#N/A</v>
      </c>
      <c r="AJ4" s="52">
        <f t="shared" ref="AJ4:AJ11" si="3">SUM(T4:AH4)</f>
        <v>1686.9000000000003</v>
      </c>
    </row>
    <row r="5" spans="1:36" ht="15" customHeight="1" x14ac:dyDescent="0.4">
      <c r="A5" s="54">
        <v>2</v>
      </c>
      <c r="B5" s="55" t="s">
        <v>114</v>
      </c>
      <c r="C5" s="56" t="s">
        <v>185</v>
      </c>
      <c r="D5" s="57">
        <f>VLOOKUP(C5,'[1]PREÇO ATUAL'!$A:$D,4,0)</f>
        <v>35.9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8">
        <v>1</v>
      </c>
      <c r="O5" s="59">
        <v>1</v>
      </c>
      <c r="P5" s="58">
        <v>1</v>
      </c>
      <c r="Q5" s="59">
        <v>1</v>
      </c>
      <c r="R5" s="58">
        <v>1</v>
      </c>
      <c r="S5" s="59">
        <v>1</v>
      </c>
      <c r="T5" s="60">
        <f t="shared" si="2"/>
        <v>35.9</v>
      </c>
      <c r="U5" s="60">
        <f t="shared" si="2"/>
        <v>35.9</v>
      </c>
      <c r="V5" s="60">
        <f t="shared" si="2"/>
        <v>35.9</v>
      </c>
      <c r="W5" s="60">
        <f t="shared" si="2"/>
        <v>35.9</v>
      </c>
      <c r="X5" s="60">
        <f t="shared" si="2"/>
        <v>35.9</v>
      </c>
      <c r="Y5" s="60">
        <f t="shared" si="2"/>
        <v>35.9</v>
      </c>
      <c r="Z5" s="60">
        <f t="shared" si="2"/>
        <v>35.9</v>
      </c>
      <c r="AA5" s="60">
        <f t="shared" si="2"/>
        <v>35.9</v>
      </c>
      <c r="AB5" s="60">
        <f t="shared" si="2"/>
        <v>35.9</v>
      </c>
      <c r="AC5" s="80">
        <f t="shared" si="2"/>
        <v>35.9</v>
      </c>
      <c r="AD5" s="80">
        <f t="shared" si="2"/>
        <v>35.9</v>
      </c>
      <c r="AE5" s="80">
        <f t="shared" si="2"/>
        <v>35.9</v>
      </c>
      <c r="AF5" s="80">
        <f t="shared" si="2"/>
        <v>35.9</v>
      </c>
      <c r="AG5" s="80">
        <f t="shared" si="2"/>
        <v>35.9</v>
      </c>
      <c r="AH5" s="80">
        <f t="shared" si="2"/>
        <v>35.9</v>
      </c>
      <c r="AI5" s="83" t="e">
        <f>AJ5/$AI$2</f>
        <v>#N/A</v>
      </c>
      <c r="AJ5" s="60">
        <f t="shared" si="3"/>
        <v>538.49999999999989</v>
      </c>
    </row>
    <row r="6" spans="1:36" ht="15" customHeight="1" x14ac:dyDescent="0.4">
      <c r="A6" s="46">
        <v>3</v>
      </c>
      <c r="B6" s="47" t="s">
        <v>116</v>
      </c>
      <c r="C6" s="48" t="s">
        <v>221</v>
      </c>
      <c r="D6" s="49">
        <f>VLOOKUP(C6,'[1]PREÇO ATUAL'!$A:$D,4,0)</f>
        <v>114.17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0">
        <v>1</v>
      </c>
      <c r="O6" s="51"/>
      <c r="P6" s="50">
        <v>1</v>
      </c>
      <c r="Q6" s="51"/>
      <c r="R6" s="50">
        <v>1</v>
      </c>
      <c r="S6" s="51"/>
      <c r="T6" s="52">
        <f t="shared" si="2"/>
        <v>0</v>
      </c>
      <c r="U6" s="52">
        <f t="shared" si="2"/>
        <v>114.17</v>
      </c>
      <c r="V6" s="52">
        <f t="shared" si="2"/>
        <v>0</v>
      </c>
      <c r="W6" s="52">
        <f t="shared" si="2"/>
        <v>114.17</v>
      </c>
      <c r="X6" s="52">
        <f t="shared" si="2"/>
        <v>0</v>
      </c>
      <c r="Y6" s="52">
        <f t="shared" si="2"/>
        <v>114.17</v>
      </c>
      <c r="Z6" s="52">
        <f t="shared" si="2"/>
        <v>0</v>
      </c>
      <c r="AA6" s="52">
        <f t="shared" si="2"/>
        <v>114.17</v>
      </c>
      <c r="AB6" s="52">
        <f t="shared" si="2"/>
        <v>0</v>
      </c>
      <c r="AC6" s="79">
        <f t="shared" si="2"/>
        <v>114.17</v>
      </c>
      <c r="AD6" s="79">
        <f t="shared" si="2"/>
        <v>0</v>
      </c>
      <c r="AE6" s="79">
        <f t="shared" si="2"/>
        <v>114.17</v>
      </c>
      <c r="AF6" s="79">
        <f t="shared" si="2"/>
        <v>0</v>
      </c>
      <c r="AG6" s="79">
        <f t="shared" si="2"/>
        <v>114.17</v>
      </c>
      <c r="AH6" s="79">
        <f t="shared" si="2"/>
        <v>0</v>
      </c>
      <c r="AI6" s="82" t="e">
        <f>AJ6/$AI$2</f>
        <v>#N/A</v>
      </c>
      <c r="AJ6" s="52">
        <f t="shared" si="3"/>
        <v>799.18999999999994</v>
      </c>
    </row>
    <row r="7" spans="1:36" ht="15" customHeight="1" x14ac:dyDescent="0.4">
      <c r="A7" s="54">
        <v>4</v>
      </c>
      <c r="B7" s="55" t="s">
        <v>118</v>
      </c>
      <c r="C7" s="56" t="s">
        <v>187</v>
      </c>
      <c r="D7" s="57">
        <f>VLOOKUP(C7,'[1]PREÇO ATUAL'!$A:$D,4,0)</f>
        <v>155.01</v>
      </c>
      <c r="E7" s="58"/>
      <c r="F7" s="58"/>
      <c r="G7" s="58"/>
      <c r="H7" s="58"/>
      <c r="I7" s="59"/>
      <c r="J7" s="59">
        <v>4</v>
      </c>
      <c r="K7" s="59"/>
      <c r="L7" s="59"/>
      <c r="M7" s="59"/>
      <c r="N7" s="58"/>
      <c r="O7" s="70"/>
      <c r="P7" s="59">
        <v>4</v>
      </c>
      <c r="Q7" s="59"/>
      <c r="R7" s="59"/>
      <c r="S7" s="59"/>
      <c r="T7" s="60">
        <f t="shared" si="2"/>
        <v>0</v>
      </c>
      <c r="U7" s="60">
        <f t="shared" si="2"/>
        <v>0</v>
      </c>
      <c r="V7" s="60">
        <f t="shared" si="2"/>
        <v>0</v>
      </c>
      <c r="W7" s="60">
        <f t="shared" si="2"/>
        <v>0</v>
      </c>
      <c r="X7" s="60">
        <f t="shared" si="2"/>
        <v>0</v>
      </c>
      <c r="Y7" s="60">
        <f t="shared" si="2"/>
        <v>620.04</v>
      </c>
      <c r="Z7" s="60">
        <f t="shared" si="2"/>
        <v>0</v>
      </c>
      <c r="AA7" s="60">
        <f t="shared" si="2"/>
        <v>0</v>
      </c>
      <c r="AB7" s="60">
        <f t="shared" si="2"/>
        <v>0</v>
      </c>
      <c r="AC7" s="80">
        <f t="shared" si="2"/>
        <v>0</v>
      </c>
      <c r="AD7" s="80">
        <f t="shared" si="2"/>
        <v>0</v>
      </c>
      <c r="AE7" s="80">
        <f t="shared" si="2"/>
        <v>620.04</v>
      </c>
      <c r="AF7" s="80">
        <f t="shared" si="2"/>
        <v>0</v>
      </c>
      <c r="AG7" s="80">
        <f t="shared" si="2"/>
        <v>0</v>
      </c>
      <c r="AH7" s="80">
        <f t="shared" si="2"/>
        <v>0</v>
      </c>
      <c r="AI7" s="83" t="e">
        <f>AJ7/$AI$2</f>
        <v>#N/A</v>
      </c>
      <c r="AJ7" s="60">
        <f t="shared" si="3"/>
        <v>1240.08</v>
      </c>
    </row>
    <row r="8" spans="1:36" ht="15" customHeight="1" x14ac:dyDescent="0.4">
      <c r="A8" s="46">
        <v>5</v>
      </c>
      <c r="B8" s="47" t="s">
        <v>124</v>
      </c>
      <c r="C8" s="48" t="s">
        <v>125</v>
      </c>
      <c r="D8" s="49">
        <f>VLOOKUP(C8,'[1]PREÇO ATUAL'!$A:$D,4,0)</f>
        <v>33.6224930838505</v>
      </c>
      <c r="E8" s="50"/>
      <c r="F8" s="50"/>
      <c r="G8" s="50"/>
      <c r="H8" s="50"/>
      <c r="I8" s="51"/>
      <c r="J8" s="51"/>
      <c r="K8" s="51"/>
      <c r="L8" s="51"/>
      <c r="M8" s="51"/>
      <c r="N8" s="50"/>
      <c r="O8" s="71"/>
      <c r="P8" s="51"/>
      <c r="Q8" s="51"/>
      <c r="R8" s="51"/>
      <c r="S8" s="51"/>
      <c r="T8" s="52">
        <f t="shared" si="2"/>
        <v>0</v>
      </c>
      <c r="U8" s="52">
        <f t="shared" si="2"/>
        <v>0</v>
      </c>
      <c r="V8" s="52">
        <f t="shared" si="2"/>
        <v>0</v>
      </c>
      <c r="W8" s="52">
        <f t="shared" si="2"/>
        <v>0</v>
      </c>
      <c r="X8" s="52">
        <f t="shared" si="2"/>
        <v>0</v>
      </c>
      <c r="Y8" s="52">
        <f t="shared" si="2"/>
        <v>0</v>
      </c>
      <c r="Z8" s="52">
        <f t="shared" si="2"/>
        <v>0</v>
      </c>
      <c r="AA8" s="52">
        <f t="shared" si="2"/>
        <v>0</v>
      </c>
      <c r="AB8" s="52">
        <f t="shared" si="2"/>
        <v>0</v>
      </c>
      <c r="AC8" s="79">
        <f t="shared" si="2"/>
        <v>0</v>
      </c>
      <c r="AD8" s="79">
        <f t="shared" si="2"/>
        <v>0</v>
      </c>
      <c r="AE8" s="79">
        <f t="shared" si="2"/>
        <v>0</v>
      </c>
      <c r="AF8" s="79">
        <f t="shared" si="2"/>
        <v>0</v>
      </c>
      <c r="AG8" s="79">
        <f t="shared" si="2"/>
        <v>0</v>
      </c>
      <c r="AH8" s="79">
        <f t="shared" si="2"/>
        <v>0</v>
      </c>
      <c r="AI8" s="82" t="e">
        <f>AJ8/$AI$2</f>
        <v>#N/A</v>
      </c>
      <c r="AJ8" s="52">
        <f t="shared" si="3"/>
        <v>0</v>
      </c>
    </row>
    <row r="9" spans="1:36" ht="28.5" customHeight="1" x14ac:dyDescent="0.4">
      <c r="A9" s="54">
        <v>6</v>
      </c>
      <c r="B9" s="67" t="s">
        <v>223</v>
      </c>
      <c r="C9" s="56" t="s">
        <v>226</v>
      </c>
      <c r="D9" s="57">
        <f>VLOOKUP(C9,'[1]PREÇO ATUAL'!$A:$D,4,0)</f>
        <v>88.64</v>
      </c>
      <c r="E9" s="58"/>
      <c r="F9" s="58"/>
      <c r="G9" s="58"/>
      <c r="H9" s="58"/>
      <c r="I9" s="59"/>
      <c r="J9" s="59"/>
      <c r="K9" s="59"/>
      <c r="L9" s="59"/>
      <c r="M9" s="59"/>
      <c r="N9" s="58"/>
      <c r="O9" s="70"/>
      <c r="P9" s="59">
        <v>1</v>
      </c>
      <c r="Q9" s="59"/>
      <c r="R9" s="59"/>
      <c r="S9" s="59"/>
      <c r="T9" s="60">
        <f t="shared" si="2"/>
        <v>0</v>
      </c>
      <c r="U9" s="60">
        <f t="shared" si="2"/>
        <v>0</v>
      </c>
      <c r="V9" s="60">
        <f t="shared" si="2"/>
        <v>0</v>
      </c>
      <c r="W9" s="60">
        <f t="shared" si="2"/>
        <v>0</v>
      </c>
      <c r="X9" s="60">
        <f t="shared" si="2"/>
        <v>0</v>
      </c>
      <c r="Y9" s="60">
        <f t="shared" si="2"/>
        <v>0</v>
      </c>
      <c r="Z9" s="60">
        <f t="shared" si="2"/>
        <v>0</v>
      </c>
      <c r="AA9" s="60">
        <f t="shared" si="2"/>
        <v>0</v>
      </c>
      <c r="AB9" s="60">
        <f t="shared" si="2"/>
        <v>0</v>
      </c>
      <c r="AC9" s="80">
        <f t="shared" si="2"/>
        <v>0</v>
      </c>
      <c r="AD9" s="80">
        <f t="shared" si="2"/>
        <v>0</v>
      </c>
      <c r="AE9" s="80">
        <f t="shared" si="2"/>
        <v>88.64</v>
      </c>
      <c r="AF9" s="80">
        <f t="shared" si="2"/>
        <v>0</v>
      </c>
      <c r="AG9" s="80">
        <f t="shared" si="2"/>
        <v>0</v>
      </c>
      <c r="AH9" s="80">
        <f t="shared" si="2"/>
        <v>0</v>
      </c>
      <c r="AI9" s="83"/>
      <c r="AJ9" s="60">
        <f t="shared" si="3"/>
        <v>88.64</v>
      </c>
    </row>
    <row r="10" spans="1:36" ht="15" customHeight="1" x14ac:dyDescent="0.4">
      <c r="A10" s="46">
        <v>7</v>
      </c>
      <c r="B10" s="47" t="s">
        <v>188</v>
      </c>
      <c r="C10" s="48" t="s">
        <v>189</v>
      </c>
      <c r="D10" s="49">
        <f>VLOOKUP(C10,'[1]PREÇO ATUAL'!$A:$D,4,0)</f>
        <v>87.82</v>
      </c>
      <c r="E10" s="75">
        <v>4.8</v>
      </c>
      <c r="F10" s="75">
        <v>4.8</v>
      </c>
      <c r="G10" s="75">
        <v>4.8</v>
      </c>
      <c r="H10" s="75">
        <v>4.8</v>
      </c>
      <c r="I10" s="76">
        <v>4.8</v>
      </c>
      <c r="J10" s="76">
        <v>4.8</v>
      </c>
      <c r="K10" s="76">
        <v>4.8</v>
      </c>
      <c r="L10" s="76">
        <v>4.8</v>
      </c>
      <c r="M10" s="76">
        <v>4.8</v>
      </c>
      <c r="N10" s="75">
        <v>4.8</v>
      </c>
      <c r="O10" s="98">
        <v>4.8</v>
      </c>
      <c r="P10" s="76">
        <v>4.8</v>
      </c>
      <c r="Q10" s="76">
        <v>4.8</v>
      </c>
      <c r="R10" s="76">
        <v>4.8</v>
      </c>
      <c r="S10" s="76">
        <v>4.8</v>
      </c>
      <c r="T10" s="52">
        <f t="shared" si="2"/>
        <v>421.53599999999994</v>
      </c>
      <c r="U10" s="52">
        <f t="shared" si="2"/>
        <v>421.53599999999994</v>
      </c>
      <c r="V10" s="52">
        <f t="shared" si="2"/>
        <v>421.53599999999994</v>
      </c>
      <c r="W10" s="52">
        <f t="shared" si="2"/>
        <v>421.53599999999994</v>
      </c>
      <c r="X10" s="52">
        <f t="shared" si="2"/>
        <v>421.53599999999994</v>
      </c>
      <c r="Y10" s="52">
        <f t="shared" si="2"/>
        <v>421.53599999999994</v>
      </c>
      <c r="Z10" s="52">
        <f t="shared" si="2"/>
        <v>421.53599999999994</v>
      </c>
      <c r="AA10" s="52">
        <f t="shared" si="2"/>
        <v>421.53599999999994</v>
      </c>
      <c r="AB10" s="52">
        <f t="shared" si="2"/>
        <v>421.53599999999994</v>
      </c>
      <c r="AC10" s="79">
        <f t="shared" si="2"/>
        <v>421.53599999999994</v>
      </c>
      <c r="AD10" s="79">
        <f t="shared" si="2"/>
        <v>421.53599999999994</v>
      </c>
      <c r="AE10" s="79">
        <f t="shared" si="2"/>
        <v>421.53599999999994</v>
      </c>
      <c r="AF10" s="79">
        <f t="shared" si="2"/>
        <v>421.53599999999994</v>
      </c>
      <c r="AG10" s="79">
        <f t="shared" si="2"/>
        <v>421.53599999999994</v>
      </c>
      <c r="AH10" s="79">
        <f t="shared" si="2"/>
        <v>421.53599999999994</v>
      </c>
      <c r="AI10" s="82" t="e">
        <f>AJ10/$AI$2</f>
        <v>#N/A</v>
      </c>
      <c r="AJ10" s="52">
        <f t="shared" si="3"/>
        <v>6323.04</v>
      </c>
    </row>
    <row r="11" spans="1:36" ht="1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73">
        <v>0.85</v>
      </c>
      <c r="F11" s="73">
        <v>0.9</v>
      </c>
      <c r="G11" s="73">
        <v>0.85</v>
      </c>
      <c r="H11" s="73">
        <v>0.95</v>
      </c>
      <c r="I11" s="74">
        <v>0.95</v>
      </c>
      <c r="J11" s="74">
        <v>1.1499999999999999</v>
      </c>
      <c r="K11" s="74">
        <v>0.85</v>
      </c>
      <c r="L11" s="74">
        <v>0.95</v>
      </c>
      <c r="M11" s="74">
        <v>0.85</v>
      </c>
      <c r="N11" s="73">
        <v>1</v>
      </c>
      <c r="O11" s="99">
        <v>0.8</v>
      </c>
      <c r="P11" s="74">
        <v>1.25</v>
      </c>
      <c r="Q11" s="74">
        <v>0.8</v>
      </c>
      <c r="R11" s="74">
        <v>0.95</v>
      </c>
      <c r="S11" s="74">
        <v>0.95</v>
      </c>
      <c r="T11" s="60" t="e">
        <f>D11*E11</f>
        <v>#N/A</v>
      </c>
      <c r="U11" s="60" t="e">
        <f t="shared" ref="U11:AH11" si="4">$D11*F11</f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60" t="e">
        <f t="shared" si="4"/>
        <v>#N/A</v>
      </c>
      <c r="Z11" s="60" t="e">
        <f t="shared" si="4"/>
        <v>#N/A</v>
      </c>
      <c r="AA11" s="60" t="e">
        <f t="shared" si="4"/>
        <v>#N/A</v>
      </c>
      <c r="AB11" s="60" t="e">
        <f t="shared" si="4"/>
        <v>#N/A</v>
      </c>
      <c r="AC11" s="80" t="e">
        <f t="shared" si="4"/>
        <v>#N/A</v>
      </c>
      <c r="AD11" s="80" t="e">
        <f t="shared" si="4"/>
        <v>#N/A</v>
      </c>
      <c r="AE11" s="80" t="e">
        <f t="shared" si="4"/>
        <v>#N/A</v>
      </c>
      <c r="AF11" s="80" t="e">
        <f t="shared" si="4"/>
        <v>#N/A</v>
      </c>
      <c r="AG11" s="80" t="e">
        <f t="shared" si="4"/>
        <v>#N/A</v>
      </c>
      <c r="AH11" s="80" t="e">
        <f t="shared" si="4"/>
        <v>#N/A</v>
      </c>
      <c r="AI11" s="83" t="e">
        <f>AJ11/$AI$2</f>
        <v>#N/A</v>
      </c>
      <c r="AJ11" s="60" t="e">
        <f t="shared" si="3"/>
        <v>#N/A</v>
      </c>
    </row>
    <row r="12" spans="1:36" ht="15" customHeight="1" x14ac:dyDescent="0.4">
      <c r="H12" s="65"/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</sheetData>
  <mergeCells count="5">
    <mergeCell ref="A1:D2"/>
    <mergeCell ref="E1:S2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FF00"/>
  </sheetPr>
  <dimension ref="A1:AJ975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54.84375" customWidth="1"/>
    <col min="3" max="3" width="16.84375" customWidth="1"/>
    <col min="4" max="4" width="8.69140625" customWidth="1"/>
    <col min="5" max="14" width="7.15234375" customWidth="1"/>
    <col min="15" max="15" width="5.53515625" customWidth="1"/>
    <col min="16" max="19" width="7.15234375" customWidth="1"/>
    <col min="20" max="21" width="14.53515625" customWidth="1"/>
    <col min="22" max="22" width="15.69140625" customWidth="1"/>
    <col min="23" max="24" width="14.53515625" customWidth="1"/>
    <col min="25" max="25" width="16.84375" customWidth="1"/>
    <col min="26" max="27" width="14.53515625" customWidth="1"/>
    <col min="28" max="28" width="15.69140625" customWidth="1"/>
    <col min="29" max="30" width="13.69140625" customWidth="1"/>
    <col min="31" max="31" width="15.69140625" customWidth="1"/>
    <col min="32" max="33" width="13.69140625" customWidth="1"/>
    <col min="34" max="34" width="15.69140625" customWidth="1"/>
    <col min="35" max="35" width="8.3828125" customWidth="1"/>
  </cols>
  <sheetData>
    <row r="1" spans="1:36" ht="15.75" customHeight="1" x14ac:dyDescent="0.4">
      <c r="A1" s="239" t="s">
        <v>227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38" t="e">
        <f t="shared" ref="T2:AH2" si="0">MROUND(SUM(T4:T14),1)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228</v>
      </c>
      <c r="C4" s="48" t="s">
        <v>159</v>
      </c>
      <c r="D4" s="49">
        <f>VLOOKUP(C4,'[1]PREÇO ATUAL'!$A:$D,4,0)</f>
        <v>71.2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>
        <v>1</v>
      </c>
      <c r="P4" s="51">
        <v>1</v>
      </c>
      <c r="Q4" s="51">
        <v>1</v>
      </c>
      <c r="R4" s="51">
        <v>1</v>
      </c>
      <c r="S4" s="51">
        <v>1</v>
      </c>
      <c r="T4" s="52">
        <f t="shared" ref="T4:T13" si="1">$D4*E4</f>
        <v>71.2</v>
      </c>
      <c r="U4" s="52">
        <f t="shared" ref="U4:U13" si="2">$D4*F4</f>
        <v>71.2</v>
      </c>
      <c r="V4" s="52">
        <f t="shared" ref="V4:V13" si="3">$D4*G4</f>
        <v>71.2</v>
      </c>
      <c r="W4" s="52">
        <f t="shared" ref="W4:W13" si="4">$D4*H4</f>
        <v>71.2</v>
      </c>
      <c r="X4" s="52">
        <f t="shared" ref="X4:X13" si="5">$D4*I4</f>
        <v>71.2</v>
      </c>
      <c r="Y4" s="52">
        <f t="shared" ref="Y4:Y13" si="6">$D4*J4</f>
        <v>71.2</v>
      </c>
      <c r="Z4" s="52">
        <f t="shared" ref="Z4:Z13" si="7">$D4*K4</f>
        <v>71.2</v>
      </c>
      <c r="AA4" s="52">
        <f t="shared" ref="AA4:AA13" si="8">$D4*L4</f>
        <v>71.2</v>
      </c>
      <c r="AB4" s="52">
        <f t="shared" ref="AB4:AB13" si="9">$D4*M4</f>
        <v>71.2</v>
      </c>
      <c r="AC4" s="52">
        <f t="shared" ref="AC4:AC13" si="10">$D4*N4</f>
        <v>71.2</v>
      </c>
      <c r="AD4" s="52">
        <f t="shared" ref="AD4:AD13" si="11">$D4*O4</f>
        <v>71.2</v>
      </c>
      <c r="AE4" s="52">
        <f t="shared" ref="AE4:AE13" si="12">$D4*P4</f>
        <v>71.2</v>
      </c>
      <c r="AF4" s="52">
        <f t="shared" ref="AF4:AF13" si="13">$D4*Q4</f>
        <v>71.2</v>
      </c>
      <c r="AG4" s="52">
        <f t="shared" ref="AG4:AG13" si="14">$D4*R4</f>
        <v>71.2</v>
      </c>
      <c r="AH4" s="52">
        <f t="shared" ref="AH4:AH13" si="15">$D4*S4</f>
        <v>71.2</v>
      </c>
      <c r="AI4" s="82" t="e">
        <f t="shared" ref="AI4:AI10" si="16">AJ4/$AI$2</f>
        <v>#N/A</v>
      </c>
      <c r="AJ4" s="52">
        <f t="shared" ref="AJ4:AJ14" si="17">SUM(T4:AH4)</f>
        <v>1068.0000000000002</v>
      </c>
    </row>
    <row r="5" spans="1:36" ht="15" customHeight="1" x14ac:dyDescent="0.4">
      <c r="A5" s="54">
        <v>2</v>
      </c>
      <c r="B5" s="55" t="s">
        <v>145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9">
        <v>1</v>
      </c>
      <c r="O5" s="59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2"/>
        <v>35.9</v>
      </c>
      <c r="V5" s="60">
        <f t="shared" si="3"/>
        <v>0</v>
      </c>
      <c r="W5" s="60">
        <f t="shared" si="4"/>
        <v>35.9</v>
      </c>
      <c r="X5" s="60">
        <f t="shared" si="5"/>
        <v>0</v>
      </c>
      <c r="Y5" s="60">
        <f t="shared" si="6"/>
        <v>35.9</v>
      </c>
      <c r="Z5" s="60">
        <f t="shared" si="7"/>
        <v>0</v>
      </c>
      <c r="AA5" s="60">
        <f t="shared" si="8"/>
        <v>35.9</v>
      </c>
      <c r="AB5" s="60">
        <f t="shared" si="9"/>
        <v>0</v>
      </c>
      <c r="AC5" s="60">
        <f t="shared" si="10"/>
        <v>35.9</v>
      </c>
      <c r="AD5" s="60">
        <f t="shared" si="11"/>
        <v>0</v>
      </c>
      <c r="AE5" s="60">
        <f t="shared" si="12"/>
        <v>35.9</v>
      </c>
      <c r="AF5" s="60">
        <f t="shared" si="13"/>
        <v>0</v>
      </c>
      <c r="AG5" s="60">
        <f t="shared" si="14"/>
        <v>35.9</v>
      </c>
      <c r="AH5" s="60">
        <f t="shared" si="15"/>
        <v>0</v>
      </c>
      <c r="AI5" s="83" t="e">
        <f t="shared" si="16"/>
        <v>#N/A</v>
      </c>
      <c r="AJ5" s="60">
        <f t="shared" si="17"/>
        <v>251.3</v>
      </c>
    </row>
    <row r="6" spans="1:36" ht="15" customHeight="1" x14ac:dyDescent="0.4">
      <c r="A6" s="46">
        <v>3</v>
      </c>
      <c r="B6" s="47" t="s">
        <v>229</v>
      </c>
      <c r="C6" s="48" t="s">
        <v>161</v>
      </c>
      <c r="D6" s="49">
        <f>VLOOKUP(C6,'[1]PREÇO ATUAL'!$A:$D,4,0)</f>
        <v>83.06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1"/>
      <c r="P6" s="51">
        <v>1</v>
      </c>
      <c r="Q6" s="51"/>
      <c r="R6" s="51">
        <v>1</v>
      </c>
      <c r="S6" s="51"/>
      <c r="T6" s="52">
        <f t="shared" si="1"/>
        <v>0</v>
      </c>
      <c r="U6" s="52">
        <f t="shared" si="2"/>
        <v>83.06</v>
      </c>
      <c r="V6" s="52">
        <f t="shared" si="3"/>
        <v>0</v>
      </c>
      <c r="W6" s="52">
        <f t="shared" si="4"/>
        <v>83.06</v>
      </c>
      <c r="X6" s="52">
        <f t="shared" si="5"/>
        <v>0</v>
      </c>
      <c r="Y6" s="52">
        <f t="shared" si="6"/>
        <v>83.06</v>
      </c>
      <c r="Z6" s="52">
        <f t="shared" si="7"/>
        <v>0</v>
      </c>
      <c r="AA6" s="52">
        <f t="shared" si="8"/>
        <v>83.06</v>
      </c>
      <c r="AB6" s="52">
        <f t="shared" si="9"/>
        <v>0</v>
      </c>
      <c r="AC6" s="52">
        <f t="shared" si="10"/>
        <v>83.06</v>
      </c>
      <c r="AD6" s="52">
        <f t="shared" si="11"/>
        <v>0</v>
      </c>
      <c r="AE6" s="52">
        <f t="shared" si="12"/>
        <v>83.06</v>
      </c>
      <c r="AF6" s="52">
        <f t="shared" si="13"/>
        <v>0</v>
      </c>
      <c r="AG6" s="52">
        <f t="shared" si="14"/>
        <v>83.06</v>
      </c>
      <c r="AH6" s="52">
        <f t="shared" si="15"/>
        <v>0</v>
      </c>
      <c r="AI6" s="82" t="e">
        <f t="shared" si="16"/>
        <v>#N/A</v>
      </c>
      <c r="AJ6" s="52">
        <f t="shared" si="17"/>
        <v>581.42000000000007</v>
      </c>
    </row>
    <row r="7" spans="1:36" ht="15" customHeight="1" x14ac:dyDescent="0.4">
      <c r="A7" s="54">
        <v>4</v>
      </c>
      <c r="B7" s="55" t="s">
        <v>147</v>
      </c>
      <c r="C7" s="56" t="s">
        <v>172</v>
      </c>
      <c r="D7" s="57">
        <f>VLOOKUP(C7,'[1]PREÇO ATUAL'!$A:$D,4,0)</f>
        <v>49.9</v>
      </c>
      <c r="E7" s="58"/>
      <c r="F7" s="58"/>
      <c r="G7" s="58">
        <v>4</v>
      </c>
      <c r="H7" s="58"/>
      <c r="I7" s="59"/>
      <c r="J7" s="59">
        <v>4</v>
      </c>
      <c r="K7" s="59"/>
      <c r="L7" s="59"/>
      <c r="M7" s="59">
        <v>4</v>
      </c>
      <c r="N7" s="59"/>
      <c r="O7" s="59"/>
      <c r="P7" s="59">
        <v>4</v>
      </c>
      <c r="Q7" s="59"/>
      <c r="R7" s="59"/>
      <c r="S7" s="59">
        <v>4</v>
      </c>
      <c r="T7" s="60">
        <f t="shared" si="1"/>
        <v>0</v>
      </c>
      <c r="U7" s="60">
        <f t="shared" si="2"/>
        <v>0</v>
      </c>
      <c r="V7" s="60">
        <f t="shared" si="3"/>
        <v>199.6</v>
      </c>
      <c r="W7" s="60">
        <f t="shared" si="4"/>
        <v>0</v>
      </c>
      <c r="X7" s="60">
        <f t="shared" si="5"/>
        <v>0</v>
      </c>
      <c r="Y7" s="60">
        <f t="shared" si="6"/>
        <v>199.6</v>
      </c>
      <c r="Z7" s="60">
        <f t="shared" si="7"/>
        <v>0</v>
      </c>
      <c r="AA7" s="60">
        <f t="shared" si="8"/>
        <v>0</v>
      </c>
      <c r="AB7" s="60">
        <f t="shared" si="9"/>
        <v>199.6</v>
      </c>
      <c r="AC7" s="60">
        <f t="shared" si="10"/>
        <v>0</v>
      </c>
      <c r="AD7" s="60">
        <f t="shared" si="11"/>
        <v>0</v>
      </c>
      <c r="AE7" s="60">
        <f t="shared" si="12"/>
        <v>199.6</v>
      </c>
      <c r="AF7" s="60">
        <f t="shared" si="13"/>
        <v>0</v>
      </c>
      <c r="AG7" s="60">
        <f t="shared" si="14"/>
        <v>0</v>
      </c>
      <c r="AH7" s="60">
        <f t="shared" si="15"/>
        <v>199.6</v>
      </c>
      <c r="AI7" s="83" t="e">
        <f t="shared" si="16"/>
        <v>#N/A</v>
      </c>
      <c r="AJ7" s="60">
        <f t="shared" si="17"/>
        <v>998</v>
      </c>
    </row>
    <row r="8" spans="1:36" ht="15" customHeight="1" x14ac:dyDescent="0.4">
      <c r="A8" s="46">
        <v>5</v>
      </c>
      <c r="B8" s="47" t="s">
        <v>230</v>
      </c>
      <c r="C8" s="48" t="s">
        <v>157</v>
      </c>
      <c r="D8" s="49">
        <f>VLOOKUP(C8,'[1]PREÇO ATUAL'!$A:$D,4,0)</f>
        <v>136.4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1"/>
      <c r="P8" s="51">
        <v>1</v>
      </c>
      <c r="Q8" s="51"/>
      <c r="R8" s="51"/>
      <c r="S8" s="51"/>
      <c r="T8" s="52">
        <f t="shared" si="1"/>
        <v>0</v>
      </c>
      <c r="U8" s="52">
        <f t="shared" si="2"/>
        <v>0</v>
      </c>
      <c r="V8" s="52">
        <f t="shared" si="3"/>
        <v>0</v>
      </c>
      <c r="W8" s="52">
        <f t="shared" si="4"/>
        <v>0</v>
      </c>
      <c r="X8" s="52">
        <f t="shared" si="5"/>
        <v>0</v>
      </c>
      <c r="Y8" s="52">
        <f t="shared" si="6"/>
        <v>136.4</v>
      </c>
      <c r="Z8" s="52">
        <f t="shared" si="7"/>
        <v>0</v>
      </c>
      <c r="AA8" s="52">
        <f t="shared" si="8"/>
        <v>0</v>
      </c>
      <c r="AB8" s="52">
        <f t="shared" si="9"/>
        <v>0</v>
      </c>
      <c r="AC8" s="52">
        <f t="shared" si="10"/>
        <v>0</v>
      </c>
      <c r="AD8" s="52">
        <f t="shared" si="11"/>
        <v>0</v>
      </c>
      <c r="AE8" s="52">
        <f t="shared" si="12"/>
        <v>136.4</v>
      </c>
      <c r="AF8" s="52">
        <f t="shared" si="13"/>
        <v>0</v>
      </c>
      <c r="AG8" s="52">
        <f t="shared" si="14"/>
        <v>0</v>
      </c>
      <c r="AH8" s="52">
        <f t="shared" si="15"/>
        <v>0</v>
      </c>
      <c r="AI8" s="82" t="e">
        <f t="shared" si="16"/>
        <v>#N/A</v>
      </c>
      <c r="AJ8" s="52">
        <f t="shared" si="17"/>
        <v>272.8</v>
      </c>
    </row>
    <row r="9" spans="1:36" ht="15" customHeight="1" x14ac:dyDescent="0.4">
      <c r="A9" s="54">
        <v>6</v>
      </c>
      <c r="B9" s="55" t="s">
        <v>195</v>
      </c>
      <c r="C9" s="56" t="s">
        <v>179</v>
      </c>
      <c r="D9" s="57">
        <f>VLOOKUP(C9,'[1]PREÇO ATUAL'!$A:$D,4,0)</f>
        <v>110.87</v>
      </c>
      <c r="E9" s="58"/>
      <c r="F9" s="58"/>
      <c r="G9" s="58"/>
      <c r="H9" s="58"/>
      <c r="I9" s="59"/>
      <c r="J9" s="59">
        <v>1</v>
      </c>
      <c r="K9" s="59"/>
      <c r="L9" s="59"/>
      <c r="M9" s="59"/>
      <c r="N9" s="59"/>
      <c r="O9" s="59"/>
      <c r="P9" s="59">
        <v>1</v>
      </c>
      <c r="Q9" s="59"/>
      <c r="R9" s="59"/>
      <c r="S9" s="59"/>
      <c r="T9" s="60">
        <f t="shared" si="1"/>
        <v>0</v>
      </c>
      <c r="U9" s="60">
        <f t="shared" si="2"/>
        <v>0</v>
      </c>
      <c r="V9" s="60">
        <f t="shared" si="3"/>
        <v>0</v>
      </c>
      <c r="W9" s="60">
        <f t="shared" si="4"/>
        <v>0</v>
      </c>
      <c r="X9" s="60">
        <f t="shared" si="5"/>
        <v>0</v>
      </c>
      <c r="Y9" s="60">
        <f t="shared" si="6"/>
        <v>110.87</v>
      </c>
      <c r="Z9" s="60">
        <f t="shared" si="7"/>
        <v>0</v>
      </c>
      <c r="AA9" s="60">
        <f t="shared" si="8"/>
        <v>0</v>
      </c>
      <c r="AB9" s="60">
        <f t="shared" si="9"/>
        <v>0</v>
      </c>
      <c r="AC9" s="60">
        <f t="shared" si="10"/>
        <v>0</v>
      </c>
      <c r="AD9" s="60">
        <f t="shared" si="11"/>
        <v>0</v>
      </c>
      <c r="AE9" s="60">
        <f t="shared" si="12"/>
        <v>110.87</v>
      </c>
      <c r="AF9" s="60">
        <f t="shared" si="13"/>
        <v>0</v>
      </c>
      <c r="AG9" s="60">
        <f t="shared" si="14"/>
        <v>0</v>
      </c>
      <c r="AH9" s="60">
        <f t="shared" si="15"/>
        <v>0</v>
      </c>
      <c r="AI9" s="83" t="e">
        <f t="shared" si="16"/>
        <v>#N/A</v>
      </c>
      <c r="AJ9" s="60">
        <f t="shared" si="17"/>
        <v>221.74</v>
      </c>
    </row>
    <row r="10" spans="1:36" ht="15" customHeight="1" x14ac:dyDescent="0.4">
      <c r="A10" s="46">
        <v>7</v>
      </c>
      <c r="B10" s="47" t="s">
        <v>196</v>
      </c>
      <c r="C10" s="48" t="s">
        <v>197</v>
      </c>
      <c r="D10" s="49">
        <f>VLOOKUP(C10,'[1]PREÇO ATUAL'!$A:$D,4,0)</f>
        <v>149.54</v>
      </c>
      <c r="E10" s="50"/>
      <c r="F10" s="50"/>
      <c r="G10" s="50"/>
      <c r="H10" s="50"/>
      <c r="I10" s="51"/>
      <c r="J10" s="51">
        <v>1</v>
      </c>
      <c r="K10" s="51"/>
      <c r="L10" s="51"/>
      <c r="M10" s="51"/>
      <c r="N10" s="51"/>
      <c r="O10" s="51"/>
      <c r="P10" s="51">
        <v>1</v>
      </c>
      <c r="Q10" s="51"/>
      <c r="R10" s="51"/>
      <c r="S10" s="51"/>
      <c r="T10" s="52">
        <f t="shared" si="1"/>
        <v>0</v>
      </c>
      <c r="U10" s="52">
        <f t="shared" si="2"/>
        <v>0</v>
      </c>
      <c r="V10" s="52">
        <f t="shared" si="3"/>
        <v>0</v>
      </c>
      <c r="W10" s="52">
        <f t="shared" si="4"/>
        <v>0</v>
      </c>
      <c r="X10" s="52">
        <f t="shared" si="5"/>
        <v>0</v>
      </c>
      <c r="Y10" s="52">
        <f t="shared" si="6"/>
        <v>149.54</v>
      </c>
      <c r="Z10" s="52">
        <f t="shared" si="7"/>
        <v>0</v>
      </c>
      <c r="AA10" s="52">
        <f t="shared" si="8"/>
        <v>0</v>
      </c>
      <c r="AB10" s="52">
        <f t="shared" si="9"/>
        <v>0</v>
      </c>
      <c r="AC10" s="52">
        <f t="shared" si="10"/>
        <v>0</v>
      </c>
      <c r="AD10" s="52">
        <f t="shared" si="11"/>
        <v>0</v>
      </c>
      <c r="AE10" s="52">
        <f t="shared" si="12"/>
        <v>149.54</v>
      </c>
      <c r="AF10" s="52">
        <f t="shared" si="13"/>
        <v>0</v>
      </c>
      <c r="AG10" s="52">
        <f t="shared" si="14"/>
        <v>0</v>
      </c>
      <c r="AH10" s="52">
        <f t="shared" si="15"/>
        <v>0</v>
      </c>
      <c r="AI10" s="82" t="e">
        <f t="shared" si="16"/>
        <v>#N/A</v>
      </c>
      <c r="AJ10" s="52">
        <f t="shared" si="17"/>
        <v>299.08</v>
      </c>
    </row>
    <row r="11" spans="1:36" ht="15" customHeight="1" x14ac:dyDescent="0.4">
      <c r="A11" s="54">
        <v>8</v>
      </c>
      <c r="B11" s="55" t="s">
        <v>122</v>
      </c>
      <c r="C11" s="56" t="s">
        <v>123</v>
      </c>
      <c r="D11" s="57">
        <f>VLOOKUP(C11,'[1]PREÇO ATUAL'!$A:$D,4,0)</f>
        <v>165.97811999999999</v>
      </c>
      <c r="E11" s="58"/>
      <c r="F11" s="58"/>
      <c r="G11" s="58"/>
      <c r="H11" s="58"/>
      <c r="I11" s="59"/>
      <c r="J11" s="59"/>
      <c r="K11" s="59"/>
      <c r="L11" s="59"/>
      <c r="M11" s="59"/>
      <c r="N11" s="59"/>
      <c r="O11" s="59"/>
      <c r="P11" s="74">
        <v>2</v>
      </c>
      <c r="Q11" s="59"/>
      <c r="R11" s="59"/>
      <c r="S11" s="59"/>
      <c r="T11" s="60">
        <f t="shared" si="1"/>
        <v>0</v>
      </c>
      <c r="U11" s="60">
        <f t="shared" si="2"/>
        <v>0</v>
      </c>
      <c r="V11" s="60">
        <f t="shared" si="3"/>
        <v>0</v>
      </c>
      <c r="W11" s="60">
        <f t="shared" si="4"/>
        <v>0</v>
      </c>
      <c r="X11" s="60">
        <f t="shared" si="5"/>
        <v>0</v>
      </c>
      <c r="Y11" s="60">
        <f t="shared" si="6"/>
        <v>0</v>
      </c>
      <c r="Z11" s="60">
        <f t="shared" si="7"/>
        <v>0</v>
      </c>
      <c r="AA11" s="60">
        <f t="shared" si="8"/>
        <v>0</v>
      </c>
      <c r="AB11" s="60">
        <f t="shared" si="9"/>
        <v>0</v>
      </c>
      <c r="AC11" s="60">
        <f t="shared" si="10"/>
        <v>0</v>
      </c>
      <c r="AD11" s="60">
        <f t="shared" si="11"/>
        <v>0</v>
      </c>
      <c r="AE11" s="60">
        <f t="shared" si="12"/>
        <v>331.95623999999998</v>
      </c>
      <c r="AF11" s="60">
        <f t="shared" si="13"/>
        <v>0</v>
      </c>
      <c r="AG11" s="60">
        <f t="shared" si="14"/>
        <v>0</v>
      </c>
      <c r="AH11" s="60">
        <f t="shared" si="15"/>
        <v>0</v>
      </c>
      <c r="AI11" s="83"/>
      <c r="AJ11" s="60">
        <f t="shared" si="17"/>
        <v>331.95623999999998</v>
      </c>
    </row>
    <row r="12" spans="1:36" ht="15" customHeight="1" x14ac:dyDescent="0.4">
      <c r="A12" s="46">
        <v>9</v>
      </c>
      <c r="B12" s="47" t="s">
        <v>124</v>
      </c>
      <c r="C12" s="48" t="s">
        <v>125</v>
      </c>
      <c r="D12" s="49">
        <f>VLOOKUP(C12,'[1]PREÇO ATUAL'!$A:$D,4,0)</f>
        <v>33.6224930838505</v>
      </c>
      <c r="E12" s="63"/>
      <c r="F12" s="63"/>
      <c r="G12" s="63"/>
      <c r="H12" s="63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52">
        <f t="shared" si="1"/>
        <v>0</v>
      </c>
      <c r="U12" s="52">
        <f t="shared" si="2"/>
        <v>0</v>
      </c>
      <c r="V12" s="52">
        <f t="shared" si="3"/>
        <v>0</v>
      </c>
      <c r="W12" s="52">
        <f t="shared" si="4"/>
        <v>0</v>
      </c>
      <c r="X12" s="52">
        <f t="shared" si="5"/>
        <v>0</v>
      </c>
      <c r="Y12" s="52">
        <f t="shared" si="6"/>
        <v>0</v>
      </c>
      <c r="Z12" s="52">
        <f t="shared" si="7"/>
        <v>0</v>
      </c>
      <c r="AA12" s="52">
        <f t="shared" si="8"/>
        <v>0</v>
      </c>
      <c r="AB12" s="52">
        <f t="shared" si="9"/>
        <v>0</v>
      </c>
      <c r="AC12" s="52">
        <f t="shared" si="10"/>
        <v>0</v>
      </c>
      <c r="AD12" s="52">
        <f t="shared" si="11"/>
        <v>0</v>
      </c>
      <c r="AE12" s="52">
        <f t="shared" si="12"/>
        <v>0</v>
      </c>
      <c r="AF12" s="52">
        <f t="shared" si="13"/>
        <v>0</v>
      </c>
      <c r="AG12" s="52">
        <f t="shared" si="14"/>
        <v>0</v>
      </c>
      <c r="AH12" s="52">
        <f t="shared" si="15"/>
        <v>0</v>
      </c>
      <c r="AI12" s="82" t="e">
        <f>AJ12/$AI$2</f>
        <v>#N/A</v>
      </c>
      <c r="AJ12" s="52">
        <f t="shared" si="17"/>
        <v>0</v>
      </c>
    </row>
    <row r="13" spans="1:36" ht="15" customHeight="1" x14ac:dyDescent="0.4">
      <c r="A13" s="54">
        <v>10</v>
      </c>
      <c r="B13" s="55" t="s">
        <v>151</v>
      </c>
      <c r="C13" s="56" t="s">
        <v>152</v>
      </c>
      <c r="D13" s="57">
        <v>89.6</v>
      </c>
      <c r="E13" s="133">
        <v>2.7</v>
      </c>
      <c r="F13" s="133">
        <v>2.7</v>
      </c>
      <c r="G13" s="133">
        <v>2.7</v>
      </c>
      <c r="H13" s="133">
        <v>2.7</v>
      </c>
      <c r="I13" s="134">
        <v>2.7</v>
      </c>
      <c r="J13" s="134">
        <v>2.7</v>
      </c>
      <c r="K13" s="134">
        <v>2.7</v>
      </c>
      <c r="L13" s="134">
        <v>2.7</v>
      </c>
      <c r="M13" s="134">
        <v>2.7</v>
      </c>
      <c r="N13" s="134">
        <v>2.7</v>
      </c>
      <c r="O13" s="135">
        <v>2.7</v>
      </c>
      <c r="P13" s="134">
        <v>2.7</v>
      </c>
      <c r="Q13" s="134">
        <v>2.7</v>
      </c>
      <c r="R13" s="134">
        <v>2.7</v>
      </c>
      <c r="S13" s="134">
        <v>2.7</v>
      </c>
      <c r="T13" s="60">
        <f t="shared" si="1"/>
        <v>241.92</v>
      </c>
      <c r="U13" s="60">
        <f t="shared" si="2"/>
        <v>241.92</v>
      </c>
      <c r="V13" s="60">
        <f t="shared" si="3"/>
        <v>241.92</v>
      </c>
      <c r="W13" s="60">
        <f t="shared" si="4"/>
        <v>241.92</v>
      </c>
      <c r="X13" s="60">
        <f t="shared" si="5"/>
        <v>241.92</v>
      </c>
      <c r="Y13" s="60">
        <f t="shared" si="6"/>
        <v>241.92</v>
      </c>
      <c r="Z13" s="60">
        <f t="shared" si="7"/>
        <v>241.92</v>
      </c>
      <c r="AA13" s="60">
        <f t="shared" si="8"/>
        <v>241.92</v>
      </c>
      <c r="AB13" s="60">
        <f t="shared" si="9"/>
        <v>241.92</v>
      </c>
      <c r="AC13" s="60">
        <f t="shared" si="10"/>
        <v>241.92</v>
      </c>
      <c r="AD13" s="60">
        <f t="shared" si="11"/>
        <v>241.92</v>
      </c>
      <c r="AE13" s="60">
        <f t="shared" si="12"/>
        <v>241.92</v>
      </c>
      <c r="AF13" s="60">
        <f t="shared" si="13"/>
        <v>241.92</v>
      </c>
      <c r="AG13" s="60">
        <f t="shared" si="14"/>
        <v>241.92</v>
      </c>
      <c r="AH13" s="60">
        <f t="shared" si="15"/>
        <v>241.92</v>
      </c>
      <c r="AI13" s="83" t="e">
        <f>AJ13/$AI$2</f>
        <v>#N/A</v>
      </c>
      <c r="AJ13" s="60">
        <f t="shared" si="17"/>
        <v>3628.8000000000006</v>
      </c>
    </row>
    <row r="14" spans="1:36" ht="15" customHeight="1" x14ac:dyDescent="0.4">
      <c r="A14" s="46">
        <v>11</v>
      </c>
      <c r="B14" s="47" t="s">
        <v>128</v>
      </c>
      <c r="C14" s="48" t="s">
        <v>54</v>
      </c>
      <c r="D14" s="49" t="e">
        <f>VLOOKUP(C14,'[1]PREÇO ATUAL'!$A:$D,4,0)</f>
        <v>#N/A</v>
      </c>
      <c r="E14" s="63">
        <v>0.9</v>
      </c>
      <c r="F14" s="63">
        <v>1.1499999999999999</v>
      </c>
      <c r="G14" s="63">
        <v>2.0499999999999998</v>
      </c>
      <c r="H14" s="63">
        <v>1.35</v>
      </c>
      <c r="I14" s="49">
        <v>1.5</v>
      </c>
      <c r="J14" s="49">
        <v>4.3499999999999996</v>
      </c>
      <c r="K14" s="49">
        <v>0.9</v>
      </c>
      <c r="L14" s="49">
        <v>1.35</v>
      </c>
      <c r="M14" s="49">
        <v>2.0499999999999998</v>
      </c>
      <c r="N14" s="49">
        <v>1.3</v>
      </c>
      <c r="O14" s="49">
        <v>1.35</v>
      </c>
      <c r="P14" s="49">
        <v>4.8499999999999996</v>
      </c>
      <c r="Q14" s="49">
        <v>0.9</v>
      </c>
      <c r="R14" s="49">
        <v>1.1499999999999999</v>
      </c>
      <c r="S14" s="49">
        <v>2.2000000000000002</v>
      </c>
      <c r="T14" s="52" t="e">
        <f>D14*E14</f>
        <v>#N/A</v>
      </c>
      <c r="U14" s="52" t="e">
        <f t="shared" ref="U14:AH14" si="18">$D14*F14</f>
        <v>#N/A</v>
      </c>
      <c r="V14" s="52" t="e">
        <f t="shared" si="18"/>
        <v>#N/A</v>
      </c>
      <c r="W14" s="52" t="e">
        <f t="shared" si="18"/>
        <v>#N/A</v>
      </c>
      <c r="X14" s="52" t="e">
        <f t="shared" si="18"/>
        <v>#N/A</v>
      </c>
      <c r="Y14" s="52" t="e">
        <f t="shared" si="18"/>
        <v>#N/A</v>
      </c>
      <c r="Z14" s="52" t="e">
        <f t="shared" si="18"/>
        <v>#N/A</v>
      </c>
      <c r="AA14" s="52" t="e">
        <f t="shared" si="18"/>
        <v>#N/A</v>
      </c>
      <c r="AB14" s="52" t="e">
        <f t="shared" si="18"/>
        <v>#N/A</v>
      </c>
      <c r="AC14" s="52" t="e">
        <f t="shared" si="18"/>
        <v>#N/A</v>
      </c>
      <c r="AD14" s="52" t="e">
        <f t="shared" si="18"/>
        <v>#N/A</v>
      </c>
      <c r="AE14" s="52" t="e">
        <f t="shared" si="18"/>
        <v>#N/A</v>
      </c>
      <c r="AF14" s="52" t="e">
        <f t="shared" si="18"/>
        <v>#N/A</v>
      </c>
      <c r="AG14" s="52" t="e">
        <f t="shared" si="18"/>
        <v>#N/A</v>
      </c>
      <c r="AH14" s="52" t="e">
        <f t="shared" si="18"/>
        <v>#N/A</v>
      </c>
      <c r="AI14" s="82" t="e">
        <f>AJ14/$AI$2</f>
        <v>#N/A</v>
      </c>
      <c r="AJ14" s="52" t="e">
        <f t="shared" si="17"/>
        <v>#N/A</v>
      </c>
    </row>
    <row r="15" spans="1:36" ht="15" customHeight="1" x14ac:dyDescent="0.4">
      <c r="H15" s="136"/>
    </row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</sheetData>
  <mergeCells count="5">
    <mergeCell ref="A1:D2"/>
    <mergeCell ref="E1:S1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</sheetPr>
  <dimension ref="A1:AJ962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3046875" customWidth="1"/>
    <col min="2" max="2" width="46.3046875" customWidth="1"/>
    <col min="3" max="3" width="16.84375" customWidth="1"/>
    <col min="4" max="4" width="8.69140625" customWidth="1"/>
    <col min="5" max="11" width="5.15234375" customWidth="1"/>
    <col min="12" max="13" width="5.4609375" customWidth="1"/>
    <col min="14" max="19" width="5.53515625" customWidth="1"/>
    <col min="20" max="22" width="15" customWidth="1"/>
    <col min="23" max="23" width="17.15234375" customWidth="1"/>
    <col min="24" max="24" width="15" customWidth="1"/>
    <col min="25" max="25" width="17.15234375" customWidth="1"/>
    <col min="26" max="26" width="15" customWidth="1"/>
    <col min="27" max="27" width="17.15234375" customWidth="1"/>
    <col min="28" max="30" width="15" customWidth="1"/>
    <col min="31" max="31" width="15.69140625" customWidth="1"/>
    <col min="32" max="34" width="15" customWidth="1"/>
    <col min="35" max="35" width="8.3828125" customWidth="1"/>
    <col min="36" max="36" width="15.53515625" customWidth="1"/>
  </cols>
  <sheetData>
    <row r="1" spans="1:36" ht="15.75" customHeight="1" x14ac:dyDescent="0.4">
      <c r="A1" s="239" t="s">
        <v>231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32" t="s">
        <v>3</v>
      </c>
      <c r="AJ1" s="209"/>
    </row>
    <row r="2" spans="1:36" ht="15" customHeight="1" x14ac:dyDescent="0.4">
      <c r="A2" s="234"/>
      <c r="B2" s="217"/>
      <c r="C2" s="217"/>
      <c r="D2" s="238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37" t="e">
        <f t="shared" ref="T2:AH2" si="0">MROUND(SUM(T4:T12),1)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SUM(T2:AH2)</f>
        <v>#N/A</v>
      </c>
      <c r="AJ2" s="209"/>
    </row>
    <row r="3" spans="1:3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>
        <f>AC3+10000</f>
        <v>110000</v>
      </c>
      <c r="AE3" s="44">
        <f>AD3+10000</f>
        <v>120000</v>
      </c>
      <c r="AF3" s="44">
        <f>AE3+10000</f>
        <v>130000</v>
      </c>
      <c r="AG3" s="44">
        <f>AF3+10000</f>
        <v>140000</v>
      </c>
      <c r="AH3" s="44">
        <f>AG3+10000</f>
        <v>150000</v>
      </c>
      <c r="AI3" s="45" t="s">
        <v>24</v>
      </c>
      <c r="AJ3" s="39" t="s">
        <v>25</v>
      </c>
    </row>
    <row r="4" spans="1:36" ht="15" customHeight="1" x14ac:dyDescent="0.4">
      <c r="A4" s="46">
        <v>1</v>
      </c>
      <c r="B4" s="47" t="s">
        <v>112</v>
      </c>
      <c r="C4" s="48" t="s">
        <v>113</v>
      </c>
      <c r="D4" s="49">
        <f>VLOOKUP(C4,'[1]PREÇO ATUAL'!$A:$D,4,0)</f>
        <v>79.900000000000006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>
        <v>1</v>
      </c>
      <c r="P4" s="51">
        <v>1</v>
      </c>
      <c r="Q4" s="51">
        <v>1</v>
      </c>
      <c r="R4" s="51">
        <v>1</v>
      </c>
      <c r="S4" s="51">
        <v>1</v>
      </c>
      <c r="T4" s="52">
        <f t="shared" ref="T4:T12" si="1">$D4*E4</f>
        <v>79.900000000000006</v>
      </c>
      <c r="U4" s="52">
        <f t="shared" ref="U4:U12" si="2">$D4*F4</f>
        <v>79.900000000000006</v>
      </c>
      <c r="V4" s="52">
        <f t="shared" ref="V4:V12" si="3">$D4*G4</f>
        <v>79.900000000000006</v>
      </c>
      <c r="W4" s="52">
        <f t="shared" ref="W4:W12" si="4">$D4*H4</f>
        <v>79.900000000000006</v>
      </c>
      <c r="X4" s="52">
        <f t="shared" ref="X4:X12" si="5">$D4*I4</f>
        <v>79.900000000000006</v>
      </c>
      <c r="Y4" s="52">
        <f t="shared" ref="Y4:Y12" si="6">$D4*J4</f>
        <v>79.900000000000006</v>
      </c>
      <c r="Z4" s="52">
        <f t="shared" ref="Z4:Z12" si="7">$D4*K4</f>
        <v>79.900000000000006</v>
      </c>
      <c r="AA4" s="52">
        <f t="shared" ref="AA4:AA12" si="8">$D4*L4</f>
        <v>79.900000000000006</v>
      </c>
      <c r="AB4" s="52">
        <f t="shared" ref="AB4:AB12" si="9">$D4*M4</f>
        <v>79.900000000000006</v>
      </c>
      <c r="AC4" s="52">
        <f t="shared" ref="AC4:AC12" si="10">$D4*N4</f>
        <v>79.900000000000006</v>
      </c>
      <c r="AD4" s="52">
        <f t="shared" ref="AD4:AD12" si="11">$D4*O4</f>
        <v>79.900000000000006</v>
      </c>
      <c r="AE4" s="52">
        <f t="shared" ref="AE4:AE12" si="12">$D4*P4</f>
        <v>79.900000000000006</v>
      </c>
      <c r="AF4" s="52">
        <f t="shared" ref="AF4:AF12" si="13">$D4*Q4</f>
        <v>79.900000000000006</v>
      </c>
      <c r="AG4" s="52">
        <f t="shared" ref="AG4:AG12" si="14">$D4*R4</f>
        <v>79.900000000000006</v>
      </c>
      <c r="AH4" s="52">
        <f t="shared" ref="AH4:AH12" si="15">$D4*S4</f>
        <v>79.900000000000006</v>
      </c>
      <c r="AI4" s="53" t="e">
        <f>AJ4/$AI$2</f>
        <v>#N/A</v>
      </c>
      <c r="AJ4" s="52">
        <f t="shared" ref="AJ4:AJ12" si="16">SUM(T4:AH4)</f>
        <v>1198.5</v>
      </c>
    </row>
    <row r="5" spans="1:36" ht="15" customHeight="1" x14ac:dyDescent="0.4">
      <c r="A5" s="54">
        <v>2</v>
      </c>
      <c r="B5" s="55" t="s">
        <v>114</v>
      </c>
      <c r="C5" s="56" t="s">
        <v>115</v>
      </c>
      <c r="D5" s="57">
        <f>VLOOKUP(C5,'[1]PREÇO ATUAL'!$A:$D,4,0)</f>
        <v>35.9</v>
      </c>
      <c r="E5" s="58"/>
      <c r="F5" s="58">
        <v>1</v>
      </c>
      <c r="G5" s="58"/>
      <c r="H5" s="58">
        <v>1</v>
      </c>
      <c r="I5" s="59"/>
      <c r="J5" s="59">
        <v>1</v>
      </c>
      <c r="K5" s="59"/>
      <c r="L5" s="59">
        <v>1</v>
      </c>
      <c r="M5" s="59"/>
      <c r="N5" s="59">
        <v>1</v>
      </c>
      <c r="O5" s="59"/>
      <c r="P5" s="59">
        <v>1</v>
      </c>
      <c r="Q5" s="59"/>
      <c r="R5" s="59">
        <v>1</v>
      </c>
      <c r="S5" s="59"/>
      <c r="T5" s="60">
        <f t="shared" si="1"/>
        <v>0</v>
      </c>
      <c r="U5" s="60">
        <f t="shared" si="2"/>
        <v>35.9</v>
      </c>
      <c r="V5" s="60">
        <f t="shared" si="3"/>
        <v>0</v>
      </c>
      <c r="W5" s="60">
        <f t="shared" si="4"/>
        <v>35.9</v>
      </c>
      <c r="X5" s="60">
        <f t="shared" si="5"/>
        <v>0</v>
      </c>
      <c r="Y5" s="60">
        <f t="shared" si="6"/>
        <v>35.9</v>
      </c>
      <c r="Z5" s="60">
        <f t="shared" si="7"/>
        <v>0</v>
      </c>
      <c r="AA5" s="60">
        <f t="shared" si="8"/>
        <v>35.9</v>
      </c>
      <c r="AB5" s="60">
        <f t="shared" si="9"/>
        <v>0</v>
      </c>
      <c r="AC5" s="60">
        <f t="shared" si="10"/>
        <v>35.9</v>
      </c>
      <c r="AD5" s="60">
        <f t="shared" si="11"/>
        <v>0</v>
      </c>
      <c r="AE5" s="60">
        <f t="shared" si="12"/>
        <v>35.9</v>
      </c>
      <c r="AF5" s="60">
        <f t="shared" si="13"/>
        <v>0</v>
      </c>
      <c r="AG5" s="60">
        <f t="shared" si="14"/>
        <v>35.9</v>
      </c>
      <c r="AH5" s="60">
        <f t="shared" si="15"/>
        <v>0</v>
      </c>
      <c r="AI5" s="61" t="e">
        <f>AJ5/$AI$2</f>
        <v>#N/A</v>
      </c>
      <c r="AJ5" s="60">
        <f t="shared" si="16"/>
        <v>251.3</v>
      </c>
    </row>
    <row r="6" spans="1:36" ht="15" customHeight="1" x14ac:dyDescent="0.4">
      <c r="A6" s="46">
        <v>3</v>
      </c>
      <c r="B6" s="47" t="s">
        <v>116</v>
      </c>
      <c r="C6" s="48" t="s">
        <v>117</v>
      </c>
      <c r="D6" s="49">
        <f>VLOOKUP(C6,'[1]PREÇO ATUAL'!$A:$D,4,0)</f>
        <v>89.9</v>
      </c>
      <c r="E6" s="50">
        <v>1</v>
      </c>
      <c r="F6" s="50">
        <v>1</v>
      </c>
      <c r="G6" s="50">
        <v>1</v>
      </c>
      <c r="H6" s="50">
        <v>1</v>
      </c>
      <c r="I6" s="51">
        <v>1</v>
      </c>
      <c r="J6" s="51">
        <v>1</v>
      </c>
      <c r="K6" s="51">
        <v>1</v>
      </c>
      <c r="L6" s="51">
        <v>1</v>
      </c>
      <c r="M6" s="51">
        <v>1</v>
      </c>
      <c r="N6" s="51">
        <v>1</v>
      </c>
      <c r="O6" s="51">
        <v>1</v>
      </c>
      <c r="P6" s="51">
        <v>1</v>
      </c>
      <c r="Q6" s="51">
        <v>1</v>
      </c>
      <c r="R6" s="51">
        <v>1</v>
      </c>
      <c r="S6" s="51">
        <v>1</v>
      </c>
      <c r="T6" s="52">
        <f t="shared" si="1"/>
        <v>89.9</v>
      </c>
      <c r="U6" s="52">
        <f t="shared" si="2"/>
        <v>89.9</v>
      </c>
      <c r="V6" s="52">
        <f t="shared" si="3"/>
        <v>89.9</v>
      </c>
      <c r="W6" s="52">
        <f t="shared" si="4"/>
        <v>89.9</v>
      </c>
      <c r="X6" s="52">
        <f t="shared" si="5"/>
        <v>89.9</v>
      </c>
      <c r="Y6" s="52">
        <f t="shared" si="6"/>
        <v>89.9</v>
      </c>
      <c r="Z6" s="52">
        <f t="shared" si="7"/>
        <v>89.9</v>
      </c>
      <c r="AA6" s="52">
        <f t="shared" si="8"/>
        <v>89.9</v>
      </c>
      <c r="AB6" s="52">
        <f t="shared" si="9"/>
        <v>89.9</v>
      </c>
      <c r="AC6" s="52">
        <f t="shared" si="10"/>
        <v>89.9</v>
      </c>
      <c r="AD6" s="52">
        <f t="shared" si="11"/>
        <v>89.9</v>
      </c>
      <c r="AE6" s="52">
        <f t="shared" si="12"/>
        <v>89.9</v>
      </c>
      <c r="AF6" s="52">
        <f t="shared" si="13"/>
        <v>89.9</v>
      </c>
      <c r="AG6" s="52">
        <f t="shared" si="14"/>
        <v>89.9</v>
      </c>
      <c r="AH6" s="52">
        <f t="shared" si="15"/>
        <v>89.9</v>
      </c>
      <c r="AI6" s="53" t="e">
        <f>AJ6/$AI$2</f>
        <v>#N/A</v>
      </c>
      <c r="AJ6" s="52">
        <f t="shared" si="16"/>
        <v>1348.5000000000002</v>
      </c>
    </row>
    <row r="7" spans="1:36" ht="15" customHeight="1" x14ac:dyDescent="0.4">
      <c r="A7" s="54">
        <v>4</v>
      </c>
      <c r="B7" s="55" t="s">
        <v>118</v>
      </c>
      <c r="C7" s="56" t="s">
        <v>119</v>
      </c>
      <c r="D7" s="57">
        <f>VLOOKUP(C7,'[1]PREÇO ATUAL'!$A:$D,4,0)</f>
        <v>175.9</v>
      </c>
      <c r="E7" s="58"/>
      <c r="F7" s="58"/>
      <c r="G7" s="58"/>
      <c r="H7" s="58">
        <v>3</v>
      </c>
      <c r="I7" s="59"/>
      <c r="J7" s="59"/>
      <c r="K7" s="59"/>
      <c r="L7" s="59">
        <v>3</v>
      </c>
      <c r="M7" s="59"/>
      <c r="N7" s="59"/>
      <c r="O7" s="59"/>
      <c r="P7" s="59">
        <v>3</v>
      </c>
      <c r="Q7" s="59"/>
      <c r="R7" s="59"/>
      <c r="S7" s="59"/>
      <c r="T7" s="60">
        <f t="shared" si="1"/>
        <v>0</v>
      </c>
      <c r="U7" s="60">
        <f t="shared" si="2"/>
        <v>0</v>
      </c>
      <c r="V7" s="60">
        <f t="shared" si="3"/>
        <v>0</v>
      </c>
      <c r="W7" s="60">
        <f t="shared" si="4"/>
        <v>527.70000000000005</v>
      </c>
      <c r="X7" s="60">
        <f t="shared" si="5"/>
        <v>0</v>
      </c>
      <c r="Y7" s="60">
        <f t="shared" si="6"/>
        <v>0</v>
      </c>
      <c r="Z7" s="60">
        <f t="shared" si="7"/>
        <v>0</v>
      </c>
      <c r="AA7" s="60">
        <f t="shared" si="8"/>
        <v>527.70000000000005</v>
      </c>
      <c r="AB7" s="60">
        <f t="shared" si="9"/>
        <v>0</v>
      </c>
      <c r="AC7" s="60">
        <f t="shared" si="10"/>
        <v>0</v>
      </c>
      <c r="AD7" s="60">
        <f t="shared" si="11"/>
        <v>0</v>
      </c>
      <c r="AE7" s="60">
        <f t="shared" si="12"/>
        <v>527.70000000000005</v>
      </c>
      <c r="AF7" s="60">
        <f t="shared" si="13"/>
        <v>0</v>
      </c>
      <c r="AG7" s="60">
        <f t="shared" si="14"/>
        <v>0</v>
      </c>
      <c r="AH7" s="60">
        <f t="shared" si="15"/>
        <v>0</v>
      </c>
      <c r="AI7" s="61" t="e">
        <f>AJ7/$AI$2</f>
        <v>#N/A</v>
      </c>
      <c r="AJ7" s="60">
        <f t="shared" si="16"/>
        <v>1583.1000000000001</v>
      </c>
    </row>
    <row r="8" spans="1:36" ht="15" customHeight="1" x14ac:dyDescent="0.4">
      <c r="A8" s="46">
        <v>5</v>
      </c>
      <c r="B8" s="47" t="s">
        <v>120</v>
      </c>
      <c r="C8" s="48" t="s">
        <v>121</v>
      </c>
      <c r="D8" s="49">
        <f>VLOOKUP(C8,'[1]PREÇO ATUAL'!$A:$D,4,0)</f>
        <v>143.22999999999999</v>
      </c>
      <c r="E8" s="50"/>
      <c r="F8" s="50"/>
      <c r="G8" s="50"/>
      <c r="H8" s="50"/>
      <c r="I8" s="51"/>
      <c r="J8" s="51">
        <v>1</v>
      </c>
      <c r="K8" s="51"/>
      <c r="L8" s="51"/>
      <c r="M8" s="51"/>
      <c r="N8" s="51"/>
      <c r="O8" s="51"/>
      <c r="P8" s="51">
        <v>1</v>
      </c>
      <c r="Q8" s="51"/>
      <c r="R8" s="51"/>
      <c r="S8" s="51"/>
      <c r="T8" s="52">
        <f t="shared" si="1"/>
        <v>0</v>
      </c>
      <c r="U8" s="52">
        <f t="shared" si="2"/>
        <v>0</v>
      </c>
      <c r="V8" s="52">
        <f t="shared" si="3"/>
        <v>0</v>
      </c>
      <c r="W8" s="52">
        <f t="shared" si="4"/>
        <v>0</v>
      </c>
      <c r="X8" s="52">
        <f t="shared" si="5"/>
        <v>0</v>
      </c>
      <c r="Y8" s="52">
        <f t="shared" si="6"/>
        <v>143.22999999999999</v>
      </c>
      <c r="Z8" s="52">
        <f t="shared" si="7"/>
        <v>0</v>
      </c>
      <c r="AA8" s="52">
        <f t="shared" si="8"/>
        <v>0</v>
      </c>
      <c r="AB8" s="52">
        <f t="shared" si="9"/>
        <v>0</v>
      </c>
      <c r="AC8" s="52">
        <f t="shared" si="10"/>
        <v>0</v>
      </c>
      <c r="AD8" s="52">
        <f t="shared" si="11"/>
        <v>0</v>
      </c>
      <c r="AE8" s="52">
        <f t="shared" si="12"/>
        <v>143.22999999999999</v>
      </c>
      <c r="AF8" s="52">
        <f t="shared" si="13"/>
        <v>0</v>
      </c>
      <c r="AG8" s="52">
        <f t="shared" si="14"/>
        <v>0</v>
      </c>
      <c r="AH8" s="52">
        <f t="shared" si="15"/>
        <v>0</v>
      </c>
      <c r="AI8" s="53" t="e">
        <f>AJ8/$AI$2</f>
        <v>#N/A</v>
      </c>
      <c r="AJ8" s="52">
        <f t="shared" si="16"/>
        <v>286.45999999999998</v>
      </c>
    </row>
    <row r="9" spans="1:36" ht="15" customHeight="1" x14ac:dyDescent="0.4">
      <c r="A9" s="54">
        <v>6</v>
      </c>
      <c r="B9" s="55" t="s">
        <v>122</v>
      </c>
      <c r="C9" s="56" t="s">
        <v>123</v>
      </c>
      <c r="D9" s="57">
        <f>VLOOKUP(C9,'[1]PREÇO ATUAL'!$A:$D,4,0)</f>
        <v>165.97811999999999</v>
      </c>
      <c r="E9" s="58"/>
      <c r="F9" s="58"/>
      <c r="G9" s="58"/>
      <c r="H9" s="58"/>
      <c r="I9" s="59"/>
      <c r="J9" s="59"/>
      <c r="K9" s="59"/>
      <c r="L9" s="59"/>
      <c r="M9" s="59"/>
      <c r="N9" s="59"/>
      <c r="O9" s="59"/>
      <c r="P9" s="59">
        <v>2</v>
      </c>
      <c r="Q9" s="59"/>
      <c r="R9" s="59"/>
      <c r="S9" s="59"/>
      <c r="T9" s="60">
        <f t="shared" si="1"/>
        <v>0</v>
      </c>
      <c r="U9" s="60">
        <f t="shared" si="2"/>
        <v>0</v>
      </c>
      <c r="V9" s="60">
        <f t="shared" si="3"/>
        <v>0</v>
      </c>
      <c r="W9" s="60">
        <f t="shared" si="4"/>
        <v>0</v>
      </c>
      <c r="X9" s="60">
        <f t="shared" si="5"/>
        <v>0</v>
      </c>
      <c r="Y9" s="60">
        <f t="shared" si="6"/>
        <v>0</v>
      </c>
      <c r="Z9" s="60">
        <f t="shared" si="7"/>
        <v>0</v>
      </c>
      <c r="AA9" s="60">
        <f t="shared" si="8"/>
        <v>0</v>
      </c>
      <c r="AB9" s="60">
        <f t="shared" si="9"/>
        <v>0</v>
      </c>
      <c r="AC9" s="60">
        <f t="shared" si="10"/>
        <v>0</v>
      </c>
      <c r="AD9" s="60">
        <f t="shared" si="11"/>
        <v>0</v>
      </c>
      <c r="AE9" s="60">
        <f t="shared" si="12"/>
        <v>331.95623999999998</v>
      </c>
      <c r="AF9" s="60">
        <f t="shared" si="13"/>
        <v>0</v>
      </c>
      <c r="AG9" s="60">
        <f t="shared" si="14"/>
        <v>0</v>
      </c>
      <c r="AH9" s="60">
        <f t="shared" si="15"/>
        <v>0</v>
      </c>
      <c r="AI9" s="61"/>
      <c r="AJ9" s="60">
        <f t="shared" si="16"/>
        <v>331.95623999999998</v>
      </c>
    </row>
    <row r="10" spans="1:36" ht="1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52">
        <f t="shared" si="1"/>
        <v>0</v>
      </c>
      <c r="U10" s="52">
        <f t="shared" si="2"/>
        <v>0</v>
      </c>
      <c r="V10" s="52">
        <f t="shared" si="3"/>
        <v>0</v>
      </c>
      <c r="W10" s="52">
        <f t="shared" si="4"/>
        <v>0</v>
      </c>
      <c r="X10" s="52">
        <f t="shared" si="5"/>
        <v>0</v>
      </c>
      <c r="Y10" s="52">
        <f t="shared" si="6"/>
        <v>0</v>
      </c>
      <c r="Z10" s="52">
        <f t="shared" si="7"/>
        <v>0</v>
      </c>
      <c r="AA10" s="52">
        <f t="shared" si="8"/>
        <v>0</v>
      </c>
      <c r="AB10" s="52">
        <f t="shared" si="9"/>
        <v>0</v>
      </c>
      <c r="AC10" s="52">
        <f t="shared" si="10"/>
        <v>0</v>
      </c>
      <c r="AD10" s="52">
        <f t="shared" si="11"/>
        <v>0</v>
      </c>
      <c r="AE10" s="52">
        <f t="shared" si="12"/>
        <v>0</v>
      </c>
      <c r="AF10" s="52">
        <f t="shared" si="13"/>
        <v>0</v>
      </c>
      <c r="AG10" s="52">
        <f t="shared" si="14"/>
        <v>0</v>
      </c>
      <c r="AH10" s="52">
        <f t="shared" si="15"/>
        <v>0</v>
      </c>
      <c r="AI10" s="53" t="e">
        <f>AJ10/$AI$2</f>
        <v>#N/A</v>
      </c>
      <c r="AJ10" s="52">
        <f t="shared" si="16"/>
        <v>0</v>
      </c>
    </row>
    <row r="11" spans="1:36" ht="15" customHeight="1" x14ac:dyDescent="0.4">
      <c r="A11" s="54">
        <v>8</v>
      </c>
      <c r="B11" s="55" t="s">
        <v>126</v>
      </c>
      <c r="C11" s="56" t="s">
        <v>127</v>
      </c>
      <c r="D11" s="57">
        <f>VLOOKUP(C11,'[1]PREÇO ATUAL'!$A:$D,4,0)</f>
        <v>81.260000000000005</v>
      </c>
      <c r="E11" s="64">
        <v>2.54</v>
      </c>
      <c r="F11" s="64">
        <v>2.54</v>
      </c>
      <c r="G11" s="64">
        <v>2.54</v>
      </c>
      <c r="H11" s="64">
        <v>2.54</v>
      </c>
      <c r="I11" s="57">
        <v>2.54</v>
      </c>
      <c r="J11" s="57">
        <v>2.54</v>
      </c>
      <c r="K11" s="57">
        <v>2.54</v>
      </c>
      <c r="L11" s="57">
        <v>2.54</v>
      </c>
      <c r="M11" s="57">
        <v>2.54</v>
      </c>
      <c r="N11" s="57">
        <v>2.54</v>
      </c>
      <c r="O11" s="57">
        <v>2.54</v>
      </c>
      <c r="P11" s="57">
        <v>2.54</v>
      </c>
      <c r="Q11" s="57">
        <v>2.54</v>
      </c>
      <c r="R11" s="57">
        <v>2.54</v>
      </c>
      <c r="S11" s="57">
        <v>2.54</v>
      </c>
      <c r="T11" s="60">
        <f t="shared" si="1"/>
        <v>206.40040000000002</v>
      </c>
      <c r="U11" s="60">
        <f t="shared" si="2"/>
        <v>206.40040000000002</v>
      </c>
      <c r="V11" s="60">
        <f t="shared" si="3"/>
        <v>206.40040000000002</v>
      </c>
      <c r="W11" s="60">
        <f t="shared" si="4"/>
        <v>206.40040000000002</v>
      </c>
      <c r="X11" s="60">
        <f t="shared" si="5"/>
        <v>206.40040000000002</v>
      </c>
      <c r="Y11" s="60">
        <f t="shared" si="6"/>
        <v>206.40040000000002</v>
      </c>
      <c r="Z11" s="60">
        <f t="shared" si="7"/>
        <v>206.40040000000002</v>
      </c>
      <c r="AA11" s="60">
        <f t="shared" si="8"/>
        <v>206.40040000000002</v>
      </c>
      <c r="AB11" s="60">
        <f t="shared" si="9"/>
        <v>206.40040000000002</v>
      </c>
      <c r="AC11" s="60">
        <f t="shared" si="10"/>
        <v>206.40040000000002</v>
      </c>
      <c r="AD11" s="60">
        <f t="shared" si="11"/>
        <v>206.40040000000002</v>
      </c>
      <c r="AE11" s="60">
        <f t="shared" si="12"/>
        <v>206.40040000000002</v>
      </c>
      <c r="AF11" s="60">
        <f t="shared" si="13"/>
        <v>206.40040000000002</v>
      </c>
      <c r="AG11" s="60">
        <f t="shared" si="14"/>
        <v>206.40040000000002</v>
      </c>
      <c r="AH11" s="60">
        <f t="shared" si="15"/>
        <v>206.40040000000002</v>
      </c>
      <c r="AI11" s="61" t="e">
        <f>AJ11/$AI$2</f>
        <v>#N/A</v>
      </c>
      <c r="AJ11" s="60">
        <f t="shared" si="16"/>
        <v>3096.0060000000003</v>
      </c>
    </row>
    <row r="12" spans="1:36" ht="15" customHeight="1" x14ac:dyDescent="0.4">
      <c r="A12" s="46">
        <v>9</v>
      </c>
      <c r="B12" s="47" t="s">
        <v>128</v>
      </c>
      <c r="C12" s="48" t="s">
        <v>54</v>
      </c>
      <c r="D12" s="49" t="e">
        <f>VLOOKUP(C12,'[1]PREÇO ATUAL'!$A:$D,4,0)</f>
        <v>#N/A</v>
      </c>
      <c r="E12" s="63">
        <v>0.85</v>
      </c>
      <c r="F12" s="63">
        <v>1.1000000000000001</v>
      </c>
      <c r="G12" s="63">
        <v>0.95</v>
      </c>
      <c r="H12" s="63">
        <v>1.4</v>
      </c>
      <c r="I12" s="63">
        <v>1</v>
      </c>
      <c r="J12" s="63">
        <v>1.8</v>
      </c>
      <c r="K12" s="63">
        <v>0.85</v>
      </c>
      <c r="L12" s="63">
        <v>1.4</v>
      </c>
      <c r="M12" s="63">
        <v>0.95</v>
      </c>
      <c r="N12" s="63">
        <v>1.25</v>
      </c>
      <c r="O12" s="63">
        <v>0.85</v>
      </c>
      <c r="P12" s="63">
        <v>2.35</v>
      </c>
      <c r="Q12" s="63">
        <v>0.85</v>
      </c>
      <c r="R12" s="63">
        <v>1.1000000000000001</v>
      </c>
      <c r="S12" s="63">
        <v>1.1000000000000001</v>
      </c>
      <c r="T12" s="52" t="e">
        <f t="shared" si="1"/>
        <v>#N/A</v>
      </c>
      <c r="U12" s="52" t="e">
        <f t="shared" si="2"/>
        <v>#N/A</v>
      </c>
      <c r="V12" s="52" t="e">
        <f t="shared" si="3"/>
        <v>#N/A</v>
      </c>
      <c r="W12" s="52" t="e">
        <f t="shared" si="4"/>
        <v>#N/A</v>
      </c>
      <c r="X12" s="52" t="e">
        <f t="shared" si="5"/>
        <v>#N/A</v>
      </c>
      <c r="Y12" s="52" t="e">
        <f t="shared" si="6"/>
        <v>#N/A</v>
      </c>
      <c r="Z12" s="52" t="e">
        <f t="shared" si="7"/>
        <v>#N/A</v>
      </c>
      <c r="AA12" s="52" t="e">
        <f t="shared" si="8"/>
        <v>#N/A</v>
      </c>
      <c r="AB12" s="52" t="e">
        <f t="shared" si="9"/>
        <v>#N/A</v>
      </c>
      <c r="AC12" s="52" t="e">
        <f t="shared" si="10"/>
        <v>#N/A</v>
      </c>
      <c r="AD12" s="52" t="e">
        <f t="shared" si="11"/>
        <v>#N/A</v>
      </c>
      <c r="AE12" s="52" t="e">
        <f t="shared" si="12"/>
        <v>#N/A</v>
      </c>
      <c r="AF12" s="52" t="e">
        <f t="shared" si="13"/>
        <v>#N/A</v>
      </c>
      <c r="AG12" s="52" t="e">
        <f t="shared" si="14"/>
        <v>#N/A</v>
      </c>
      <c r="AH12" s="52" t="e">
        <f t="shared" si="15"/>
        <v>#N/A</v>
      </c>
      <c r="AI12" s="53" t="e">
        <f>AJ12/$AI$2</f>
        <v>#N/A</v>
      </c>
      <c r="AJ12" s="52" t="e">
        <f t="shared" si="16"/>
        <v>#N/A</v>
      </c>
    </row>
    <row r="13" spans="1:36" ht="15.75" customHeight="1" x14ac:dyDescent="0.4"/>
    <row r="14" spans="1:36" ht="15.75" customHeight="1" x14ac:dyDescent="0.4"/>
    <row r="15" spans="1:36" ht="15.75" customHeight="1" x14ac:dyDescent="0.4"/>
    <row r="16" spans="1:3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</sheetData>
  <mergeCells count="5">
    <mergeCell ref="A1:D2"/>
    <mergeCell ref="E1:S1"/>
    <mergeCell ref="AI1:AJ1"/>
    <mergeCell ref="T1:AH1"/>
    <mergeCell ref="AI2:AJ2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FF00"/>
  </sheetPr>
  <dimension ref="A1:Z973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69140625" customWidth="1"/>
    <col min="2" max="2" width="44.84375" customWidth="1"/>
    <col min="3" max="3" width="16.84375" customWidth="1"/>
    <col min="4" max="4" width="7.84375" customWidth="1"/>
    <col min="5" max="5" width="6.15234375" customWidth="1"/>
    <col min="6" max="14" width="5.4609375" customWidth="1"/>
    <col min="15" max="16" width="14.53515625" customWidth="1"/>
    <col min="17" max="18" width="15.69140625" customWidth="1"/>
    <col min="19" max="19" width="14.53515625" customWidth="1"/>
    <col min="20" max="20" width="16.84375" customWidth="1"/>
    <col min="21" max="21" width="14.53515625" customWidth="1"/>
    <col min="22" max="23" width="15.69140625" customWidth="1"/>
    <col min="24" max="24" width="14.53515625" customWidth="1"/>
    <col min="25" max="25" width="8.3828125" customWidth="1"/>
    <col min="26" max="26" width="15.53515625" customWidth="1"/>
    <col min="27" max="27" width="11.69140625" customWidth="1"/>
    <col min="28" max="28" width="9.15234375" customWidth="1"/>
    <col min="29" max="29" width="11.3828125" customWidth="1"/>
    <col min="30" max="32" width="9.15234375" customWidth="1"/>
  </cols>
  <sheetData>
    <row r="1" spans="1:26" ht="15" customHeight="1" x14ac:dyDescent="0.4">
      <c r="A1" s="233" t="s">
        <v>232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35" t="s">
        <v>2</v>
      </c>
      <c r="P1" s="223"/>
      <c r="Q1" s="223"/>
      <c r="R1" s="223"/>
      <c r="S1" s="223"/>
      <c r="T1" s="223"/>
      <c r="U1" s="223"/>
      <c r="V1" s="223"/>
      <c r="W1" s="223"/>
      <c r="X1" s="223"/>
      <c r="Y1" s="232" t="s">
        <v>3</v>
      </c>
      <c r="Z1" s="209"/>
    </row>
    <row r="2" spans="1:2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>
        <f t="shared" ref="O2:X2" si="0">MROUND(SUM(O4:O11),1)</f>
        <v>427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" customHeight="1" x14ac:dyDescent="0.4">
      <c r="A4" s="46">
        <v>1</v>
      </c>
      <c r="B4" s="47" t="s">
        <v>154</v>
      </c>
      <c r="C4" s="48" t="s">
        <v>172</v>
      </c>
      <c r="D4" s="49">
        <f>VLOOKUP(C4,'[1]PREÇO ATUAL'!$A:$D,4,0)</f>
        <v>49.9</v>
      </c>
      <c r="E4" s="137"/>
      <c r="F4" s="50"/>
      <c r="G4" s="50">
        <v>4</v>
      </c>
      <c r="H4" s="50"/>
      <c r="I4" s="51"/>
      <c r="J4" s="51">
        <v>4</v>
      </c>
      <c r="K4" s="51"/>
      <c r="L4" s="51"/>
      <c r="M4" s="51">
        <v>4</v>
      </c>
      <c r="N4" s="51"/>
      <c r="O4" s="138">
        <f t="shared" ref="O4:X10" si="1">$D4*E4</f>
        <v>0</v>
      </c>
      <c r="P4" s="52">
        <f t="shared" si="1"/>
        <v>0</v>
      </c>
      <c r="Q4" s="52">
        <f t="shared" si="1"/>
        <v>199.6</v>
      </c>
      <c r="R4" s="52">
        <f t="shared" si="1"/>
        <v>0</v>
      </c>
      <c r="S4" s="52">
        <f t="shared" si="1"/>
        <v>0</v>
      </c>
      <c r="T4" s="52">
        <f t="shared" si="1"/>
        <v>199.6</v>
      </c>
      <c r="U4" s="52">
        <f t="shared" si="1"/>
        <v>0</v>
      </c>
      <c r="V4" s="52">
        <f t="shared" si="1"/>
        <v>0</v>
      </c>
      <c r="W4" s="52">
        <f t="shared" si="1"/>
        <v>199.6</v>
      </c>
      <c r="X4" s="52">
        <f t="shared" si="1"/>
        <v>0</v>
      </c>
      <c r="Y4" s="82" t="e">
        <f t="shared" ref="Y4:Y11" si="2">Z4/$Y$2</f>
        <v>#N/A</v>
      </c>
      <c r="Z4" s="52">
        <f t="shared" ref="Z4:Z11" si="3">SUM(O4:X4)</f>
        <v>598.79999999999995</v>
      </c>
    </row>
    <row r="5" spans="1:26" ht="15" customHeight="1" x14ac:dyDescent="0.4">
      <c r="A5" s="54">
        <v>2</v>
      </c>
      <c r="B5" s="55" t="s">
        <v>158</v>
      </c>
      <c r="C5" s="56" t="s">
        <v>144</v>
      </c>
      <c r="D5" s="57">
        <f>VLOOKUP(C5,'[1]PREÇO ATUAL'!$A:$D,4,0)</f>
        <v>41.43</v>
      </c>
      <c r="E5" s="139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9">
        <v>1</v>
      </c>
      <c r="O5" s="140">
        <f t="shared" si="1"/>
        <v>41.43</v>
      </c>
      <c r="P5" s="60">
        <f t="shared" si="1"/>
        <v>41.43</v>
      </c>
      <c r="Q5" s="60">
        <f t="shared" si="1"/>
        <v>41.43</v>
      </c>
      <c r="R5" s="60">
        <f t="shared" si="1"/>
        <v>41.43</v>
      </c>
      <c r="S5" s="60">
        <f t="shared" si="1"/>
        <v>41.43</v>
      </c>
      <c r="T5" s="60">
        <f t="shared" si="1"/>
        <v>41.43</v>
      </c>
      <c r="U5" s="60">
        <f t="shared" si="1"/>
        <v>41.43</v>
      </c>
      <c r="V5" s="60">
        <f t="shared" si="1"/>
        <v>41.43</v>
      </c>
      <c r="W5" s="60">
        <f t="shared" si="1"/>
        <v>41.43</v>
      </c>
      <c r="X5" s="60">
        <f t="shared" si="1"/>
        <v>41.43</v>
      </c>
      <c r="Y5" s="83" t="e">
        <f t="shared" si="2"/>
        <v>#N/A</v>
      </c>
      <c r="Z5" s="60">
        <f t="shared" si="3"/>
        <v>414.3</v>
      </c>
    </row>
    <row r="6" spans="1:26" ht="15.75" customHeight="1" x14ac:dyDescent="0.4">
      <c r="A6" s="46">
        <v>3</v>
      </c>
      <c r="B6" s="47" t="s">
        <v>30</v>
      </c>
      <c r="C6" s="48" t="s">
        <v>115</v>
      </c>
      <c r="D6" s="49">
        <f>VLOOKUP(C6,'[1]PREÇO ATUAL'!$A:$D,4,0)</f>
        <v>35.9</v>
      </c>
      <c r="E6" s="137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138">
        <f t="shared" si="1"/>
        <v>0</v>
      </c>
      <c r="P6" s="52">
        <f t="shared" si="1"/>
        <v>35.9</v>
      </c>
      <c r="Q6" s="52">
        <f t="shared" si="1"/>
        <v>0</v>
      </c>
      <c r="R6" s="52">
        <f t="shared" si="1"/>
        <v>35.9</v>
      </c>
      <c r="S6" s="52">
        <f t="shared" si="1"/>
        <v>0</v>
      </c>
      <c r="T6" s="52">
        <f t="shared" si="1"/>
        <v>35.9</v>
      </c>
      <c r="U6" s="52">
        <f t="shared" si="1"/>
        <v>0</v>
      </c>
      <c r="V6" s="52">
        <f t="shared" si="1"/>
        <v>35.9</v>
      </c>
      <c r="W6" s="52">
        <f t="shared" si="1"/>
        <v>0</v>
      </c>
      <c r="X6" s="52">
        <f t="shared" si="1"/>
        <v>35.9</v>
      </c>
      <c r="Y6" s="82" t="e">
        <f t="shared" si="2"/>
        <v>#N/A</v>
      </c>
      <c r="Z6" s="52">
        <f t="shared" si="3"/>
        <v>179.5</v>
      </c>
    </row>
    <row r="7" spans="1:26" ht="15.75" customHeight="1" x14ac:dyDescent="0.4">
      <c r="A7" s="54">
        <v>4</v>
      </c>
      <c r="B7" s="55" t="s">
        <v>160</v>
      </c>
      <c r="C7" s="56" t="s">
        <v>173</v>
      </c>
      <c r="D7" s="57">
        <f>VLOOKUP(C7,'[1]PREÇO ATUAL'!$A:$D,4,0)</f>
        <v>90.75</v>
      </c>
      <c r="E7" s="139"/>
      <c r="F7" s="58">
        <v>1</v>
      </c>
      <c r="G7" s="58"/>
      <c r="H7" s="58">
        <v>1</v>
      </c>
      <c r="I7" s="59"/>
      <c r="J7" s="59">
        <v>1</v>
      </c>
      <c r="K7" s="59"/>
      <c r="L7" s="59">
        <v>1</v>
      </c>
      <c r="M7" s="59"/>
      <c r="N7" s="59">
        <v>1</v>
      </c>
      <c r="O7" s="140">
        <f t="shared" si="1"/>
        <v>0</v>
      </c>
      <c r="P7" s="60">
        <f t="shared" si="1"/>
        <v>90.75</v>
      </c>
      <c r="Q7" s="60">
        <f t="shared" si="1"/>
        <v>0</v>
      </c>
      <c r="R7" s="60">
        <f t="shared" si="1"/>
        <v>90.75</v>
      </c>
      <c r="S7" s="60">
        <f t="shared" si="1"/>
        <v>0</v>
      </c>
      <c r="T7" s="60">
        <f t="shared" si="1"/>
        <v>90.75</v>
      </c>
      <c r="U7" s="60">
        <f t="shared" si="1"/>
        <v>0</v>
      </c>
      <c r="V7" s="60">
        <f t="shared" si="1"/>
        <v>90.75</v>
      </c>
      <c r="W7" s="60">
        <f t="shared" si="1"/>
        <v>0</v>
      </c>
      <c r="X7" s="60">
        <f t="shared" si="1"/>
        <v>90.75</v>
      </c>
      <c r="Y7" s="83" t="e">
        <f t="shared" si="2"/>
        <v>#N/A</v>
      </c>
      <c r="Z7" s="60">
        <f t="shared" si="3"/>
        <v>453.75</v>
      </c>
    </row>
    <row r="8" spans="1:26" ht="15.75" customHeight="1" x14ac:dyDescent="0.4">
      <c r="A8" s="46">
        <v>5</v>
      </c>
      <c r="B8" s="47" t="s">
        <v>162</v>
      </c>
      <c r="C8" s="48" t="s">
        <v>174</v>
      </c>
      <c r="D8" s="49">
        <f>VLOOKUP(C8,'[1]PREÇO ATUAL'!$A:$D,4,0)</f>
        <v>213.66</v>
      </c>
      <c r="E8" s="137"/>
      <c r="F8" s="50"/>
      <c r="G8" s="50"/>
      <c r="H8" s="50"/>
      <c r="I8" s="51"/>
      <c r="J8" s="51">
        <v>1</v>
      </c>
      <c r="K8" s="51"/>
      <c r="L8" s="51"/>
      <c r="M8" s="51"/>
      <c r="N8" s="51"/>
      <c r="O8" s="138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213.66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82" t="e">
        <f t="shared" si="2"/>
        <v>#N/A</v>
      </c>
      <c r="Z8" s="52">
        <f t="shared" si="3"/>
        <v>213.66</v>
      </c>
    </row>
    <row r="9" spans="1:26" ht="15.75" customHeight="1" x14ac:dyDescent="0.4">
      <c r="A9" s="54">
        <v>6</v>
      </c>
      <c r="B9" s="55" t="s">
        <v>151</v>
      </c>
      <c r="C9" s="56" t="s">
        <v>152</v>
      </c>
      <c r="D9" s="57">
        <v>89.6</v>
      </c>
      <c r="E9" s="141">
        <v>4.3</v>
      </c>
      <c r="F9" s="64">
        <v>4.3</v>
      </c>
      <c r="G9" s="64">
        <v>4.3</v>
      </c>
      <c r="H9" s="64">
        <v>4.3</v>
      </c>
      <c r="I9" s="57">
        <v>4.3</v>
      </c>
      <c r="J9" s="57">
        <v>4.3</v>
      </c>
      <c r="K9" s="57">
        <v>4.3</v>
      </c>
      <c r="L9" s="57">
        <v>4.3</v>
      </c>
      <c r="M9" s="57">
        <v>4.3</v>
      </c>
      <c r="N9" s="57">
        <v>4.3</v>
      </c>
      <c r="O9" s="140">
        <f t="shared" si="1"/>
        <v>385.28</v>
      </c>
      <c r="P9" s="60">
        <f t="shared" si="1"/>
        <v>385.28</v>
      </c>
      <c r="Q9" s="60">
        <f t="shared" si="1"/>
        <v>385.28</v>
      </c>
      <c r="R9" s="60">
        <f t="shared" si="1"/>
        <v>385.28</v>
      </c>
      <c r="S9" s="60">
        <f t="shared" si="1"/>
        <v>385.28</v>
      </c>
      <c r="T9" s="60">
        <f t="shared" si="1"/>
        <v>385.28</v>
      </c>
      <c r="U9" s="60">
        <f t="shared" si="1"/>
        <v>385.28</v>
      </c>
      <c r="V9" s="60">
        <f t="shared" si="1"/>
        <v>385.28</v>
      </c>
      <c r="W9" s="60">
        <f t="shared" si="1"/>
        <v>385.28</v>
      </c>
      <c r="X9" s="60">
        <f t="shared" si="1"/>
        <v>385.28</v>
      </c>
      <c r="Y9" s="83" t="e">
        <f t="shared" si="2"/>
        <v>#N/A</v>
      </c>
      <c r="Z9" s="60">
        <f t="shared" si="3"/>
        <v>3852.7999999999993</v>
      </c>
    </row>
    <row r="10" spans="1:26" ht="15.75" customHeight="1" x14ac:dyDescent="0.4">
      <c r="A10" s="46">
        <v>7</v>
      </c>
      <c r="B10" s="47" t="s">
        <v>124</v>
      </c>
      <c r="C10" s="48" t="s">
        <v>125</v>
      </c>
      <c r="D10" s="49">
        <f>VLOOKUP(C10,'[1]PREÇO ATUAL'!$A:$D,4,0)</f>
        <v>33.6224930838505</v>
      </c>
      <c r="E10" s="137"/>
      <c r="F10" s="50"/>
      <c r="G10" s="50"/>
      <c r="H10" s="50"/>
      <c r="I10" s="51"/>
      <c r="J10" s="51"/>
      <c r="K10" s="51"/>
      <c r="L10" s="51"/>
      <c r="M10" s="51"/>
      <c r="N10" s="51"/>
      <c r="O10" s="138">
        <f t="shared" si="1"/>
        <v>0</v>
      </c>
      <c r="P10" s="52">
        <f t="shared" si="1"/>
        <v>0</v>
      </c>
      <c r="Q10" s="52">
        <f t="shared" si="1"/>
        <v>0</v>
      </c>
      <c r="R10" s="52">
        <f t="shared" si="1"/>
        <v>0</v>
      </c>
      <c r="S10" s="52">
        <f t="shared" si="1"/>
        <v>0</v>
      </c>
      <c r="T10" s="52">
        <f t="shared" si="1"/>
        <v>0</v>
      </c>
      <c r="U10" s="52">
        <f t="shared" si="1"/>
        <v>0</v>
      </c>
      <c r="V10" s="52">
        <f t="shared" si="1"/>
        <v>0</v>
      </c>
      <c r="W10" s="52">
        <f t="shared" si="1"/>
        <v>0</v>
      </c>
      <c r="X10" s="52">
        <f t="shared" si="1"/>
        <v>0</v>
      </c>
      <c r="Y10" s="82" t="e">
        <f t="shared" si="2"/>
        <v>#N/A</v>
      </c>
      <c r="Z10" s="52">
        <f t="shared" si="3"/>
        <v>0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142">
        <v>1.25</v>
      </c>
      <c r="F11" s="73">
        <v>1.45</v>
      </c>
      <c r="G11" s="73">
        <v>1.5</v>
      </c>
      <c r="H11" s="73">
        <v>1.7</v>
      </c>
      <c r="I11" s="74">
        <v>1.35</v>
      </c>
      <c r="J11" s="74">
        <v>2.75</v>
      </c>
      <c r="K11" s="74">
        <v>1.25</v>
      </c>
      <c r="L11" s="74">
        <v>1.7</v>
      </c>
      <c r="M11" s="74">
        <v>1.5</v>
      </c>
      <c r="N11" s="74">
        <v>1.6</v>
      </c>
      <c r="O11" s="140"/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83" t="e">
        <f t="shared" si="2"/>
        <v>#N/A</v>
      </c>
      <c r="Z11" s="60" t="e">
        <f t="shared" si="3"/>
        <v>#N/A</v>
      </c>
    </row>
    <row r="12" spans="1:26" ht="15.75" customHeight="1" x14ac:dyDescent="0.4">
      <c r="H12" s="81"/>
    </row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FF00"/>
  </sheetPr>
  <dimension ref="A1:Z961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3046875" customWidth="1"/>
    <col min="2" max="2" width="51.3046875" customWidth="1"/>
    <col min="3" max="3" width="16.84375" customWidth="1"/>
    <col min="4" max="4" width="8.69140625" customWidth="1"/>
    <col min="5" max="5" width="6.53515625" customWidth="1"/>
    <col min="6" max="13" width="5.4609375" customWidth="1"/>
    <col min="14" max="14" width="5.53515625" customWidth="1"/>
    <col min="15" max="15" width="15" customWidth="1"/>
    <col min="16" max="16" width="16.84375" customWidth="1"/>
    <col min="17" max="17" width="17.15234375" customWidth="1"/>
    <col min="18" max="18" width="16.84375" customWidth="1"/>
    <col min="19" max="19" width="17.15234375" customWidth="1"/>
    <col min="20" max="20" width="16.84375" customWidth="1"/>
    <col min="21" max="21" width="17.15234375" customWidth="1"/>
    <col min="22" max="22" width="16.84375" customWidth="1"/>
    <col min="23" max="23" width="17.15234375" customWidth="1"/>
    <col min="24" max="24" width="16.84375" customWidth="1"/>
    <col min="25" max="25" width="13.69140625" customWidth="1"/>
    <col min="26" max="26" width="15.53515625" customWidth="1"/>
  </cols>
  <sheetData>
    <row r="1" spans="1:26" ht="15.75" customHeight="1" x14ac:dyDescent="0.4">
      <c r="A1" s="239" t="s">
        <v>233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>
        <f t="shared" ref="O2:X2" si="0">MROUND(SUM(O4:O11),1)</f>
        <v>498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.7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.75" customHeight="1" x14ac:dyDescent="0.4">
      <c r="A4" s="46">
        <v>1</v>
      </c>
      <c r="B4" s="47" t="s">
        <v>234</v>
      </c>
      <c r="C4" s="48" t="s">
        <v>144</v>
      </c>
      <c r="D4" s="49">
        <f>VLOOKUP(C4,'[1]PREÇO ATUAL'!$A:$D,4,0)</f>
        <v>41.43</v>
      </c>
      <c r="E4" s="143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84">
        <v>1</v>
      </c>
      <c r="O4" s="144">
        <f t="shared" ref="O4:X10" si="1">$D4*E4</f>
        <v>41.43</v>
      </c>
      <c r="P4" s="52">
        <f t="shared" si="1"/>
        <v>41.43</v>
      </c>
      <c r="Q4" s="52">
        <f t="shared" si="1"/>
        <v>41.43</v>
      </c>
      <c r="R4" s="52">
        <f t="shared" si="1"/>
        <v>41.43</v>
      </c>
      <c r="S4" s="52">
        <f t="shared" si="1"/>
        <v>41.43</v>
      </c>
      <c r="T4" s="52">
        <f t="shared" si="1"/>
        <v>41.43</v>
      </c>
      <c r="U4" s="52">
        <f t="shared" si="1"/>
        <v>41.43</v>
      </c>
      <c r="V4" s="52">
        <f t="shared" si="1"/>
        <v>41.43</v>
      </c>
      <c r="W4" s="52">
        <f t="shared" si="1"/>
        <v>41.43</v>
      </c>
      <c r="X4" s="52">
        <f t="shared" si="1"/>
        <v>41.43</v>
      </c>
      <c r="Y4" s="82" t="e">
        <f t="shared" ref="Y4:Y11" si="2">Z4/$Y$2</f>
        <v>#N/A</v>
      </c>
      <c r="Z4" s="52">
        <f t="shared" ref="Z4:Z11" si="3">SUM(O4:X4)</f>
        <v>414.3</v>
      </c>
    </row>
    <row r="5" spans="1:26" ht="15.75" customHeight="1" x14ac:dyDescent="0.4">
      <c r="A5" s="54">
        <v>2</v>
      </c>
      <c r="B5" s="55" t="s">
        <v>30</v>
      </c>
      <c r="C5" s="56" t="s">
        <v>115</v>
      </c>
      <c r="D5" s="57">
        <f>VLOOKUP(C5,'[1]PREÇO ATUAL'!$A:$D,4,0)</f>
        <v>35.9</v>
      </c>
      <c r="E5" s="145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85">
        <v>1</v>
      </c>
      <c r="O5" s="146">
        <f t="shared" si="1"/>
        <v>35.9</v>
      </c>
      <c r="P5" s="60">
        <f t="shared" si="1"/>
        <v>35.9</v>
      </c>
      <c r="Q5" s="60">
        <f t="shared" si="1"/>
        <v>35.9</v>
      </c>
      <c r="R5" s="60">
        <f t="shared" si="1"/>
        <v>35.9</v>
      </c>
      <c r="S5" s="60">
        <f t="shared" si="1"/>
        <v>35.9</v>
      </c>
      <c r="T5" s="60">
        <f t="shared" si="1"/>
        <v>35.9</v>
      </c>
      <c r="U5" s="60">
        <f t="shared" si="1"/>
        <v>35.9</v>
      </c>
      <c r="V5" s="60">
        <f t="shared" si="1"/>
        <v>35.9</v>
      </c>
      <c r="W5" s="60">
        <f t="shared" si="1"/>
        <v>35.9</v>
      </c>
      <c r="X5" s="60">
        <f t="shared" si="1"/>
        <v>35.9</v>
      </c>
      <c r="Y5" s="83" t="e">
        <f t="shared" si="2"/>
        <v>#N/A</v>
      </c>
      <c r="Z5" s="60">
        <f t="shared" si="3"/>
        <v>358.99999999999994</v>
      </c>
    </row>
    <row r="6" spans="1:26" ht="15.75" customHeight="1" x14ac:dyDescent="0.4">
      <c r="A6" s="46">
        <v>3</v>
      </c>
      <c r="B6" s="47" t="s">
        <v>235</v>
      </c>
      <c r="C6" s="48" t="s">
        <v>236</v>
      </c>
      <c r="D6" s="49">
        <f>VLOOKUP(C6,'[1]PREÇO ATUAL'!$A:$D,4,0)</f>
        <v>101.54</v>
      </c>
      <c r="E6" s="143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84">
        <v>1</v>
      </c>
      <c r="O6" s="144">
        <f t="shared" si="1"/>
        <v>0</v>
      </c>
      <c r="P6" s="52">
        <f t="shared" si="1"/>
        <v>101.54</v>
      </c>
      <c r="Q6" s="52">
        <f t="shared" si="1"/>
        <v>0</v>
      </c>
      <c r="R6" s="52">
        <f t="shared" si="1"/>
        <v>101.54</v>
      </c>
      <c r="S6" s="52">
        <f t="shared" si="1"/>
        <v>0</v>
      </c>
      <c r="T6" s="52">
        <f t="shared" si="1"/>
        <v>101.54</v>
      </c>
      <c r="U6" s="52">
        <f t="shared" si="1"/>
        <v>0</v>
      </c>
      <c r="V6" s="52">
        <f t="shared" si="1"/>
        <v>101.54</v>
      </c>
      <c r="W6" s="52">
        <f t="shared" si="1"/>
        <v>0</v>
      </c>
      <c r="X6" s="52">
        <f t="shared" si="1"/>
        <v>101.54</v>
      </c>
      <c r="Y6" s="82" t="e">
        <f t="shared" si="2"/>
        <v>#N/A</v>
      </c>
      <c r="Z6" s="52">
        <f t="shared" si="3"/>
        <v>507.70000000000005</v>
      </c>
    </row>
    <row r="7" spans="1:26" ht="15.75" customHeight="1" x14ac:dyDescent="0.4">
      <c r="A7" s="54">
        <v>4</v>
      </c>
      <c r="B7" s="55" t="s">
        <v>237</v>
      </c>
      <c r="C7" s="56" t="s">
        <v>148</v>
      </c>
      <c r="D7" s="57">
        <f>VLOOKUP(C7,'[1]PREÇO ATUAL'!$A:$D,4,0)</f>
        <v>114.24</v>
      </c>
      <c r="E7" s="145"/>
      <c r="F7" s="58"/>
      <c r="G7" s="58"/>
      <c r="H7" s="58"/>
      <c r="I7" s="59"/>
      <c r="J7" s="59">
        <v>4</v>
      </c>
      <c r="K7" s="59"/>
      <c r="L7" s="59"/>
      <c r="M7" s="59"/>
      <c r="N7" s="85"/>
      <c r="O7" s="146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0">
        <f t="shared" si="1"/>
        <v>0</v>
      </c>
      <c r="T7" s="60">
        <f t="shared" si="1"/>
        <v>456.96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83" t="e">
        <f t="shared" si="2"/>
        <v>#N/A</v>
      </c>
      <c r="Z7" s="60">
        <f t="shared" si="3"/>
        <v>456.96</v>
      </c>
    </row>
    <row r="8" spans="1:26" ht="15.75" customHeight="1" x14ac:dyDescent="0.4">
      <c r="A8" s="46">
        <v>5</v>
      </c>
      <c r="B8" s="47" t="s">
        <v>238</v>
      </c>
      <c r="C8" s="48" t="s">
        <v>150</v>
      </c>
      <c r="D8" s="49">
        <f>VLOOKUP(C8,'[1]PREÇO ATUAL'!$A:$D,4,0)</f>
        <v>169.01</v>
      </c>
      <c r="E8" s="143"/>
      <c r="F8" s="50"/>
      <c r="G8" s="50"/>
      <c r="H8" s="50"/>
      <c r="I8" s="51"/>
      <c r="J8" s="51">
        <v>1</v>
      </c>
      <c r="K8" s="51"/>
      <c r="L8" s="51"/>
      <c r="M8" s="51"/>
      <c r="N8" s="84"/>
      <c r="O8" s="144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169.01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82" t="e">
        <f t="shared" si="2"/>
        <v>#N/A</v>
      </c>
      <c r="Z8" s="52">
        <f t="shared" si="3"/>
        <v>169.01</v>
      </c>
    </row>
    <row r="9" spans="1:26" ht="15.75" customHeight="1" x14ac:dyDescent="0.4">
      <c r="A9" s="54">
        <v>6</v>
      </c>
      <c r="B9" s="55" t="s">
        <v>239</v>
      </c>
      <c r="C9" s="56" t="s">
        <v>240</v>
      </c>
      <c r="D9" s="57">
        <f>VLOOKUP(C9,'[1]PREÇO ATUAL'!$A:$D,4,0)</f>
        <v>45.09</v>
      </c>
      <c r="E9" s="145"/>
      <c r="F9" s="58"/>
      <c r="G9" s="58"/>
      <c r="H9" s="58"/>
      <c r="I9" s="59"/>
      <c r="J9" s="59"/>
      <c r="K9" s="59"/>
      <c r="L9" s="59"/>
      <c r="M9" s="59"/>
      <c r="N9" s="85"/>
      <c r="O9" s="146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83" t="e">
        <f t="shared" si="2"/>
        <v>#N/A</v>
      </c>
      <c r="Z9" s="60">
        <f t="shared" si="3"/>
        <v>0</v>
      </c>
    </row>
    <row r="10" spans="1:26" ht="15.75" customHeight="1" x14ac:dyDescent="0.4">
      <c r="A10" s="46">
        <v>7</v>
      </c>
      <c r="B10" s="47" t="s">
        <v>151</v>
      </c>
      <c r="C10" s="48" t="s">
        <v>152</v>
      </c>
      <c r="D10" s="49">
        <v>89.6</v>
      </c>
      <c r="E10" s="147">
        <v>4.7</v>
      </c>
      <c r="F10" s="92">
        <v>4.7</v>
      </c>
      <c r="G10" s="92">
        <v>4.7</v>
      </c>
      <c r="H10" s="92">
        <v>4.7</v>
      </c>
      <c r="I10" s="92">
        <v>4.7</v>
      </c>
      <c r="J10" s="92">
        <v>4.7</v>
      </c>
      <c r="K10" s="92">
        <v>4.7</v>
      </c>
      <c r="L10" s="92">
        <v>4.7</v>
      </c>
      <c r="M10" s="92">
        <v>4.7</v>
      </c>
      <c r="N10" s="92">
        <v>4.7</v>
      </c>
      <c r="O10" s="144">
        <f t="shared" si="1"/>
        <v>421.12</v>
      </c>
      <c r="P10" s="52">
        <f t="shared" si="1"/>
        <v>421.12</v>
      </c>
      <c r="Q10" s="52">
        <f t="shared" si="1"/>
        <v>421.12</v>
      </c>
      <c r="R10" s="52">
        <f t="shared" si="1"/>
        <v>421.12</v>
      </c>
      <c r="S10" s="52">
        <f t="shared" si="1"/>
        <v>421.12</v>
      </c>
      <c r="T10" s="52">
        <f t="shared" si="1"/>
        <v>421.12</v>
      </c>
      <c r="U10" s="52">
        <f t="shared" si="1"/>
        <v>421.12</v>
      </c>
      <c r="V10" s="52">
        <f t="shared" si="1"/>
        <v>421.12</v>
      </c>
      <c r="W10" s="52">
        <f t="shared" si="1"/>
        <v>421.12</v>
      </c>
      <c r="X10" s="52">
        <f t="shared" si="1"/>
        <v>421.12</v>
      </c>
      <c r="Y10" s="82" t="e">
        <f t="shared" si="2"/>
        <v>#N/A</v>
      </c>
      <c r="Z10" s="52">
        <f t="shared" si="3"/>
        <v>4211.2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148">
        <v>1.25</v>
      </c>
      <c r="F11" s="64">
        <v>1.45</v>
      </c>
      <c r="G11" s="64">
        <v>1.3</v>
      </c>
      <c r="H11" s="64">
        <v>1.5</v>
      </c>
      <c r="I11" s="57">
        <v>1.6</v>
      </c>
      <c r="J11" s="57">
        <v>3.1</v>
      </c>
      <c r="K11" s="57">
        <v>1.3</v>
      </c>
      <c r="L11" s="57">
        <v>1.5</v>
      </c>
      <c r="M11" s="57">
        <v>1.3</v>
      </c>
      <c r="N11" s="107">
        <v>1.85</v>
      </c>
      <c r="O11" s="146"/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83" t="e">
        <f t="shared" si="2"/>
        <v>#N/A</v>
      </c>
      <c r="Z11" s="60" t="e">
        <f t="shared" si="3"/>
        <v>#N/A</v>
      </c>
    </row>
    <row r="12" spans="1:26" ht="17.2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 spans="1:26" ht="15.7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.7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FF00"/>
  </sheetPr>
  <dimension ref="A1:Z961"/>
  <sheetViews>
    <sheetView showGridLines="0" zoomScaleNormal="100" workbookViewId="0">
      <pane xSplit="4" topLeftCell="E1" activePane="topRight" state="frozen"/>
      <selection pane="topRight" activeCell="C4" sqref="C4"/>
    </sheetView>
  </sheetViews>
  <sheetFormatPr defaultColWidth="14.4609375" defaultRowHeight="14.6" x14ac:dyDescent="0.4"/>
  <cols>
    <col min="1" max="1" width="3.3046875" customWidth="1"/>
    <col min="2" max="2" width="51.3046875" customWidth="1"/>
    <col min="3" max="3" width="16.84375" customWidth="1"/>
    <col min="4" max="4" width="8.69140625" customWidth="1"/>
    <col min="5" max="5" width="6.53515625" customWidth="1"/>
    <col min="6" max="13" width="5.4609375" customWidth="1"/>
    <col min="14" max="14" width="5.53515625" customWidth="1"/>
    <col min="15" max="15" width="15" customWidth="1"/>
    <col min="16" max="16" width="16.84375" customWidth="1"/>
    <col min="17" max="17" width="17.15234375" customWidth="1"/>
    <col min="18" max="18" width="16.84375" customWidth="1"/>
    <col min="19" max="19" width="17.15234375" customWidth="1"/>
    <col min="20" max="20" width="16.84375" customWidth="1"/>
    <col min="21" max="21" width="17.15234375" customWidth="1"/>
    <col min="22" max="22" width="16.84375" customWidth="1"/>
    <col min="23" max="23" width="17.15234375" customWidth="1"/>
    <col min="24" max="24" width="16.84375" customWidth="1"/>
    <col min="25" max="25" width="13.69140625" customWidth="1"/>
    <col min="26" max="26" width="15.53515625" customWidth="1"/>
  </cols>
  <sheetData>
    <row r="1" spans="1:26" ht="15.75" customHeight="1" x14ac:dyDescent="0.4">
      <c r="A1" s="239" t="s">
        <v>241</v>
      </c>
      <c r="B1" s="211"/>
      <c r="C1" s="211"/>
      <c r="D1" s="212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>
        <f t="shared" ref="O2:X2" si="0">MROUND(SUM(O4:O11),1)</f>
        <v>706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.7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10000</v>
      </c>
      <c r="P3" s="42">
        <v>20000</v>
      </c>
      <c r="Q3" s="42">
        <v>30000</v>
      </c>
      <c r="R3" s="42">
        <v>40000</v>
      </c>
      <c r="S3" s="42">
        <v>50000</v>
      </c>
      <c r="T3" s="42">
        <v>60000</v>
      </c>
      <c r="U3" s="42">
        <v>70000</v>
      </c>
      <c r="V3" s="42">
        <v>80000</v>
      </c>
      <c r="W3" s="42">
        <v>90000</v>
      </c>
      <c r="X3" s="42">
        <v>100000</v>
      </c>
      <c r="Y3" s="45" t="s">
        <v>24</v>
      </c>
      <c r="Z3" s="39" t="s">
        <v>25</v>
      </c>
    </row>
    <row r="4" spans="1:26" ht="15.75" customHeight="1" x14ac:dyDescent="0.4">
      <c r="A4" s="46">
        <v>1</v>
      </c>
      <c r="B4" s="47" t="s">
        <v>234</v>
      </c>
      <c r="C4" s="48" t="s">
        <v>242</v>
      </c>
      <c r="D4" s="49">
        <f>VLOOKUP(C4,'[1]PREÇO ATUAL'!$A:$D,4,0)</f>
        <v>102.7</v>
      </c>
      <c r="E4" s="143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84">
        <v>1</v>
      </c>
      <c r="O4" s="144">
        <f t="shared" ref="O4:X10" si="1">$D4*E4</f>
        <v>102.7</v>
      </c>
      <c r="P4" s="52">
        <f t="shared" si="1"/>
        <v>102.7</v>
      </c>
      <c r="Q4" s="52">
        <f t="shared" si="1"/>
        <v>102.7</v>
      </c>
      <c r="R4" s="52">
        <f t="shared" si="1"/>
        <v>102.7</v>
      </c>
      <c r="S4" s="52">
        <f t="shared" si="1"/>
        <v>102.7</v>
      </c>
      <c r="T4" s="52">
        <f t="shared" si="1"/>
        <v>102.7</v>
      </c>
      <c r="U4" s="52">
        <f t="shared" si="1"/>
        <v>102.7</v>
      </c>
      <c r="V4" s="52">
        <f t="shared" si="1"/>
        <v>102.7</v>
      </c>
      <c r="W4" s="52">
        <f t="shared" si="1"/>
        <v>102.7</v>
      </c>
      <c r="X4" s="52">
        <f t="shared" si="1"/>
        <v>102.7</v>
      </c>
      <c r="Y4" s="82" t="e">
        <f t="shared" ref="Y4:Y11" si="2">Z4/$Y$2</f>
        <v>#N/A</v>
      </c>
      <c r="Z4" s="52">
        <f t="shared" ref="Z4:Z11" si="3">SUM(O4:X4)</f>
        <v>1027.0000000000002</v>
      </c>
    </row>
    <row r="5" spans="1:26" ht="15.75" customHeight="1" x14ac:dyDescent="0.4">
      <c r="A5" s="54">
        <v>2</v>
      </c>
      <c r="B5" s="55" t="s">
        <v>30</v>
      </c>
      <c r="C5" s="56" t="s">
        <v>115</v>
      </c>
      <c r="D5" s="57">
        <f>VLOOKUP(C5,'[1]PREÇO ATUAL'!$A:$D,4,0)</f>
        <v>35.9</v>
      </c>
      <c r="E5" s="145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85">
        <v>1</v>
      </c>
      <c r="O5" s="146">
        <f t="shared" si="1"/>
        <v>35.9</v>
      </c>
      <c r="P5" s="60">
        <f t="shared" si="1"/>
        <v>35.9</v>
      </c>
      <c r="Q5" s="60">
        <f t="shared" si="1"/>
        <v>35.9</v>
      </c>
      <c r="R5" s="60">
        <f t="shared" si="1"/>
        <v>35.9</v>
      </c>
      <c r="S5" s="60">
        <f t="shared" si="1"/>
        <v>35.9</v>
      </c>
      <c r="T5" s="60">
        <f t="shared" si="1"/>
        <v>35.9</v>
      </c>
      <c r="U5" s="60">
        <f t="shared" si="1"/>
        <v>35.9</v>
      </c>
      <c r="V5" s="60">
        <f t="shared" si="1"/>
        <v>35.9</v>
      </c>
      <c r="W5" s="60">
        <f t="shared" si="1"/>
        <v>35.9</v>
      </c>
      <c r="X5" s="60">
        <f t="shared" si="1"/>
        <v>35.9</v>
      </c>
      <c r="Y5" s="83" t="e">
        <f t="shared" si="2"/>
        <v>#N/A</v>
      </c>
      <c r="Z5" s="60">
        <f t="shared" si="3"/>
        <v>358.99999999999994</v>
      </c>
    </row>
    <row r="6" spans="1:26" ht="15.75" customHeight="1" x14ac:dyDescent="0.4">
      <c r="A6" s="46">
        <v>3</v>
      </c>
      <c r="B6" s="47" t="s">
        <v>235</v>
      </c>
      <c r="C6" s="48" t="s">
        <v>236</v>
      </c>
      <c r="D6" s="49">
        <f>VLOOKUP(C6,'[1]PREÇO ATUAL'!$A:$D,4,0)</f>
        <v>101.54</v>
      </c>
      <c r="E6" s="143">
        <v>1</v>
      </c>
      <c r="F6" s="50">
        <v>1</v>
      </c>
      <c r="G6" s="50">
        <v>1</v>
      </c>
      <c r="H6" s="50">
        <v>1</v>
      </c>
      <c r="I6" s="51">
        <v>1</v>
      </c>
      <c r="J6" s="51">
        <v>1</v>
      </c>
      <c r="K6" s="51">
        <v>1</v>
      </c>
      <c r="L6" s="51">
        <v>1</v>
      </c>
      <c r="M6" s="51">
        <v>1</v>
      </c>
      <c r="N6" s="84">
        <v>1</v>
      </c>
      <c r="O6" s="144">
        <f t="shared" si="1"/>
        <v>101.54</v>
      </c>
      <c r="P6" s="52">
        <f t="shared" si="1"/>
        <v>101.54</v>
      </c>
      <c r="Q6" s="52">
        <f t="shared" si="1"/>
        <v>101.54</v>
      </c>
      <c r="R6" s="52">
        <f t="shared" si="1"/>
        <v>101.54</v>
      </c>
      <c r="S6" s="52">
        <f t="shared" si="1"/>
        <v>101.54</v>
      </c>
      <c r="T6" s="52">
        <f t="shared" si="1"/>
        <v>101.54</v>
      </c>
      <c r="U6" s="52">
        <f t="shared" si="1"/>
        <v>101.54</v>
      </c>
      <c r="V6" s="52">
        <f t="shared" si="1"/>
        <v>101.54</v>
      </c>
      <c r="W6" s="52">
        <f t="shared" si="1"/>
        <v>101.54</v>
      </c>
      <c r="X6" s="52">
        <f t="shared" si="1"/>
        <v>101.54</v>
      </c>
      <c r="Y6" s="82" t="e">
        <f t="shared" si="2"/>
        <v>#N/A</v>
      </c>
      <c r="Z6" s="52">
        <f t="shared" si="3"/>
        <v>1015.3999999999999</v>
      </c>
    </row>
    <row r="7" spans="1:26" ht="15.75" customHeight="1" x14ac:dyDescent="0.4">
      <c r="A7" s="54">
        <v>4</v>
      </c>
      <c r="B7" s="55" t="s">
        <v>237</v>
      </c>
      <c r="C7" s="56" t="s">
        <v>243</v>
      </c>
      <c r="D7" s="57">
        <f>VLOOKUP(C7,'[1]PREÇO ATUAL'!$A:$D,4,0)</f>
        <v>163</v>
      </c>
      <c r="E7" s="145"/>
      <c r="F7" s="58"/>
      <c r="G7" s="58"/>
      <c r="H7" s="58"/>
      <c r="I7" s="59"/>
      <c r="J7" s="59">
        <v>4</v>
      </c>
      <c r="K7" s="59"/>
      <c r="L7" s="59"/>
      <c r="M7" s="59"/>
      <c r="N7" s="85"/>
      <c r="O7" s="146">
        <f t="shared" si="1"/>
        <v>0</v>
      </c>
      <c r="P7" s="60">
        <f t="shared" si="1"/>
        <v>0</v>
      </c>
      <c r="Q7" s="60">
        <f t="shared" si="1"/>
        <v>0</v>
      </c>
      <c r="R7" s="60">
        <f t="shared" si="1"/>
        <v>0</v>
      </c>
      <c r="S7" s="60">
        <f t="shared" si="1"/>
        <v>0</v>
      </c>
      <c r="T7" s="60">
        <f t="shared" si="1"/>
        <v>652</v>
      </c>
      <c r="U7" s="60">
        <f t="shared" si="1"/>
        <v>0</v>
      </c>
      <c r="V7" s="60">
        <f t="shared" si="1"/>
        <v>0</v>
      </c>
      <c r="W7" s="60">
        <f t="shared" si="1"/>
        <v>0</v>
      </c>
      <c r="X7" s="60">
        <f t="shared" si="1"/>
        <v>0</v>
      </c>
      <c r="Y7" s="83" t="e">
        <f t="shared" si="2"/>
        <v>#N/A</v>
      </c>
      <c r="Z7" s="60">
        <f t="shared" si="3"/>
        <v>652</v>
      </c>
    </row>
    <row r="8" spans="1:26" ht="15.75" customHeight="1" x14ac:dyDescent="0.4">
      <c r="A8" s="46">
        <v>5</v>
      </c>
      <c r="B8" s="47" t="s">
        <v>238</v>
      </c>
      <c r="C8" s="48" t="s">
        <v>244</v>
      </c>
      <c r="D8" s="49">
        <f>VLOOKUP(C8,'[1]PREÇO ATUAL'!$A:$D,4,0)</f>
        <v>302.22000000000003</v>
      </c>
      <c r="E8" s="143"/>
      <c r="F8" s="50"/>
      <c r="G8" s="50"/>
      <c r="H8" s="50"/>
      <c r="I8" s="51"/>
      <c r="J8" s="51">
        <v>1</v>
      </c>
      <c r="K8" s="51"/>
      <c r="L8" s="51"/>
      <c r="M8" s="51"/>
      <c r="N8" s="84"/>
      <c r="O8" s="144">
        <f t="shared" si="1"/>
        <v>0</v>
      </c>
      <c r="P8" s="52">
        <f t="shared" si="1"/>
        <v>0</v>
      </c>
      <c r="Q8" s="52">
        <f t="shared" si="1"/>
        <v>0</v>
      </c>
      <c r="R8" s="52">
        <f t="shared" si="1"/>
        <v>0</v>
      </c>
      <c r="S8" s="52">
        <f t="shared" si="1"/>
        <v>0</v>
      </c>
      <c r="T8" s="52">
        <f t="shared" si="1"/>
        <v>302.22000000000003</v>
      </c>
      <c r="U8" s="52">
        <f t="shared" si="1"/>
        <v>0</v>
      </c>
      <c r="V8" s="52">
        <f t="shared" si="1"/>
        <v>0</v>
      </c>
      <c r="W8" s="52">
        <f t="shared" si="1"/>
        <v>0</v>
      </c>
      <c r="X8" s="52">
        <f t="shared" si="1"/>
        <v>0</v>
      </c>
      <c r="Y8" s="82" t="e">
        <f t="shared" si="2"/>
        <v>#N/A</v>
      </c>
      <c r="Z8" s="52">
        <f t="shared" si="3"/>
        <v>302.22000000000003</v>
      </c>
    </row>
    <row r="9" spans="1:26" ht="15.75" customHeight="1" x14ac:dyDescent="0.4">
      <c r="A9" s="54">
        <v>6</v>
      </c>
      <c r="B9" s="55" t="s">
        <v>239</v>
      </c>
      <c r="C9" s="56" t="s">
        <v>240</v>
      </c>
      <c r="D9" s="57">
        <f>VLOOKUP(C9,'[1]PREÇO ATUAL'!$A:$D,4,0)</f>
        <v>45.09</v>
      </c>
      <c r="E9" s="145"/>
      <c r="F9" s="58"/>
      <c r="G9" s="58"/>
      <c r="H9" s="58"/>
      <c r="I9" s="59"/>
      <c r="J9" s="59"/>
      <c r="K9" s="59"/>
      <c r="L9" s="59"/>
      <c r="M9" s="59"/>
      <c r="N9" s="85"/>
      <c r="O9" s="146">
        <f t="shared" si="1"/>
        <v>0</v>
      </c>
      <c r="P9" s="60">
        <f t="shared" si="1"/>
        <v>0</v>
      </c>
      <c r="Q9" s="60">
        <f t="shared" si="1"/>
        <v>0</v>
      </c>
      <c r="R9" s="60">
        <f t="shared" si="1"/>
        <v>0</v>
      </c>
      <c r="S9" s="60">
        <f t="shared" si="1"/>
        <v>0</v>
      </c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83" t="e">
        <f t="shared" si="2"/>
        <v>#N/A</v>
      </c>
      <c r="Z9" s="60">
        <f t="shared" si="3"/>
        <v>0</v>
      </c>
    </row>
    <row r="10" spans="1:26" ht="15.75" customHeight="1" x14ac:dyDescent="0.4">
      <c r="A10" s="46">
        <v>7</v>
      </c>
      <c r="B10" s="47" t="s">
        <v>151</v>
      </c>
      <c r="C10" s="48" t="s">
        <v>152</v>
      </c>
      <c r="D10" s="49">
        <v>89.6</v>
      </c>
      <c r="E10" s="147">
        <v>5.2</v>
      </c>
      <c r="F10" s="92">
        <v>5.2</v>
      </c>
      <c r="G10" s="92">
        <v>5.2</v>
      </c>
      <c r="H10" s="92">
        <v>5.2</v>
      </c>
      <c r="I10" s="92">
        <v>5.2</v>
      </c>
      <c r="J10" s="92">
        <v>5.2</v>
      </c>
      <c r="K10" s="92">
        <v>5.2</v>
      </c>
      <c r="L10" s="92">
        <v>5.2</v>
      </c>
      <c r="M10" s="92">
        <v>5.2</v>
      </c>
      <c r="N10" s="92">
        <v>5.2</v>
      </c>
      <c r="O10" s="144">
        <f t="shared" si="1"/>
        <v>465.91999999999996</v>
      </c>
      <c r="P10" s="52">
        <f t="shared" si="1"/>
        <v>465.91999999999996</v>
      </c>
      <c r="Q10" s="52">
        <f t="shared" si="1"/>
        <v>465.91999999999996</v>
      </c>
      <c r="R10" s="52">
        <f t="shared" si="1"/>
        <v>465.91999999999996</v>
      </c>
      <c r="S10" s="52">
        <f t="shared" si="1"/>
        <v>465.91999999999996</v>
      </c>
      <c r="T10" s="52">
        <f t="shared" si="1"/>
        <v>465.91999999999996</v>
      </c>
      <c r="U10" s="52">
        <f t="shared" si="1"/>
        <v>465.91999999999996</v>
      </c>
      <c r="V10" s="52">
        <f t="shared" si="1"/>
        <v>465.91999999999996</v>
      </c>
      <c r="W10" s="52">
        <f t="shared" si="1"/>
        <v>465.91999999999996</v>
      </c>
      <c r="X10" s="52">
        <f t="shared" si="1"/>
        <v>465.91999999999996</v>
      </c>
      <c r="Y10" s="82" t="e">
        <f t="shared" si="2"/>
        <v>#N/A</v>
      </c>
      <c r="Z10" s="52">
        <f t="shared" si="3"/>
        <v>4659.2</v>
      </c>
    </row>
    <row r="11" spans="1:26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148">
        <v>1.05</v>
      </c>
      <c r="F11" s="64">
        <v>1.05</v>
      </c>
      <c r="G11" s="64">
        <v>1.2</v>
      </c>
      <c r="H11" s="64">
        <v>1.3</v>
      </c>
      <c r="I11" s="57">
        <v>1.1499999999999999</v>
      </c>
      <c r="J11" s="57">
        <v>2.4</v>
      </c>
      <c r="K11" s="57">
        <v>1.05</v>
      </c>
      <c r="L11" s="57">
        <v>1.3</v>
      </c>
      <c r="M11" s="57">
        <v>1.2</v>
      </c>
      <c r="N11" s="107">
        <v>1.1499999999999999</v>
      </c>
      <c r="O11" s="146">
        <v>0</v>
      </c>
      <c r="P11" s="60" t="e">
        <f t="shared" ref="P11:X11" si="4">$D11*F11</f>
        <v>#N/A</v>
      </c>
      <c r="Q11" s="60" t="e">
        <f t="shared" si="4"/>
        <v>#N/A</v>
      </c>
      <c r="R11" s="60" t="e">
        <f t="shared" si="4"/>
        <v>#N/A</v>
      </c>
      <c r="S11" s="60" t="e">
        <f t="shared" si="4"/>
        <v>#N/A</v>
      </c>
      <c r="T11" s="60" t="e">
        <f t="shared" si="4"/>
        <v>#N/A</v>
      </c>
      <c r="U11" s="60" t="e">
        <f t="shared" si="4"/>
        <v>#N/A</v>
      </c>
      <c r="V11" s="60" t="e">
        <f t="shared" si="4"/>
        <v>#N/A</v>
      </c>
      <c r="W11" s="60" t="e">
        <f t="shared" si="4"/>
        <v>#N/A</v>
      </c>
      <c r="X11" s="60" t="e">
        <f t="shared" si="4"/>
        <v>#N/A</v>
      </c>
      <c r="Y11" s="83" t="e">
        <f t="shared" si="2"/>
        <v>#N/A</v>
      </c>
      <c r="Z11" s="60" t="e">
        <f t="shared" si="3"/>
        <v>#N/A</v>
      </c>
    </row>
    <row r="12" spans="1:26" ht="17.25" customHeight="1" x14ac:dyDescent="0.4">
      <c r="A12" s="1"/>
      <c r="B12" s="1"/>
      <c r="C12" s="1"/>
      <c r="D12" s="1"/>
      <c r="E12" s="1"/>
      <c r="F12" s="1"/>
      <c r="G12" s="1"/>
      <c r="H12" s="150"/>
      <c r="I12" s="1"/>
      <c r="J12" s="1"/>
      <c r="K12" s="1"/>
      <c r="L12" s="1"/>
      <c r="M12" s="1"/>
      <c r="N12" s="1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 spans="1:26" ht="15.7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.7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FF00"/>
  </sheetPr>
  <dimension ref="A1:AO964"/>
  <sheetViews>
    <sheetView showGridLines="0" topLeftCell="A32" zoomScaleNormal="100" workbookViewId="0">
      <pane xSplit="4" topLeftCell="E1" activePane="topRight" state="frozen"/>
      <selection activeCell="A32" sqref="A32"/>
      <selection pane="topRight" activeCell="AJ48" sqref="AJ48"/>
    </sheetView>
  </sheetViews>
  <sheetFormatPr defaultColWidth="14.4609375" defaultRowHeight="14.6" x14ac:dyDescent="0.4"/>
  <cols>
    <col min="1" max="1" width="3.3046875" customWidth="1"/>
    <col min="2" max="2" width="60.3828125" customWidth="1"/>
    <col min="3" max="3" width="16" customWidth="1"/>
    <col min="4" max="4" width="8.69140625" customWidth="1"/>
    <col min="5" max="19" width="5.15234375" customWidth="1"/>
    <col min="20" max="22" width="5.15234375" hidden="1" customWidth="1"/>
    <col min="23" max="25" width="15.69140625" customWidth="1"/>
    <col min="26" max="26" width="17.15234375" customWidth="1"/>
    <col min="27" max="27" width="16.84375" customWidth="1"/>
    <col min="28" max="38" width="15.69140625" customWidth="1"/>
    <col min="39" max="39" width="13.69140625" customWidth="1"/>
    <col min="40" max="41" width="15.69140625" customWidth="1"/>
    <col min="42" max="42" width="13.69140625" customWidth="1"/>
    <col min="43" max="43" width="15.69140625" customWidth="1"/>
  </cols>
  <sheetData>
    <row r="1" spans="1:41" ht="15.75" customHeight="1" x14ac:dyDescent="0.4">
      <c r="A1" s="243" t="s">
        <v>245</v>
      </c>
      <c r="B1" s="211"/>
      <c r="C1" s="211"/>
      <c r="D1" s="212"/>
      <c r="E1" s="245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2"/>
      <c r="W1" s="247" t="s">
        <v>2</v>
      </c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41"/>
    </row>
    <row r="2" spans="1:41" ht="15" customHeight="1" x14ac:dyDescent="0.4">
      <c r="A2" s="151"/>
      <c r="B2" s="152"/>
      <c r="C2" s="152"/>
      <c r="D2" s="153"/>
      <c r="E2" s="154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37" t="e">
        <f t="shared" ref="W2:AN2" si="0">MROUND(SUM(W4:W11),1)</f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37" t="e">
        <f t="shared" si="0"/>
        <v>#N/A</v>
      </c>
      <c r="AJ2" s="37" t="e">
        <f t="shared" si="0"/>
        <v>#N/A</v>
      </c>
      <c r="AK2" s="37" t="e">
        <f t="shared" si="0"/>
        <v>#N/A</v>
      </c>
      <c r="AL2" s="37" t="e">
        <f t="shared" si="0"/>
        <v>#N/A</v>
      </c>
      <c r="AM2" s="37" t="e">
        <f t="shared" si="0"/>
        <v>#N/A</v>
      </c>
      <c r="AN2" s="37" t="e">
        <f t="shared" si="0"/>
        <v>#N/A</v>
      </c>
      <c r="AO2" s="156"/>
    </row>
    <row r="3" spans="1:41" ht="15.7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9</v>
      </c>
      <c r="F3" s="42" t="s">
        <v>10</v>
      </c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 t="s">
        <v>203</v>
      </c>
      <c r="P3" s="42" t="s">
        <v>204</v>
      </c>
      <c r="Q3" s="42" t="s">
        <v>205</v>
      </c>
      <c r="R3" s="42" t="s">
        <v>206</v>
      </c>
      <c r="S3" s="42" t="s">
        <v>207</v>
      </c>
      <c r="T3" s="42" t="s">
        <v>246</v>
      </c>
      <c r="U3" s="42" t="s">
        <v>247</v>
      </c>
      <c r="V3" s="42" t="s">
        <v>248</v>
      </c>
      <c r="W3" s="42">
        <v>10000</v>
      </c>
      <c r="X3" s="42">
        <v>20000</v>
      </c>
      <c r="Y3" s="42">
        <v>30000</v>
      </c>
      <c r="Z3" s="42">
        <v>40000</v>
      </c>
      <c r="AA3" s="42">
        <v>50000</v>
      </c>
      <c r="AB3" s="42">
        <v>60000</v>
      </c>
      <c r="AC3" s="42">
        <v>70000</v>
      </c>
      <c r="AD3" s="42">
        <v>80000</v>
      </c>
      <c r="AE3" s="42">
        <v>90000</v>
      </c>
      <c r="AF3" s="42">
        <v>100000</v>
      </c>
      <c r="AG3" s="42">
        <v>110000</v>
      </c>
      <c r="AH3" s="42">
        <v>120000</v>
      </c>
      <c r="AI3" s="42">
        <v>130000</v>
      </c>
      <c r="AJ3" s="42">
        <v>140000</v>
      </c>
      <c r="AK3" s="42">
        <v>150000</v>
      </c>
      <c r="AL3" s="42">
        <v>160000</v>
      </c>
      <c r="AM3" s="42">
        <v>170000</v>
      </c>
      <c r="AN3" s="42">
        <v>180000</v>
      </c>
    </row>
    <row r="4" spans="1:41" ht="15.75" customHeight="1" x14ac:dyDescent="0.4">
      <c r="A4" s="46">
        <v>1</v>
      </c>
      <c r="B4" s="47" t="s">
        <v>249</v>
      </c>
      <c r="C4" s="48" t="s">
        <v>184</v>
      </c>
      <c r="D4" s="49">
        <f>VLOOKUP(C4,'[1]PREÇO ATUAL'!$A:$D,4,0)</f>
        <v>112.46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>
        <v>1</v>
      </c>
      <c r="P4" s="51">
        <v>1</v>
      </c>
      <c r="Q4" s="51">
        <v>1</v>
      </c>
      <c r="R4" s="51">
        <v>1</v>
      </c>
      <c r="S4" s="51">
        <v>1</v>
      </c>
      <c r="T4" s="51">
        <v>1</v>
      </c>
      <c r="U4" s="51">
        <v>1</v>
      </c>
      <c r="V4" s="51">
        <v>1</v>
      </c>
      <c r="W4" s="52">
        <f t="shared" ref="W4:AF10" si="1">$D4*E4</f>
        <v>112.46</v>
      </c>
      <c r="X4" s="52">
        <f t="shared" si="1"/>
        <v>112.46</v>
      </c>
      <c r="Y4" s="52">
        <f t="shared" si="1"/>
        <v>112.46</v>
      </c>
      <c r="Z4" s="52">
        <f t="shared" si="1"/>
        <v>112.46</v>
      </c>
      <c r="AA4" s="52">
        <f t="shared" si="1"/>
        <v>112.46</v>
      </c>
      <c r="AB4" s="52">
        <f t="shared" si="1"/>
        <v>112.46</v>
      </c>
      <c r="AC4" s="52">
        <f t="shared" si="1"/>
        <v>112.46</v>
      </c>
      <c r="AD4" s="52">
        <f t="shared" si="1"/>
        <v>112.46</v>
      </c>
      <c r="AE4" s="52">
        <f t="shared" si="1"/>
        <v>112.46</v>
      </c>
      <c r="AF4" s="52">
        <f t="shared" si="1"/>
        <v>112.46</v>
      </c>
      <c r="AG4" s="52">
        <f t="shared" ref="AG4:AP10" si="2">$D4*O4</f>
        <v>112.46</v>
      </c>
      <c r="AH4" s="52">
        <f t="shared" si="2"/>
        <v>112.46</v>
      </c>
      <c r="AI4" s="52">
        <f t="shared" si="2"/>
        <v>112.46</v>
      </c>
      <c r="AJ4" s="52">
        <f t="shared" si="2"/>
        <v>112.46</v>
      </c>
      <c r="AK4" s="52">
        <f t="shared" si="2"/>
        <v>112.46</v>
      </c>
      <c r="AL4" s="52">
        <f t="shared" si="2"/>
        <v>112.46</v>
      </c>
      <c r="AM4" s="52">
        <f t="shared" si="2"/>
        <v>112.46</v>
      </c>
      <c r="AN4" s="52">
        <f t="shared" si="2"/>
        <v>112.46</v>
      </c>
    </row>
    <row r="5" spans="1:41" ht="15.75" customHeight="1" x14ac:dyDescent="0.4">
      <c r="A5" s="54">
        <v>2</v>
      </c>
      <c r="B5" s="55" t="s">
        <v>145</v>
      </c>
      <c r="C5" s="56" t="s">
        <v>185</v>
      </c>
      <c r="D5" s="57">
        <f>VLOOKUP(C5,'[1]PREÇO ATUAL'!$A:$D,4,0)</f>
        <v>35.9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9">
        <v>1</v>
      </c>
      <c r="O5" s="59">
        <v>1</v>
      </c>
      <c r="P5" s="59">
        <v>1</v>
      </c>
      <c r="Q5" s="59">
        <v>1</v>
      </c>
      <c r="R5" s="59">
        <v>1</v>
      </c>
      <c r="S5" s="59">
        <v>1</v>
      </c>
      <c r="T5" s="59">
        <v>1</v>
      </c>
      <c r="U5" s="59">
        <v>1</v>
      </c>
      <c r="V5" s="59">
        <v>1</v>
      </c>
      <c r="W5" s="60">
        <f t="shared" si="1"/>
        <v>35.9</v>
      </c>
      <c r="X5" s="60">
        <f t="shared" si="1"/>
        <v>35.9</v>
      </c>
      <c r="Y5" s="60">
        <f t="shared" si="1"/>
        <v>35.9</v>
      </c>
      <c r="Z5" s="60">
        <f t="shared" si="1"/>
        <v>35.9</v>
      </c>
      <c r="AA5" s="60">
        <f t="shared" si="1"/>
        <v>35.9</v>
      </c>
      <c r="AB5" s="60">
        <f t="shared" si="1"/>
        <v>35.9</v>
      </c>
      <c r="AC5" s="60">
        <f t="shared" si="1"/>
        <v>35.9</v>
      </c>
      <c r="AD5" s="60">
        <f t="shared" si="1"/>
        <v>35.9</v>
      </c>
      <c r="AE5" s="60">
        <f t="shared" si="1"/>
        <v>35.9</v>
      </c>
      <c r="AF5" s="60">
        <f t="shared" si="1"/>
        <v>35.9</v>
      </c>
      <c r="AG5" s="60">
        <f t="shared" si="2"/>
        <v>35.9</v>
      </c>
      <c r="AH5" s="60">
        <f t="shared" si="2"/>
        <v>35.9</v>
      </c>
      <c r="AI5" s="60">
        <f t="shared" si="2"/>
        <v>35.9</v>
      </c>
      <c r="AJ5" s="60">
        <f t="shared" si="2"/>
        <v>35.9</v>
      </c>
      <c r="AK5" s="60">
        <f t="shared" si="2"/>
        <v>35.9</v>
      </c>
      <c r="AL5" s="60">
        <f t="shared" si="2"/>
        <v>35.9</v>
      </c>
      <c r="AM5" s="60">
        <f t="shared" si="2"/>
        <v>35.9</v>
      </c>
      <c r="AN5" s="60">
        <f t="shared" si="2"/>
        <v>35.9</v>
      </c>
    </row>
    <row r="6" spans="1:41" ht="15.75" customHeight="1" x14ac:dyDescent="0.4">
      <c r="A6" s="46">
        <v>3</v>
      </c>
      <c r="B6" s="47" t="s">
        <v>250</v>
      </c>
      <c r="C6" s="48" t="s">
        <v>221</v>
      </c>
      <c r="D6" s="49">
        <f>VLOOKUP(C6,'[1]PREÇO ATUAL'!$A:$D,4,0)</f>
        <v>114.17</v>
      </c>
      <c r="E6" s="50"/>
      <c r="F6" s="50">
        <v>1</v>
      </c>
      <c r="G6" s="50"/>
      <c r="H6" s="50">
        <v>1</v>
      </c>
      <c r="I6" s="51"/>
      <c r="J6" s="51">
        <v>1</v>
      </c>
      <c r="K6" s="51"/>
      <c r="L6" s="51">
        <v>1</v>
      </c>
      <c r="M6" s="51"/>
      <c r="N6" s="51">
        <v>1</v>
      </c>
      <c r="O6" s="51"/>
      <c r="P6" s="51">
        <v>1</v>
      </c>
      <c r="Q6" s="51"/>
      <c r="R6" s="51">
        <v>1</v>
      </c>
      <c r="S6" s="51"/>
      <c r="T6" s="51">
        <v>1</v>
      </c>
      <c r="U6" s="51"/>
      <c r="V6" s="51">
        <v>1</v>
      </c>
      <c r="W6" s="52">
        <f t="shared" si="1"/>
        <v>0</v>
      </c>
      <c r="X6" s="52">
        <f t="shared" si="1"/>
        <v>114.17</v>
      </c>
      <c r="Y6" s="52">
        <f t="shared" si="1"/>
        <v>0</v>
      </c>
      <c r="Z6" s="52">
        <f t="shared" si="1"/>
        <v>114.17</v>
      </c>
      <c r="AA6" s="52">
        <f t="shared" si="1"/>
        <v>0</v>
      </c>
      <c r="AB6" s="52">
        <f t="shared" si="1"/>
        <v>114.17</v>
      </c>
      <c r="AC6" s="52">
        <f t="shared" si="1"/>
        <v>0</v>
      </c>
      <c r="AD6" s="52">
        <f t="shared" si="1"/>
        <v>114.17</v>
      </c>
      <c r="AE6" s="52">
        <f t="shared" si="1"/>
        <v>0</v>
      </c>
      <c r="AF6" s="52">
        <f t="shared" si="1"/>
        <v>114.17</v>
      </c>
      <c r="AG6" s="52">
        <f t="shared" si="2"/>
        <v>0</v>
      </c>
      <c r="AH6" s="52">
        <f t="shared" si="2"/>
        <v>114.17</v>
      </c>
      <c r="AI6" s="52">
        <f t="shared" si="2"/>
        <v>0</v>
      </c>
      <c r="AJ6" s="52">
        <f t="shared" si="2"/>
        <v>114.17</v>
      </c>
      <c r="AK6" s="52">
        <f t="shared" si="2"/>
        <v>0</v>
      </c>
      <c r="AL6" s="52">
        <f t="shared" si="2"/>
        <v>114.17</v>
      </c>
      <c r="AM6" s="52">
        <f t="shared" si="2"/>
        <v>0</v>
      </c>
      <c r="AN6" s="52">
        <f t="shared" si="2"/>
        <v>114.17</v>
      </c>
    </row>
    <row r="7" spans="1:41" ht="15.75" customHeight="1" x14ac:dyDescent="0.4">
      <c r="A7" s="54">
        <v>4</v>
      </c>
      <c r="B7" s="55" t="s">
        <v>147</v>
      </c>
      <c r="C7" s="56" t="s">
        <v>187</v>
      </c>
      <c r="D7" s="57">
        <f>VLOOKUP(C7,'[1]PREÇO ATUAL'!$A:$D,4,0)</f>
        <v>155.01</v>
      </c>
      <c r="E7" s="58"/>
      <c r="F7" s="58"/>
      <c r="G7" s="58"/>
      <c r="H7" s="58"/>
      <c r="I7" s="59"/>
      <c r="J7" s="59">
        <v>4</v>
      </c>
      <c r="K7" s="59"/>
      <c r="L7" s="59"/>
      <c r="M7" s="59"/>
      <c r="N7" s="59"/>
      <c r="O7" s="59"/>
      <c r="P7" s="59">
        <v>4</v>
      </c>
      <c r="Q7" s="59"/>
      <c r="R7" s="59"/>
      <c r="S7" s="59"/>
      <c r="T7" s="59"/>
      <c r="U7" s="59"/>
      <c r="V7" s="59">
        <v>4</v>
      </c>
      <c r="W7" s="60">
        <f t="shared" si="1"/>
        <v>0</v>
      </c>
      <c r="X7" s="60">
        <f t="shared" si="1"/>
        <v>0</v>
      </c>
      <c r="Y7" s="60">
        <f t="shared" si="1"/>
        <v>0</v>
      </c>
      <c r="Z7" s="60">
        <f t="shared" si="1"/>
        <v>0</v>
      </c>
      <c r="AA7" s="60">
        <f t="shared" si="1"/>
        <v>0</v>
      </c>
      <c r="AB7" s="60">
        <f t="shared" si="1"/>
        <v>620.04</v>
      </c>
      <c r="AC7" s="60">
        <f t="shared" si="1"/>
        <v>0</v>
      </c>
      <c r="AD7" s="60">
        <f t="shared" si="1"/>
        <v>0</v>
      </c>
      <c r="AE7" s="60">
        <f t="shared" si="1"/>
        <v>0</v>
      </c>
      <c r="AF7" s="60">
        <f t="shared" si="1"/>
        <v>0</v>
      </c>
      <c r="AG7" s="60">
        <f t="shared" si="2"/>
        <v>0</v>
      </c>
      <c r="AH7" s="60">
        <f t="shared" si="2"/>
        <v>620.04</v>
      </c>
      <c r="AI7" s="60">
        <f t="shared" si="2"/>
        <v>0</v>
      </c>
      <c r="AJ7" s="60">
        <f t="shared" si="2"/>
        <v>0</v>
      </c>
      <c r="AK7" s="60">
        <f t="shared" si="2"/>
        <v>0</v>
      </c>
      <c r="AL7" s="60">
        <f t="shared" si="2"/>
        <v>0</v>
      </c>
      <c r="AM7" s="60">
        <f t="shared" si="2"/>
        <v>0</v>
      </c>
      <c r="AN7" s="60">
        <f t="shared" si="2"/>
        <v>620.04</v>
      </c>
    </row>
    <row r="8" spans="1:41" ht="15.75" customHeight="1" x14ac:dyDescent="0.4">
      <c r="A8" s="46">
        <v>5</v>
      </c>
      <c r="B8" s="47" t="s">
        <v>251</v>
      </c>
      <c r="C8" s="48" t="s">
        <v>226</v>
      </c>
      <c r="D8" s="49">
        <f>VLOOKUP(C8,'[1]PREÇO ATUAL'!$A:$D,4,0)</f>
        <v>88.64</v>
      </c>
      <c r="E8" s="50"/>
      <c r="F8" s="50"/>
      <c r="G8" s="50"/>
      <c r="H8" s="50"/>
      <c r="I8" s="51"/>
      <c r="J8" s="51"/>
      <c r="K8" s="51"/>
      <c r="L8" s="51"/>
      <c r="M8" s="51"/>
      <c r="N8" s="51"/>
      <c r="O8" s="51"/>
      <c r="P8" s="51">
        <v>1</v>
      </c>
      <c r="Q8" s="51"/>
      <c r="R8" s="51"/>
      <c r="S8" s="51"/>
      <c r="T8" s="51"/>
      <c r="U8" s="51"/>
      <c r="V8" s="51"/>
      <c r="W8" s="52">
        <f t="shared" si="1"/>
        <v>0</v>
      </c>
      <c r="X8" s="52">
        <f t="shared" si="1"/>
        <v>0</v>
      </c>
      <c r="Y8" s="52">
        <f t="shared" si="1"/>
        <v>0</v>
      </c>
      <c r="Z8" s="52">
        <f t="shared" si="1"/>
        <v>0</v>
      </c>
      <c r="AA8" s="52">
        <f t="shared" si="1"/>
        <v>0</v>
      </c>
      <c r="AB8" s="52">
        <f t="shared" si="1"/>
        <v>0</v>
      </c>
      <c r="AC8" s="52">
        <f t="shared" si="1"/>
        <v>0</v>
      </c>
      <c r="AD8" s="52">
        <f t="shared" si="1"/>
        <v>0</v>
      </c>
      <c r="AE8" s="52">
        <f t="shared" si="1"/>
        <v>0</v>
      </c>
      <c r="AF8" s="52">
        <f t="shared" si="1"/>
        <v>0</v>
      </c>
      <c r="AG8" s="52">
        <f t="shared" si="2"/>
        <v>0</v>
      </c>
      <c r="AH8" s="52">
        <f t="shared" si="2"/>
        <v>88.64</v>
      </c>
      <c r="AI8" s="52">
        <f t="shared" si="2"/>
        <v>0</v>
      </c>
      <c r="AJ8" s="52">
        <f t="shared" si="2"/>
        <v>0</v>
      </c>
      <c r="AK8" s="52">
        <f t="shared" si="2"/>
        <v>0</v>
      </c>
      <c r="AL8" s="52">
        <f t="shared" si="2"/>
        <v>0</v>
      </c>
      <c r="AM8" s="52">
        <f t="shared" si="2"/>
        <v>0</v>
      </c>
      <c r="AN8" s="52">
        <f t="shared" si="2"/>
        <v>0</v>
      </c>
    </row>
    <row r="9" spans="1:41" ht="15.75" customHeight="1" x14ac:dyDescent="0.4">
      <c r="A9" s="54">
        <v>6</v>
      </c>
      <c r="B9" s="55" t="s">
        <v>239</v>
      </c>
      <c r="C9" s="56" t="s">
        <v>240</v>
      </c>
      <c r="D9" s="57">
        <f>VLOOKUP(C9,'[1]PREÇO ATUAL'!$A:$D,4,0)</f>
        <v>45.09</v>
      </c>
      <c r="E9" s="58"/>
      <c r="F9" s="58"/>
      <c r="G9" s="58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  <c r="AD9" s="60">
        <f t="shared" si="1"/>
        <v>0</v>
      </c>
      <c r="AE9" s="60">
        <f t="shared" si="1"/>
        <v>0</v>
      </c>
      <c r="AF9" s="60">
        <f t="shared" si="1"/>
        <v>0</v>
      </c>
      <c r="AG9" s="60">
        <f t="shared" si="2"/>
        <v>0</v>
      </c>
      <c r="AH9" s="60">
        <f t="shared" si="2"/>
        <v>0</v>
      </c>
      <c r="AI9" s="60">
        <f t="shared" si="2"/>
        <v>0</v>
      </c>
      <c r="AJ9" s="60">
        <f t="shared" si="2"/>
        <v>0</v>
      </c>
      <c r="AK9" s="60">
        <f t="shared" si="2"/>
        <v>0</v>
      </c>
      <c r="AL9" s="60">
        <f t="shared" si="2"/>
        <v>0</v>
      </c>
      <c r="AM9" s="60">
        <f t="shared" si="2"/>
        <v>0</v>
      </c>
      <c r="AN9" s="60">
        <f t="shared" si="2"/>
        <v>0</v>
      </c>
    </row>
    <row r="10" spans="1:41" ht="15.75" customHeight="1" x14ac:dyDescent="0.4">
      <c r="A10" s="46">
        <v>7</v>
      </c>
      <c r="B10" s="47" t="s">
        <v>188</v>
      </c>
      <c r="C10" s="48" t="s">
        <v>189</v>
      </c>
      <c r="D10" s="49">
        <f>VLOOKUP(C10,'[1]PREÇO ATUAL'!$A:$D,4,0)</f>
        <v>87.82</v>
      </c>
      <c r="E10" s="92">
        <v>4.8</v>
      </c>
      <c r="F10" s="92">
        <v>4.8</v>
      </c>
      <c r="G10" s="92">
        <v>4.8</v>
      </c>
      <c r="H10" s="92">
        <v>4.8</v>
      </c>
      <c r="I10" s="92">
        <v>4.8</v>
      </c>
      <c r="J10" s="92">
        <v>4.8</v>
      </c>
      <c r="K10" s="92">
        <v>4.8</v>
      </c>
      <c r="L10" s="92">
        <v>4.8</v>
      </c>
      <c r="M10" s="92">
        <v>4.8</v>
      </c>
      <c r="N10" s="92">
        <v>4.8</v>
      </c>
      <c r="O10" s="92">
        <v>4.8</v>
      </c>
      <c r="P10" s="92">
        <v>4.8</v>
      </c>
      <c r="Q10" s="92">
        <v>4.8</v>
      </c>
      <c r="R10" s="92">
        <v>4.8</v>
      </c>
      <c r="S10" s="92">
        <v>4.8</v>
      </c>
      <c r="T10" s="92">
        <v>4.8</v>
      </c>
      <c r="U10" s="92">
        <v>4.8</v>
      </c>
      <c r="V10" s="92">
        <v>4.8</v>
      </c>
      <c r="W10" s="52">
        <f t="shared" si="1"/>
        <v>421.53599999999994</v>
      </c>
      <c r="X10" s="52">
        <f t="shared" si="1"/>
        <v>421.53599999999994</v>
      </c>
      <c r="Y10" s="52">
        <f t="shared" si="1"/>
        <v>421.53599999999994</v>
      </c>
      <c r="Z10" s="52">
        <f t="shared" si="1"/>
        <v>421.53599999999994</v>
      </c>
      <c r="AA10" s="52">
        <f t="shared" si="1"/>
        <v>421.53599999999994</v>
      </c>
      <c r="AB10" s="52">
        <f t="shared" si="1"/>
        <v>421.53599999999994</v>
      </c>
      <c r="AC10" s="52">
        <f t="shared" si="1"/>
        <v>421.53599999999994</v>
      </c>
      <c r="AD10" s="52">
        <f t="shared" si="1"/>
        <v>421.53599999999994</v>
      </c>
      <c r="AE10" s="52">
        <f t="shared" si="1"/>
        <v>421.53599999999994</v>
      </c>
      <c r="AF10" s="52">
        <f t="shared" si="1"/>
        <v>421.53599999999994</v>
      </c>
      <c r="AG10" s="52">
        <f t="shared" si="2"/>
        <v>421.53599999999994</v>
      </c>
      <c r="AH10" s="52">
        <f t="shared" si="2"/>
        <v>421.53599999999994</v>
      </c>
      <c r="AI10" s="52">
        <f t="shared" si="2"/>
        <v>421.53599999999994</v>
      </c>
      <c r="AJ10" s="52">
        <f t="shared" si="2"/>
        <v>421.53599999999994</v>
      </c>
      <c r="AK10" s="52">
        <f t="shared" si="2"/>
        <v>421.53599999999994</v>
      </c>
      <c r="AL10" s="52">
        <f t="shared" si="2"/>
        <v>421.53599999999994</v>
      </c>
      <c r="AM10" s="52">
        <f t="shared" si="2"/>
        <v>421.53599999999994</v>
      </c>
      <c r="AN10" s="52">
        <f t="shared" si="2"/>
        <v>421.53599999999994</v>
      </c>
    </row>
    <row r="11" spans="1:41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64">
        <v>0.85</v>
      </c>
      <c r="F11" s="64">
        <v>0.9</v>
      </c>
      <c r="G11" s="64">
        <v>0.85</v>
      </c>
      <c r="H11" s="64">
        <v>0.95</v>
      </c>
      <c r="I11" s="57">
        <v>0.95</v>
      </c>
      <c r="J11" s="57">
        <v>1.4</v>
      </c>
      <c r="K11" s="57">
        <v>0.85</v>
      </c>
      <c r="L11" s="57">
        <v>0.95</v>
      </c>
      <c r="M11" s="57">
        <v>0.85</v>
      </c>
      <c r="N11" s="57">
        <v>1</v>
      </c>
      <c r="O11" s="57">
        <v>0.85</v>
      </c>
      <c r="P11" s="57">
        <v>1.75</v>
      </c>
      <c r="Q11" s="57">
        <v>0.85</v>
      </c>
      <c r="R11" s="57">
        <v>0.9</v>
      </c>
      <c r="S11" s="57">
        <v>0.95</v>
      </c>
      <c r="T11" s="57">
        <v>0.95</v>
      </c>
      <c r="U11" s="57">
        <v>0.85</v>
      </c>
      <c r="V11" s="57">
        <v>1.4</v>
      </c>
      <c r="W11" s="60" t="e">
        <f>D11*E11</f>
        <v>#N/A</v>
      </c>
      <c r="X11" s="60" t="e">
        <f t="shared" ref="X11:AN11" si="3">$D11*F11</f>
        <v>#N/A</v>
      </c>
      <c r="Y11" s="60" t="e">
        <f t="shared" si="3"/>
        <v>#N/A</v>
      </c>
      <c r="Z11" s="60" t="e">
        <f t="shared" si="3"/>
        <v>#N/A</v>
      </c>
      <c r="AA11" s="60" t="e">
        <f t="shared" si="3"/>
        <v>#N/A</v>
      </c>
      <c r="AB11" s="60" t="e">
        <f t="shared" si="3"/>
        <v>#N/A</v>
      </c>
      <c r="AC11" s="60" t="e">
        <f t="shared" si="3"/>
        <v>#N/A</v>
      </c>
      <c r="AD11" s="60" t="e">
        <f t="shared" si="3"/>
        <v>#N/A</v>
      </c>
      <c r="AE11" s="60" t="e">
        <f t="shared" si="3"/>
        <v>#N/A</v>
      </c>
      <c r="AF11" s="60" t="e">
        <f t="shared" si="3"/>
        <v>#N/A</v>
      </c>
      <c r="AG11" s="60" t="e">
        <f t="shared" si="3"/>
        <v>#N/A</v>
      </c>
      <c r="AH11" s="60" t="e">
        <f t="shared" si="3"/>
        <v>#N/A</v>
      </c>
      <c r="AI11" s="60" t="e">
        <f t="shared" si="3"/>
        <v>#N/A</v>
      </c>
      <c r="AJ11" s="60" t="e">
        <f t="shared" si="3"/>
        <v>#N/A</v>
      </c>
      <c r="AK11" s="60" t="e">
        <f t="shared" si="3"/>
        <v>#N/A</v>
      </c>
      <c r="AL11" s="60" t="e">
        <f t="shared" si="3"/>
        <v>#N/A</v>
      </c>
      <c r="AM11" s="60" t="e">
        <f t="shared" si="3"/>
        <v>#N/A</v>
      </c>
      <c r="AN11" s="60" t="e">
        <f t="shared" si="3"/>
        <v>#N/A</v>
      </c>
    </row>
    <row r="12" spans="1:41" ht="17.25" customHeight="1" x14ac:dyDescent="0.4">
      <c r="A12" s="1"/>
      <c r="B12" s="1"/>
      <c r="C12" s="1"/>
      <c r="D12" s="1"/>
      <c r="E12" s="1"/>
      <c r="F12" s="1"/>
      <c r="G12" s="1"/>
      <c r="H12" s="150"/>
      <c r="I12" s="1"/>
      <c r="J12" s="1"/>
      <c r="K12" s="1"/>
      <c r="L12" s="1"/>
      <c r="M12" s="1"/>
      <c r="N12" s="1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</row>
    <row r="13" spans="1:41" ht="15.75" customHeight="1" x14ac:dyDescent="0.4">
      <c r="A13" s="243" t="s">
        <v>252</v>
      </c>
      <c r="B13" s="211"/>
      <c r="C13" s="211"/>
      <c r="D13" s="212"/>
      <c r="E13" s="246" t="s">
        <v>1</v>
      </c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44" t="s">
        <v>2</v>
      </c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</row>
    <row r="14" spans="1:41" ht="15" customHeight="1" x14ac:dyDescent="0.4">
      <c r="A14" s="151"/>
      <c r="B14" s="152"/>
      <c r="C14" s="152"/>
      <c r="D14" s="153"/>
      <c r="E14" s="154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7"/>
      <c r="T14" s="157"/>
      <c r="U14" s="157"/>
      <c r="V14" s="157"/>
      <c r="W14" s="38" t="e">
        <f t="shared" ref="W14:AK14" si="4">MROUND(SUM(W16:W24),1)</f>
        <v>#N/A</v>
      </c>
      <c r="X14" s="37" t="e">
        <f t="shared" si="4"/>
        <v>#N/A</v>
      </c>
      <c r="Y14" s="37" t="e">
        <f t="shared" si="4"/>
        <v>#N/A</v>
      </c>
      <c r="Z14" s="37" t="e">
        <f t="shared" si="4"/>
        <v>#N/A</v>
      </c>
      <c r="AA14" s="37" t="e">
        <f t="shared" si="4"/>
        <v>#N/A</v>
      </c>
      <c r="AB14" s="37" t="e">
        <f t="shared" si="4"/>
        <v>#N/A</v>
      </c>
      <c r="AC14" s="37" t="e">
        <f t="shared" si="4"/>
        <v>#N/A</v>
      </c>
      <c r="AD14" s="37" t="e">
        <f t="shared" si="4"/>
        <v>#N/A</v>
      </c>
      <c r="AE14" s="37" t="e">
        <f t="shared" si="4"/>
        <v>#N/A</v>
      </c>
      <c r="AF14" s="37" t="e">
        <f t="shared" si="4"/>
        <v>#N/A</v>
      </c>
      <c r="AG14" s="37" t="e">
        <f t="shared" si="4"/>
        <v>#N/A</v>
      </c>
      <c r="AH14" s="37" t="e">
        <f t="shared" si="4"/>
        <v>#N/A</v>
      </c>
      <c r="AI14" s="37" t="e">
        <f t="shared" si="4"/>
        <v>#N/A</v>
      </c>
      <c r="AJ14" s="37" t="e">
        <f t="shared" si="4"/>
        <v>#N/A</v>
      </c>
      <c r="AK14" s="37" t="e">
        <f t="shared" si="4"/>
        <v>#N/A</v>
      </c>
      <c r="AL14" s="156"/>
    </row>
    <row r="15" spans="1:41" ht="15.75" customHeight="1" x14ac:dyDescent="0.4">
      <c r="A15" s="39" t="s">
        <v>5</v>
      </c>
      <c r="B15" s="39" t="s">
        <v>6</v>
      </c>
      <c r="C15" s="40" t="s">
        <v>7</v>
      </c>
      <c r="D15" s="41" t="s">
        <v>8</v>
      </c>
      <c r="E15" s="42" t="s">
        <v>9</v>
      </c>
      <c r="F15" s="42" t="s">
        <v>10</v>
      </c>
      <c r="G15" s="42" t="s">
        <v>11</v>
      </c>
      <c r="H15" s="42" t="s">
        <v>12</v>
      </c>
      <c r="I15" s="42" t="s">
        <v>13</v>
      </c>
      <c r="J15" s="42" t="s">
        <v>14</v>
      </c>
      <c r="K15" s="42" t="s">
        <v>15</v>
      </c>
      <c r="L15" s="42" t="s">
        <v>16</v>
      </c>
      <c r="M15" s="42" t="s">
        <v>17</v>
      </c>
      <c r="N15" s="42" t="s">
        <v>18</v>
      </c>
      <c r="O15" s="42" t="s">
        <v>203</v>
      </c>
      <c r="P15" s="42" t="s">
        <v>204</v>
      </c>
      <c r="Q15" s="42" t="s">
        <v>205</v>
      </c>
      <c r="R15" s="42" t="s">
        <v>206</v>
      </c>
      <c r="S15" s="42" t="s">
        <v>207</v>
      </c>
      <c r="T15" s="42" t="s">
        <v>246</v>
      </c>
      <c r="U15" s="42" t="s">
        <v>247</v>
      </c>
      <c r="V15" s="42" t="s">
        <v>248</v>
      </c>
      <c r="W15" s="42">
        <v>10000</v>
      </c>
      <c r="X15" s="42">
        <v>20000</v>
      </c>
      <c r="Y15" s="42">
        <v>30000</v>
      </c>
      <c r="Z15" s="42">
        <v>40000</v>
      </c>
      <c r="AA15" s="42">
        <v>50000</v>
      </c>
      <c r="AB15" s="42">
        <v>60000</v>
      </c>
      <c r="AC15" s="42">
        <v>70000</v>
      </c>
      <c r="AD15" s="42">
        <v>80000</v>
      </c>
      <c r="AE15" s="42">
        <v>90000</v>
      </c>
      <c r="AF15" s="42">
        <f t="shared" ref="AF15:AK15" si="5">AE15+10000</f>
        <v>100000</v>
      </c>
      <c r="AG15" s="42">
        <f t="shared" si="5"/>
        <v>110000</v>
      </c>
      <c r="AH15" s="42">
        <f t="shared" si="5"/>
        <v>120000</v>
      </c>
      <c r="AI15" s="42">
        <f t="shared" si="5"/>
        <v>130000</v>
      </c>
      <c r="AJ15" s="42">
        <f t="shared" si="5"/>
        <v>140000</v>
      </c>
      <c r="AK15" s="42">
        <f t="shared" si="5"/>
        <v>150000</v>
      </c>
    </row>
    <row r="16" spans="1:41" ht="15.75" customHeight="1" x14ac:dyDescent="0.4">
      <c r="A16" s="46">
        <v>1</v>
      </c>
      <c r="B16" s="47" t="s">
        <v>249</v>
      </c>
      <c r="C16" s="48" t="s">
        <v>184</v>
      </c>
      <c r="D16" s="49">
        <f>VLOOKUP(C16,'[1]PREÇO ATUAL'!$A:$D,4,0)</f>
        <v>112.46</v>
      </c>
      <c r="E16" s="50">
        <v>1</v>
      </c>
      <c r="F16" s="50">
        <v>1</v>
      </c>
      <c r="G16" s="50">
        <v>1</v>
      </c>
      <c r="H16" s="50">
        <v>1</v>
      </c>
      <c r="I16" s="51">
        <v>1</v>
      </c>
      <c r="J16" s="51">
        <v>1</v>
      </c>
      <c r="K16" s="51">
        <v>1</v>
      </c>
      <c r="L16" s="51">
        <v>1</v>
      </c>
      <c r="M16" s="51">
        <v>1</v>
      </c>
      <c r="N16" s="51">
        <v>1</v>
      </c>
      <c r="O16" s="51">
        <v>1</v>
      </c>
      <c r="P16" s="51">
        <v>1</v>
      </c>
      <c r="Q16" s="51">
        <v>1</v>
      </c>
      <c r="R16" s="51">
        <v>1</v>
      </c>
      <c r="S16" s="51">
        <v>1</v>
      </c>
      <c r="T16" s="51"/>
      <c r="U16" s="51"/>
      <c r="V16" s="51"/>
      <c r="W16" s="52">
        <f t="shared" ref="W16:AK23" si="6">$D16*E16</f>
        <v>112.46</v>
      </c>
      <c r="X16" s="52">
        <f t="shared" si="6"/>
        <v>112.46</v>
      </c>
      <c r="Y16" s="52">
        <f t="shared" si="6"/>
        <v>112.46</v>
      </c>
      <c r="Z16" s="52">
        <f t="shared" si="6"/>
        <v>112.46</v>
      </c>
      <c r="AA16" s="52">
        <f t="shared" si="6"/>
        <v>112.46</v>
      </c>
      <c r="AB16" s="52">
        <f t="shared" si="6"/>
        <v>112.46</v>
      </c>
      <c r="AC16" s="52">
        <f t="shared" si="6"/>
        <v>112.46</v>
      </c>
      <c r="AD16" s="52">
        <f t="shared" si="6"/>
        <v>112.46</v>
      </c>
      <c r="AE16" s="52">
        <f t="shared" si="6"/>
        <v>112.46</v>
      </c>
      <c r="AF16" s="52">
        <f t="shared" si="6"/>
        <v>112.46</v>
      </c>
      <c r="AG16" s="52">
        <f t="shared" si="6"/>
        <v>112.46</v>
      </c>
      <c r="AH16" s="52">
        <f t="shared" si="6"/>
        <v>112.46</v>
      </c>
      <c r="AI16" s="52">
        <f t="shared" si="6"/>
        <v>112.46</v>
      </c>
      <c r="AJ16" s="52">
        <f t="shared" si="6"/>
        <v>112.46</v>
      </c>
      <c r="AK16" s="52">
        <f t="shared" si="6"/>
        <v>112.46</v>
      </c>
    </row>
    <row r="17" spans="1:38" ht="15.75" customHeight="1" x14ac:dyDescent="0.4">
      <c r="A17" s="54">
        <v>2</v>
      </c>
      <c r="B17" s="55" t="s">
        <v>145</v>
      </c>
      <c r="C17" s="56" t="s">
        <v>185</v>
      </c>
      <c r="D17" s="57">
        <f>VLOOKUP(C17,'[1]PREÇO ATUAL'!$A:$D,4,0)</f>
        <v>35.9</v>
      </c>
      <c r="E17" s="58">
        <v>1</v>
      </c>
      <c r="F17" s="58">
        <v>1</v>
      </c>
      <c r="G17" s="58">
        <v>1</v>
      </c>
      <c r="H17" s="58">
        <v>1</v>
      </c>
      <c r="I17" s="59">
        <v>1</v>
      </c>
      <c r="J17" s="59">
        <v>1</v>
      </c>
      <c r="K17" s="59">
        <v>1</v>
      </c>
      <c r="L17" s="59">
        <v>1</v>
      </c>
      <c r="M17" s="59">
        <v>1</v>
      </c>
      <c r="N17" s="59">
        <v>1</v>
      </c>
      <c r="O17" s="59">
        <v>1</v>
      </c>
      <c r="P17" s="59">
        <v>1</v>
      </c>
      <c r="Q17" s="59">
        <v>1</v>
      </c>
      <c r="R17" s="59">
        <v>1</v>
      </c>
      <c r="S17" s="59">
        <v>1</v>
      </c>
      <c r="T17" s="59"/>
      <c r="U17" s="59"/>
      <c r="V17" s="59"/>
      <c r="W17" s="60">
        <f t="shared" si="6"/>
        <v>35.9</v>
      </c>
      <c r="X17" s="60">
        <f t="shared" si="6"/>
        <v>35.9</v>
      </c>
      <c r="Y17" s="60">
        <f t="shared" si="6"/>
        <v>35.9</v>
      </c>
      <c r="Z17" s="60">
        <f t="shared" si="6"/>
        <v>35.9</v>
      </c>
      <c r="AA17" s="60">
        <f t="shared" si="6"/>
        <v>35.9</v>
      </c>
      <c r="AB17" s="60">
        <f t="shared" si="6"/>
        <v>35.9</v>
      </c>
      <c r="AC17" s="60">
        <f t="shared" si="6"/>
        <v>35.9</v>
      </c>
      <c r="AD17" s="60">
        <f t="shared" si="6"/>
        <v>35.9</v>
      </c>
      <c r="AE17" s="60">
        <f t="shared" si="6"/>
        <v>35.9</v>
      </c>
      <c r="AF17" s="60">
        <f t="shared" si="6"/>
        <v>35.9</v>
      </c>
      <c r="AG17" s="60">
        <f t="shared" si="6"/>
        <v>35.9</v>
      </c>
      <c r="AH17" s="60">
        <f t="shared" si="6"/>
        <v>35.9</v>
      </c>
      <c r="AI17" s="60">
        <f t="shared" si="6"/>
        <v>35.9</v>
      </c>
      <c r="AJ17" s="60">
        <f t="shared" si="6"/>
        <v>35.9</v>
      </c>
      <c r="AK17" s="60">
        <f t="shared" si="6"/>
        <v>35.9</v>
      </c>
    </row>
    <row r="18" spans="1:38" ht="15.75" customHeight="1" x14ac:dyDescent="0.4">
      <c r="A18" s="46">
        <v>3</v>
      </c>
      <c r="B18" s="47" t="s">
        <v>250</v>
      </c>
      <c r="C18" s="48" t="s">
        <v>221</v>
      </c>
      <c r="D18" s="49">
        <f>VLOOKUP(C18,'[1]PREÇO ATUAL'!$A:$D,4,0)</f>
        <v>114.17</v>
      </c>
      <c r="E18" s="50"/>
      <c r="F18" s="50">
        <v>1</v>
      </c>
      <c r="G18" s="50"/>
      <c r="H18" s="50">
        <v>1</v>
      </c>
      <c r="I18" s="51"/>
      <c r="J18" s="51">
        <v>1</v>
      </c>
      <c r="K18" s="51"/>
      <c r="L18" s="51">
        <v>1</v>
      </c>
      <c r="M18" s="51"/>
      <c r="N18" s="51">
        <v>1</v>
      </c>
      <c r="O18" s="51"/>
      <c r="P18" s="51">
        <v>1</v>
      </c>
      <c r="Q18" s="51"/>
      <c r="R18" s="51">
        <v>1</v>
      </c>
      <c r="S18" s="51"/>
      <c r="T18" s="51"/>
      <c r="U18" s="51"/>
      <c r="V18" s="51"/>
      <c r="W18" s="52">
        <f t="shared" si="6"/>
        <v>0</v>
      </c>
      <c r="X18" s="52">
        <f t="shared" si="6"/>
        <v>114.17</v>
      </c>
      <c r="Y18" s="52">
        <f t="shared" si="6"/>
        <v>0</v>
      </c>
      <c r="Z18" s="52">
        <f t="shared" si="6"/>
        <v>114.17</v>
      </c>
      <c r="AA18" s="52">
        <f t="shared" si="6"/>
        <v>0</v>
      </c>
      <c r="AB18" s="52">
        <f t="shared" si="6"/>
        <v>114.17</v>
      </c>
      <c r="AC18" s="52">
        <f t="shared" si="6"/>
        <v>0</v>
      </c>
      <c r="AD18" s="52">
        <f t="shared" si="6"/>
        <v>114.17</v>
      </c>
      <c r="AE18" s="52">
        <f t="shared" si="6"/>
        <v>0</v>
      </c>
      <c r="AF18" s="52">
        <f t="shared" si="6"/>
        <v>114.17</v>
      </c>
      <c r="AG18" s="52">
        <f t="shared" si="6"/>
        <v>0</v>
      </c>
      <c r="AH18" s="52">
        <f t="shared" si="6"/>
        <v>114.17</v>
      </c>
      <c r="AI18" s="52">
        <f t="shared" si="6"/>
        <v>0</v>
      </c>
      <c r="AJ18" s="52">
        <f t="shared" si="6"/>
        <v>114.17</v>
      </c>
      <c r="AK18" s="52">
        <f t="shared" si="6"/>
        <v>0</v>
      </c>
    </row>
    <row r="19" spans="1:38" ht="15.75" customHeight="1" x14ac:dyDescent="0.4">
      <c r="A19" s="124">
        <v>4</v>
      </c>
      <c r="B19" s="125" t="s">
        <v>131</v>
      </c>
      <c r="C19" s="126" t="s">
        <v>253</v>
      </c>
      <c r="D19" s="127">
        <f>VLOOKUP(C19,'[1]PREÇO ATUAL'!$A:$D,4,0)</f>
        <v>213.64727999999999</v>
      </c>
      <c r="E19" s="158">
        <v>1</v>
      </c>
      <c r="F19" s="158">
        <v>1</v>
      </c>
      <c r="G19" s="158">
        <v>1</v>
      </c>
      <c r="H19" s="158">
        <v>1</v>
      </c>
      <c r="I19" s="159">
        <v>1</v>
      </c>
      <c r="J19" s="159">
        <v>1</v>
      </c>
      <c r="K19" s="159">
        <v>1</v>
      </c>
      <c r="L19" s="159">
        <v>1</v>
      </c>
      <c r="M19" s="159">
        <v>1</v>
      </c>
      <c r="N19" s="159">
        <v>1</v>
      </c>
      <c r="O19" s="159">
        <v>1</v>
      </c>
      <c r="P19" s="159">
        <v>1</v>
      </c>
      <c r="Q19" s="159">
        <v>1</v>
      </c>
      <c r="R19" s="159">
        <v>1</v>
      </c>
      <c r="S19" s="159">
        <v>1</v>
      </c>
      <c r="T19" s="59"/>
      <c r="U19" s="59"/>
      <c r="V19" s="59"/>
      <c r="W19" s="129">
        <f t="shared" si="6"/>
        <v>213.64727999999999</v>
      </c>
      <c r="X19" s="129">
        <f t="shared" si="6"/>
        <v>213.64727999999999</v>
      </c>
      <c r="Y19" s="129">
        <f t="shared" si="6"/>
        <v>213.64727999999999</v>
      </c>
      <c r="Z19" s="129">
        <f t="shared" si="6"/>
        <v>213.64727999999999</v>
      </c>
      <c r="AA19" s="129">
        <f t="shared" si="6"/>
        <v>213.64727999999999</v>
      </c>
      <c r="AB19" s="129">
        <f t="shared" si="6"/>
        <v>213.64727999999999</v>
      </c>
      <c r="AC19" s="129">
        <f t="shared" si="6"/>
        <v>213.64727999999999</v>
      </c>
      <c r="AD19" s="129">
        <f t="shared" si="6"/>
        <v>213.64727999999999</v>
      </c>
      <c r="AE19" s="129">
        <f t="shared" si="6"/>
        <v>213.64727999999999</v>
      </c>
      <c r="AF19" s="129">
        <f t="shared" si="6"/>
        <v>213.64727999999999</v>
      </c>
      <c r="AG19" s="129">
        <f t="shared" si="6"/>
        <v>213.64727999999999</v>
      </c>
      <c r="AH19" s="129">
        <f t="shared" si="6"/>
        <v>213.64727999999999</v>
      </c>
      <c r="AI19" s="129">
        <f t="shared" si="6"/>
        <v>213.64727999999999</v>
      </c>
      <c r="AJ19" s="129">
        <f t="shared" si="6"/>
        <v>213.64727999999999</v>
      </c>
      <c r="AK19" s="129">
        <f t="shared" si="6"/>
        <v>213.64727999999999</v>
      </c>
    </row>
    <row r="20" spans="1:38" ht="15.75" customHeight="1" x14ac:dyDescent="0.4">
      <c r="A20" s="112">
        <v>5</v>
      </c>
      <c r="B20" s="113" t="s">
        <v>147</v>
      </c>
      <c r="C20" s="114" t="s">
        <v>187</v>
      </c>
      <c r="D20" s="115">
        <f>VLOOKUP(C20,'[1]PREÇO ATUAL'!$A:$D,4,0)</f>
        <v>155.01</v>
      </c>
      <c r="E20" s="117"/>
      <c r="F20" s="117"/>
      <c r="G20" s="117"/>
      <c r="H20" s="117"/>
      <c r="I20" s="119"/>
      <c r="J20" s="119">
        <v>4</v>
      </c>
      <c r="K20" s="119"/>
      <c r="L20" s="119"/>
      <c r="M20" s="119"/>
      <c r="N20" s="119"/>
      <c r="O20" s="119"/>
      <c r="P20" s="119">
        <v>4</v>
      </c>
      <c r="Q20" s="119"/>
      <c r="R20" s="119"/>
      <c r="S20" s="119"/>
      <c r="T20" s="51"/>
      <c r="U20" s="51"/>
      <c r="V20" s="51"/>
      <c r="W20" s="121">
        <f t="shared" si="6"/>
        <v>0</v>
      </c>
      <c r="X20" s="121">
        <f t="shared" si="6"/>
        <v>0</v>
      </c>
      <c r="Y20" s="121">
        <f t="shared" si="6"/>
        <v>0</v>
      </c>
      <c r="Z20" s="121">
        <f t="shared" si="6"/>
        <v>0</v>
      </c>
      <c r="AA20" s="121">
        <f t="shared" si="6"/>
        <v>0</v>
      </c>
      <c r="AB20" s="121">
        <f t="shared" si="6"/>
        <v>620.04</v>
      </c>
      <c r="AC20" s="121">
        <f t="shared" si="6"/>
        <v>0</v>
      </c>
      <c r="AD20" s="121">
        <f t="shared" si="6"/>
        <v>0</v>
      </c>
      <c r="AE20" s="121">
        <f t="shared" si="6"/>
        <v>0</v>
      </c>
      <c r="AF20" s="121">
        <f t="shared" si="6"/>
        <v>0</v>
      </c>
      <c r="AG20" s="121">
        <f t="shared" si="6"/>
        <v>0</v>
      </c>
      <c r="AH20" s="121">
        <f t="shared" si="6"/>
        <v>620.04</v>
      </c>
      <c r="AI20" s="121">
        <f t="shared" si="6"/>
        <v>0</v>
      </c>
      <c r="AJ20" s="121">
        <f t="shared" si="6"/>
        <v>0</v>
      </c>
      <c r="AK20" s="121">
        <f t="shared" si="6"/>
        <v>0</v>
      </c>
    </row>
    <row r="21" spans="1:38" ht="15" customHeight="1" x14ac:dyDescent="0.4">
      <c r="A21" s="124">
        <v>6</v>
      </c>
      <c r="B21" s="125" t="s">
        <v>251</v>
      </c>
      <c r="C21" s="126" t="s">
        <v>226</v>
      </c>
      <c r="D21" s="127">
        <f>VLOOKUP(C21,'[1]PREÇO ATUAL'!$A:$D,4,0)</f>
        <v>88.64</v>
      </c>
      <c r="E21" s="158"/>
      <c r="F21" s="158"/>
      <c r="G21" s="158"/>
      <c r="H21" s="158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59"/>
      <c r="U21" s="59"/>
      <c r="V21" s="59"/>
      <c r="W21" s="129">
        <f t="shared" si="6"/>
        <v>0</v>
      </c>
      <c r="X21" s="129">
        <f t="shared" si="6"/>
        <v>0</v>
      </c>
      <c r="Y21" s="129">
        <f t="shared" si="6"/>
        <v>0</v>
      </c>
      <c r="Z21" s="129">
        <f t="shared" si="6"/>
        <v>0</v>
      </c>
      <c r="AA21" s="129">
        <f t="shared" si="6"/>
        <v>0</v>
      </c>
      <c r="AB21" s="129">
        <f t="shared" si="6"/>
        <v>0</v>
      </c>
      <c r="AC21" s="129">
        <f t="shared" si="6"/>
        <v>0</v>
      </c>
      <c r="AD21" s="129">
        <f t="shared" si="6"/>
        <v>0</v>
      </c>
      <c r="AE21" s="129">
        <f t="shared" si="6"/>
        <v>0</v>
      </c>
      <c r="AF21" s="129">
        <f t="shared" si="6"/>
        <v>0</v>
      </c>
      <c r="AG21" s="129">
        <f t="shared" si="6"/>
        <v>0</v>
      </c>
      <c r="AH21" s="129">
        <f t="shared" si="6"/>
        <v>0</v>
      </c>
      <c r="AI21" s="129">
        <f t="shared" si="6"/>
        <v>0</v>
      </c>
      <c r="AJ21" s="129">
        <f t="shared" si="6"/>
        <v>0</v>
      </c>
      <c r="AK21" s="129">
        <f t="shared" si="6"/>
        <v>0</v>
      </c>
    </row>
    <row r="22" spans="1:38" ht="15.75" customHeight="1" x14ac:dyDescent="0.4">
      <c r="A22" s="112">
        <v>7</v>
      </c>
      <c r="B22" s="113" t="s">
        <v>239</v>
      </c>
      <c r="C22" s="114" t="s">
        <v>240</v>
      </c>
      <c r="D22" s="115">
        <f>VLOOKUP(C22,'[1]PREÇO ATUAL'!$A:$D,4,0)</f>
        <v>45.09</v>
      </c>
      <c r="E22" s="117"/>
      <c r="F22" s="117"/>
      <c r="G22" s="117"/>
      <c r="H22" s="117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92"/>
      <c r="U22" s="92"/>
      <c r="V22" s="92"/>
      <c r="W22" s="121">
        <f t="shared" si="6"/>
        <v>0</v>
      </c>
      <c r="X22" s="121">
        <f t="shared" si="6"/>
        <v>0</v>
      </c>
      <c r="Y22" s="121">
        <f t="shared" si="6"/>
        <v>0</v>
      </c>
      <c r="Z22" s="121">
        <f t="shared" si="6"/>
        <v>0</v>
      </c>
      <c r="AA22" s="121">
        <f t="shared" si="6"/>
        <v>0</v>
      </c>
      <c r="AB22" s="121">
        <f t="shared" si="6"/>
        <v>0</v>
      </c>
      <c r="AC22" s="121">
        <f t="shared" si="6"/>
        <v>0</v>
      </c>
      <c r="AD22" s="121">
        <f t="shared" si="6"/>
        <v>0</v>
      </c>
      <c r="AE22" s="121">
        <f t="shared" si="6"/>
        <v>0</v>
      </c>
      <c r="AF22" s="121">
        <f t="shared" si="6"/>
        <v>0</v>
      </c>
      <c r="AG22" s="121">
        <f t="shared" si="6"/>
        <v>0</v>
      </c>
      <c r="AH22" s="121">
        <f t="shared" si="6"/>
        <v>0</v>
      </c>
      <c r="AI22" s="121">
        <f t="shared" si="6"/>
        <v>0</v>
      </c>
      <c r="AJ22" s="121">
        <f t="shared" si="6"/>
        <v>0</v>
      </c>
      <c r="AK22" s="121">
        <f t="shared" si="6"/>
        <v>0</v>
      </c>
    </row>
    <row r="23" spans="1:38" ht="15.75" customHeight="1" x14ac:dyDescent="0.4">
      <c r="A23" s="124">
        <v>8</v>
      </c>
      <c r="B23" s="125" t="s">
        <v>188</v>
      </c>
      <c r="C23" s="126" t="s">
        <v>189</v>
      </c>
      <c r="D23" s="127">
        <f>VLOOKUP(C23,'[1]PREÇO ATUAL'!$A:$D,4,0)</f>
        <v>87.82</v>
      </c>
      <c r="E23" s="160">
        <v>4.8</v>
      </c>
      <c r="F23" s="160">
        <v>4.8</v>
      </c>
      <c r="G23" s="160">
        <v>4.8</v>
      </c>
      <c r="H23" s="160">
        <v>4.8</v>
      </c>
      <c r="I23" s="160">
        <v>4.8</v>
      </c>
      <c r="J23" s="160">
        <v>4.8</v>
      </c>
      <c r="K23" s="160">
        <v>4.8</v>
      </c>
      <c r="L23" s="160">
        <v>4.8</v>
      </c>
      <c r="M23" s="160">
        <v>4.8</v>
      </c>
      <c r="N23" s="160">
        <v>4.8</v>
      </c>
      <c r="O23" s="160">
        <v>4.8</v>
      </c>
      <c r="P23" s="160">
        <v>4.8</v>
      </c>
      <c r="Q23" s="160">
        <v>4.8</v>
      </c>
      <c r="R23" s="160">
        <v>4.8</v>
      </c>
      <c r="S23" s="160">
        <v>4.8</v>
      </c>
      <c r="T23" s="57"/>
      <c r="U23" s="57"/>
      <c r="V23" s="57"/>
      <c r="W23" s="129">
        <f t="shared" si="6"/>
        <v>421.53599999999994</v>
      </c>
      <c r="X23" s="129">
        <f t="shared" si="6"/>
        <v>421.53599999999994</v>
      </c>
      <c r="Y23" s="129">
        <f t="shared" si="6"/>
        <v>421.53599999999994</v>
      </c>
      <c r="Z23" s="129">
        <f t="shared" si="6"/>
        <v>421.53599999999994</v>
      </c>
      <c r="AA23" s="129">
        <f t="shared" si="6"/>
        <v>421.53599999999994</v>
      </c>
      <c r="AB23" s="129">
        <f t="shared" si="6"/>
        <v>421.53599999999994</v>
      </c>
      <c r="AC23" s="129">
        <f t="shared" si="6"/>
        <v>421.53599999999994</v>
      </c>
      <c r="AD23" s="129">
        <f t="shared" si="6"/>
        <v>421.53599999999994</v>
      </c>
      <c r="AE23" s="129">
        <f t="shared" si="6"/>
        <v>421.53599999999994</v>
      </c>
      <c r="AF23" s="129">
        <f t="shared" si="6"/>
        <v>421.53599999999994</v>
      </c>
      <c r="AG23" s="129">
        <f t="shared" si="6"/>
        <v>421.53599999999994</v>
      </c>
      <c r="AH23" s="129">
        <f t="shared" si="6"/>
        <v>421.53599999999994</v>
      </c>
      <c r="AI23" s="129">
        <f t="shared" si="6"/>
        <v>421.53599999999994</v>
      </c>
      <c r="AJ23" s="129">
        <f t="shared" si="6"/>
        <v>421.53599999999994</v>
      </c>
      <c r="AK23" s="129">
        <f t="shared" si="6"/>
        <v>421.53599999999994</v>
      </c>
    </row>
    <row r="24" spans="1:38" ht="15.75" customHeight="1" x14ac:dyDescent="0.4">
      <c r="A24" s="112">
        <v>9</v>
      </c>
      <c r="B24" s="113" t="s">
        <v>128</v>
      </c>
      <c r="C24" s="114" t="s">
        <v>54</v>
      </c>
      <c r="D24" s="115" t="e">
        <f>VLOOKUP(C24,'[1]PREÇO ATUAL'!$A:$D,4,0)</f>
        <v>#N/A</v>
      </c>
      <c r="E24" s="161">
        <v>1.05</v>
      </c>
      <c r="F24" s="161">
        <v>1.1000000000000001</v>
      </c>
      <c r="G24" s="161">
        <v>1.05</v>
      </c>
      <c r="H24" s="161">
        <v>0.75</v>
      </c>
      <c r="I24" s="115">
        <v>1.1499999999999999</v>
      </c>
      <c r="J24" s="115">
        <v>1.6</v>
      </c>
      <c r="K24" s="115">
        <v>1.05</v>
      </c>
      <c r="L24" s="115">
        <v>0.75</v>
      </c>
      <c r="M24" s="115">
        <v>1.05</v>
      </c>
      <c r="N24" s="115">
        <v>1.2</v>
      </c>
      <c r="O24" s="115">
        <v>1.05</v>
      </c>
      <c r="P24" s="115">
        <v>1.95</v>
      </c>
      <c r="Q24" s="115">
        <v>1.05</v>
      </c>
      <c r="R24" s="115">
        <v>1.1000000000000001</v>
      </c>
      <c r="S24" s="115">
        <v>1.1499999999999999</v>
      </c>
      <c r="T24" s="92"/>
      <c r="U24" s="92"/>
      <c r="V24" s="92"/>
      <c r="W24" s="121" t="e">
        <f>D24*E24</f>
        <v>#N/A</v>
      </c>
      <c r="X24" s="121" t="e">
        <f t="shared" ref="X24:AK24" si="7">$D24*F24</f>
        <v>#N/A</v>
      </c>
      <c r="Y24" s="121" t="e">
        <f t="shared" si="7"/>
        <v>#N/A</v>
      </c>
      <c r="Z24" s="121" t="e">
        <f t="shared" si="7"/>
        <v>#N/A</v>
      </c>
      <c r="AA24" s="121" t="e">
        <f t="shared" si="7"/>
        <v>#N/A</v>
      </c>
      <c r="AB24" s="121" t="e">
        <f t="shared" si="7"/>
        <v>#N/A</v>
      </c>
      <c r="AC24" s="121" t="e">
        <f t="shared" si="7"/>
        <v>#N/A</v>
      </c>
      <c r="AD24" s="121" t="e">
        <f t="shared" si="7"/>
        <v>#N/A</v>
      </c>
      <c r="AE24" s="121" t="e">
        <f t="shared" si="7"/>
        <v>#N/A</v>
      </c>
      <c r="AF24" s="121" t="e">
        <f t="shared" si="7"/>
        <v>#N/A</v>
      </c>
      <c r="AG24" s="121" t="e">
        <f t="shared" si="7"/>
        <v>#N/A</v>
      </c>
      <c r="AH24" s="121" t="e">
        <f t="shared" si="7"/>
        <v>#N/A</v>
      </c>
      <c r="AI24" s="121" t="e">
        <f t="shared" si="7"/>
        <v>#N/A</v>
      </c>
      <c r="AJ24" s="121" t="e">
        <f t="shared" si="7"/>
        <v>#N/A</v>
      </c>
      <c r="AK24" s="121" t="e">
        <f t="shared" si="7"/>
        <v>#N/A</v>
      </c>
    </row>
    <row r="25" spans="1:38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38" ht="15.75" customHeight="1" x14ac:dyDescent="0.4">
      <c r="A26" s="243" t="s">
        <v>254</v>
      </c>
      <c r="B26" s="211"/>
      <c r="C26" s="211"/>
      <c r="D26" s="212"/>
      <c r="E26" s="246" t="s">
        <v>1</v>
      </c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44" t="s">
        <v>2</v>
      </c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</row>
    <row r="27" spans="1:38" ht="15" customHeight="1" x14ac:dyDescent="0.4">
      <c r="A27" s="151"/>
      <c r="B27" s="152"/>
      <c r="C27" s="152"/>
      <c r="D27" s="153"/>
      <c r="E27" s="154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7"/>
      <c r="T27" s="157"/>
      <c r="U27" s="157"/>
      <c r="V27" s="157"/>
      <c r="W27" s="38" t="e">
        <f t="shared" ref="W27:AK27" si="8">MROUND(SUM(W29:W39),1)</f>
        <v>#N/A</v>
      </c>
      <c r="X27" s="38" t="e">
        <f t="shared" si="8"/>
        <v>#N/A</v>
      </c>
      <c r="Y27" s="38" t="e">
        <f t="shared" si="8"/>
        <v>#N/A</v>
      </c>
      <c r="Z27" s="38" t="e">
        <f t="shared" si="8"/>
        <v>#N/A</v>
      </c>
      <c r="AA27" s="38" t="e">
        <f t="shared" si="8"/>
        <v>#N/A</v>
      </c>
      <c r="AB27" s="38" t="e">
        <f t="shared" si="8"/>
        <v>#N/A</v>
      </c>
      <c r="AC27" s="38" t="e">
        <f t="shared" si="8"/>
        <v>#N/A</v>
      </c>
      <c r="AD27" s="38" t="e">
        <f t="shared" si="8"/>
        <v>#N/A</v>
      </c>
      <c r="AE27" s="38" t="e">
        <f t="shared" si="8"/>
        <v>#N/A</v>
      </c>
      <c r="AF27" s="38" t="e">
        <f t="shared" si="8"/>
        <v>#N/A</v>
      </c>
      <c r="AG27" s="38" t="e">
        <f t="shared" si="8"/>
        <v>#N/A</v>
      </c>
      <c r="AH27" s="38" t="e">
        <f t="shared" si="8"/>
        <v>#N/A</v>
      </c>
      <c r="AI27" s="38" t="e">
        <f t="shared" si="8"/>
        <v>#N/A</v>
      </c>
      <c r="AJ27" s="38" t="e">
        <f t="shared" si="8"/>
        <v>#N/A</v>
      </c>
      <c r="AK27" s="38" t="e">
        <f t="shared" si="8"/>
        <v>#N/A</v>
      </c>
      <c r="AL27" s="156"/>
    </row>
    <row r="28" spans="1:38" ht="15.75" customHeight="1" x14ac:dyDescent="0.4">
      <c r="A28" s="39" t="s">
        <v>5</v>
      </c>
      <c r="B28" s="39" t="s">
        <v>6</v>
      </c>
      <c r="C28" s="40" t="s">
        <v>7</v>
      </c>
      <c r="D28" s="41" t="s">
        <v>8</v>
      </c>
      <c r="E28" s="42" t="s">
        <v>9</v>
      </c>
      <c r="F28" s="42" t="s">
        <v>10</v>
      </c>
      <c r="G28" s="42" t="s">
        <v>11</v>
      </c>
      <c r="H28" s="42" t="s">
        <v>12</v>
      </c>
      <c r="I28" s="42" t="s">
        <v>13</v>
      </c>
      <c r="J28" s="42" t="s">
        <v>14</v>
      </c>
      <c r="K28" s="42" t="s">
        <v>15</v>
      </c>
      <c r="L28" s="42" t="s">
        <v>16</v>
      </c>
      <c r="M28" s="42" t="s">
        <v>17</v>
      </c>
      <c r="N28" s="42" t="s">
        <v>18</v>
      </c>
      <c r="O28" s="42" t="s">
        <v>203</v>
      </c>
      <c r="P28" s="42" t="s">
        <v>204</v>
      </c>
      <c r="Q28" s="42" t="s">
        <v>205</v>
      </c>
      <c r="R28" s="42" t="s">
        <v>206</v>
      </c>
      <c r="S28" s="42" t="s">
        <v>207</v>
      </c>
      <c r="T28" s="42" t="s">
        <v>246</v>
      </c>
      <c r="U28" s="42" t="s">
        <v>247</v>
      </c>
      <c r="V28" s="42" t="s">
        <v>248</v>
      </c>
      <c r="W28" s="42">
        <v>10000</v>
      </c>
      <c r="X28" s="42">
        <v>20000</v>
      </c>
      <c r="Y28" s="42">
        <v>30000</v>
      </c>
      <c r="Z28" s="42">
        <v>40000</v>
      </c>
      <c r="AA28" s="42">
        <v>50000</v>
      </c>
      <c r="AB28" s="42">
        <v>60000</v>
      </c>
      <c r="AC28" s="42">
        <v>70000</v>
      </c>
      <c r="AD28" s="42">
        <v>80000</v>
      </c>
      <c r="AE28" s="42">
        <v>90000</v>
      </c>
      <c r="AF28" s="42">
        <f t="shared" ref="AF28:AK28" si="9">AE28+10000</f>
        <v>100000</v>
      </c>
      <c r="AG28" s="42">
        <f t="shared" si="9"/>
        <v>110000</v>
      </c>
      <c r="AH28" s="42">
        <f t="shared" si="9"/>
        <v>120000</v>
      </c>
      <c r="AI28" s="42">
        <f t="shared" si="9"/>
        <v>130000</v>
      </c>
      <c r="AJ28" s="42">
        <f t="shared" si="9"/>
        <v>140000</v>
      </c>
      <c r="AK28" s="42">
        <f t="shared" si="9"/>
        <v>150000</v>
      </c>
    </row>
    <row r="29" spans="1:38" ht="15.75" customHeight="1" x14ac:dyDescent="0.4">
      <c r="A29" s="46">
        <v>1</v>
      </c>
      <c r="B29" s="66" t="s">
        <v>130</v>
      </c>
      <c r="C29" s="48" t="s">
        <v>184</v>
      </c>
      <c r="D29" s="49">
        <f>VLOOKUP(C29,'[1]PREÇO ATUAL'!$A:$D,4,0)</f>
        <v>112.46</v>
      </c>
      <c r="E29" s="50">
        <v>1</v>
      </c>
      <c r="F29" s="50">
        <v>1</v>
      </c>
      <c r="G29" s="50">
        <v>1</v>
      </c>
      <c r="H29" s="50">
        <v>1</v>
      </c>
      <c r="I29" s="50">
        <v>1</v>
      </c>
      <c r="J29" s="50">
        <v>1</v>
      </c>
      <c r="K29" s="50">
        <v>1</v>
      </c>
      <c r="L29" s="50">
        <v>1</v>
      </c>
      <c r="M29" s="50">
        <v>1</v>
      </c>
      <c r="N29" s="50">
        <v>1</v>
      </c>
      <c r="O29" s="50">
        <v>1</v>
      </c>
      <c r="P29" s="50">
        <v>1</v>
      </c>
      <c r="Q29" s="50">
        <v>1</v>
      </c>
      <c r="R29" s="50">
        <v>1</v>
      </c>
      <c r="S29" s="50">
        <v>1</v>
      </c>
      <c r="T29" s="50"/>
      <c r="U29" s="50"/>
      <c r="V29" s="50"/>
      <c r="W29" s="52">
        <f t="shared" ref="W29:AK36" si="10">$D29*E29</f>
        <v>112.46</v>
      </c>
      <c r="X29" s="52">
        <f t="shared" si="10"/>
        <v>112.46</v>
      </c>
      <c r="Y29" s="52">
        <f t="shared" si="10"/>
        <v>112.46</v>
      </c>
      <c r="Z29" s="52">
        <f t="shared" si="10"/>
        <v>112.46</v>
      </c>
      <c r="AA29" s="52">
        <f t="shared" si="10"/>
        <v>112.46</v>
      </c>
      <c r="AB29" s="52">
        <f t="shared" si="10"/>
        <v>112.46</v>
      </c>
      <c r="AC29" s="52">
        <f t="shared" si="10"/>
        <v>112.46</v>
      </c>
      <c r="AD29" s="52">
        <f t="shared" si="10"/>
        <v>112.46</v>
      </c>
      <c r="AE29" s="52">
        <f t="shared" si="10"/>
        <v>112.46</v>
      </c>
      <c r="AF29" s="52">
        <f t="shared" si="10"/>
        <v>112.46</v>
      </c>
      <c r="AG29" s="52">
        <f t="shared" si="10"/>
        <v>112.46</v>
      </c>
      <c r="AH29" s="52">
        <f t="shared" si="10"/>
        <v>112.46</v>
      </c>
      <c r="AI29" s="52">
        <f t="shared" si="10"/>
        <v>112.46</v>
      </c>
      <c r="AJ29" s="52">
        <f t="shared" si="10"/>
        <v>112.46</v>
      </c>
      <c r="AK29" s="52">
        <f t="shared" si="10"/>
        <v>112.46</v>
      </c>
    </row>
    <row r="30" spans="1:38" ht="15.75" customHeight="1" x14ac:dyDescent="0.4">
      <c r="A30" s="54">
        <v>2</v>
      </c>
      <c r="B30" s="67" t="s">
        <v>255</v>
      </c>
      <c r="C30" s="56" t="s">
        <v>185</v>
      </c>
      <c r="D30" s="57">
        <f>VLOOKUP(C30,'[1]PREÇO ATUAL'!$A:$D,4,0)</f>
        <v>35.9</v>
      </c>
      <c r="E30" s="58">
        <v>1</v>
      </c>
      <c r="F30" s="58">
        <v>1</v>
      </c>
      <c r="G30" s="58">
        <v>1</v>
      </c>
      <c r="H30" s="58">
        <v>1</v>
      </c>
      <c r="I30" s="58">
        <v>1</v>
      </c>
      <c r="J30" s="58">
        <v>1</v>
      </c>
      <c r="K30" s="58">
        <v>1</v>
      </c>
      <c r="L30" s="58">
        <v>1</v>
      </c>
      <c r="M30" s="58">
        <v>1</v>
      </c>
      <c r="N30" s="58">
        <v>1</v>
      </c>
      <c r="O30" s="58">
        <v>1</v>
      </c>
      <c r="P30" s="58">
        <v>1</v>
      </c>
      <c r="Q30" s="58">
        <v>1</v>
      </c>
      <c r="R30" s="58">
        <v>1</v>
      </c>
      <c r="S30" s="58">
        <v>1</v>
      </c>
      <c r="T30" s="58"/>
      <c r="U30" s="58"/>
      <c r="V30" s="58"/>
      <c r="W30" s="60">
        <f t="shared" si="10"/>
        <v>35.9</v>
      </c>
      <c r="X30" s="60">
        <f t="shared" si="10"/>
        <v>35.9</v>
      </c>
      <c r="Y30" s="60">
        <f t="shared" si="10"/>
        <v>35.9</v>
      </c>
      <c r="Z30" s="60">
        <f t="shared" si="10"/>
        <v>35.9</v>
      </c>
      <c r="AA30" s="60">
        <f t="shared" si="10"/>
        <v>35.9</v>
      </c>
      <c r="AB30" s="60">
        <f t="shared" si="10"/>
        <v>35.9</v>
      </c>
      <c r="AC30" s="60">
        <f t="shared" si="10"/>
        <v>35.9</v>
      </c>
      <c r="AD30" s="60">
        <f t="shared" si="10"/>
        <v>35.9</v>
      </c>
      <c r="AE30" s="60">
        <f t="shared" si="10"/>
        <v>35.9</v>
      </c>
      <c r="AF30" s="60">
        <f t="shared" si="10"/>
        <v>35.9</v>
      </c>
      <c r="AG30" s="60">
        <f t="shared" si="10"/>
        <v>35.9</v>
      </c>
      <c r="AH30" s="60">
        <f t="shared" si="10"/>
        <v>35.9</v>
      </c>
      <c r="AI30" s="60">
        <f t="shared" si="10"/>
        <v>35.9</v>
      </c>
      <c r="AJ30" s="60">
        <f t="shared" si="10"/>
        <v>35.9</v>
      </c>
      <c r="AK30" s="60">
        <f t="shared" si="10"/>
        <v>35.9</v>
      </c>
    </row>
    <row r="31" spans="1:38" ht="15.75" customHeight="1" x14ac:dyDescent="0.4">
      <c r="A31" s="46">
        <v>3</v>
      </c>
      <c r="B31" s="66" t="s">
        <v>60</v>
      </c>
      <c r="C31" s="48" t="s">
        <v>221</v>
      </c>
      <c r="D31" s="49">
        <f>VLOOKUP(C31,'[1]PREÇO ATUAL'!$A:$D,4,0)</f>
        <v>114.17</v>
      </c>
      <c r="E31" s="50"/>
      <c r="F31" s="50">
        <v>1</v>
      </c>
      <c r="G31" s="50"/>
      <c r="H31" s="50">
        <v>1</v>
      </c>
      <c r="I31" s="51"/>
      <c r="J31" s="51">
        <v>1</v>
      </c>
      <c r="K31" s="51"/>
      <c r="L31" s="51">
        <v>1</v>
      </c>
      <c r="M31" s="51"/>
      <c r="N31" s="51">
        <v>1</v>
      </c>
      <c r="O31" s="51"/>
      <c r="P31" s="51">
        <v>1</v>
      </c>
      <c r="Q31" s="51"/>
      <c r="R31" s="51">
        <v>1</v>
      </c>
      <c r="S31" s="51"/>
      <c r="T31" s="51"/>
      <c r="U31" s="51"/>
      <c r="V31" s="51"/>
      <c r="W31" s="52">
        <f t="shared" si="10"/>
        <v>0</v>
      </c>
      <c r="X31" s="52">
        <f t="shared" si="10"/>
        <v>114.17</v>
      </c>
      <c r="Y31" s="52">
        <f t="shared" si="10"/>
        <v>0</v>
      </c>
      <c r="Z31" s="52">
        <f t="shared" si="10"/>
        <v>114.17</v>
      </c>
      <c r="AA31" s="52">
        <f t="shared" si="10"/>
        <v>0</v>
      </c>
      <c r="AB31" s="52">
        <f t="shared" si="10"/>
        <v>114.17</v>
      </c>
      <c r="AC31" s="52">
        <f t="shared" si="10"/>
        <v>0</v>
      </c>
      <c r="AD31" s="52">
        <f t="shared" si="10"/>
        <v>114.17</v>
      </c>
      <c r="AE31" s="52">
        <f t="shared" si="10"/>
        <v>0</v>
      </c>
      <c r="AF31" s="52">
        <f t="shared" si="10"/>
        <v>114.17</v>
      </c>
      <c r="AG31" s="52">
        <f t="shared" si="10"/>
        <v>0</v>
      </c>
      <c r="AH31" s="52">
        <f t="shared" si="10"/>
        <v>114.17</v>
      </c>
      <c r="AI31" s="52">
        <f t="shared" si="10"/>
        <v>0</v>
      </c>
      <c r="AJ31" s="52">
        <f t="shared" si="10"/>
        <v>114.17</v>
      </c>
      <c r="AK31" s="52">
        <f t="shared" si="10"/>
        <v>0</v>
      </c>
    </row>
    <row r="32" spans="1:38" ht="15.75" customHeight="1" x14ac:dyDescent="0.4">
      <c r="A32" s="124">
        <v>4</v>
      </c>
      <c r="B32" s="162" t="s">
        <v>131</v>
      </c>
      <c r="C32" s="126" t="s">
        <v>253</v>
      </c>
      <c r="D32" s="127">
        <f>VLOOKUP(C32,'[1]PREÇO ATUAL'!$A:$D,4,0)</f>
        <v>213.64727999999999</v>
      </c>
      <c r="E32" s="58">
        <v>1</v>
      </c>
      <c r="F32" s="58">
        <v>1</v>
      </c>
      <c r="G32" s="58">
        <v>1</v>
      </c>
      <c r="H32" s="58">
        <v>1</v>
      </c>
      <c r="I32" s="58">
        <v>1</v>
      </c>
      <c r="J32" s="58">
        <v>1</v>
      </c>
      <c r="K32" s="58">
        <v>1</v>
      </c>
      <c r="L32" s="58">
        <v>1</v>
      </c>
      <c r="M32" s="58">
        <v>1</v>
      </c>
      <c r="N32" s="58">
        <v>1</v>
      </c>
      <c r="O32" s="58">
        <v>1</v>
      </c>
      <c r="P32" s="58">
        <v>1</v>
      </c>
      <c r="Q32" s="58">
        <v>1</v>
      </c>
      <c r="R32" s="58">
        <v>1</v>
      </c>
      <c r="S32" s="58">
        <v>1</v>
      </c>
      <c r="T32" s="59"/>
      <c r="U32" s="59"/>
      <c r="V32" s="59"/>
      <c r="W32" s="129">
        <f t="shared" si="10"/>
        <v>213.64727999999999</v>
      </c>
      <c r="X32" s="129">
        <f t="shared" si="10"/>
        <v>213.64727999999999</v>
      </c>
      <c r="Y32" s="129">
        <f t="shared" si="10"/>
        <v>213.64727999999999</v>
      </c>
      <c r="Z32" s="129">
        <f t="shared" si="10"/>
        <v>213.64727999999999</v>
      </c>
      <c r="AA32" s="129">
        <f t="shared" si="10"/>
        <v>213.64727999999999</v>
      </c>
      <c r="AB32" s="129">
        <f t="shared" si="10"/>
        <v>213.64727999999999</v>
      </c>
      <c r="AC32" s="129">
        <f t="shared" si="10"/>
        <v>213.64727999999999</v>
      </c>
      <c r="AD32" s="129">
        <f t="shared" si="10"/>
        <v>213.64727999999999</v>
      </c>
      <c r="AE32" s="129">
        <f t="shared" si="10"/>
        <v>213.64727999999999</v>
      </c>
      <c r="AF32" s="129">
        <f t="shared" si="10"/>
        <v>213.64727999999999</v>
      </c>
      <c r="AG32" s="129">
        <f t="shared" si="10"/>
        <v>213.64727999999999</v>
      </c>
      <c r="AH32" s="129">
        <f t="shared" si="10"/>
        <v>213.64727999999999</v>
      </c>
      <c r="AI32" s="129">
        <f t="shared" si="10"/>
        <v>213.64727999999999</v>
      </c>
      <c r="AJ32" s="129">
        <f t="shared" si="10"/>
        <v>213.64727999999999</v>
      </c>
      <c r="AK32" s="129">
        <f t="shared" si="10"/>
        <v>213.64727999999999</v>
      </c>
    </row>
    <row r="33" spans="1:38" ht="25.5" customHeight="1" x14ac:dyDescent="0.4">
      <c r="A33" s="112">
        <v>5</v>
      </c>
      <c r="B33" s="163" t="s">
        <v>256</v>
      </c>
      <c r="C33" s="114" t="s">
        <v>187</v>
      </c>
      <c r="D33" s="115">
        <f>VLOOKUP(C33,'[1]PREÇO ATUAL'!$A:$D,4,0)</f>
        <v>155.01</v>
      </c>
      <c r="E33" s="117"/>
      <c r="F33" s="117"/>
      <c r="G33" s="117"/>
      <c r="H33" s="117"/>
      <c r="I33" s="119"/>
      <c r="J33" s="119">
        <v>4</v>
      </c>
      <c r="K33" s="119"/>
      <c r="L33" s="119"/>
      <c r="M33" s="119"/>
      <c r="N33" s="119"/>
      <c r="O33" s="119"/>
      <c r="P33" s="119">
        <v>4</v>
      </c>
      <c r="Q33" s="119"/>
      <c r="R33" s="119"/>
      <c r="S33" s="119"/>
      <c r="T33" s="51"/>
      <c r="U33" s="51"/>
      <c r="V33" s="51"/>
      <c r="W33" s="121">
        <f t="shared" si="10"/>
        <v>0</v>
      </c>
      <c r="X33" s="121">
        <f t="shared" si="10"/>
        <v>0</v>
      </c>
      <c r="Y33" s="121">
        <f t="shared" si="10"/>
        <v>0</v>
      </c>
      <c r="Z33" s="121">
        <f t="shared" si="10"/>
        <v>0</v>
      </c>
      <c r="AA33" s="121">
        <f t="shared" si="10"/>
        <v>0</v>
      </c>
      <c r="AB33" s="121">
        <f t="shared" si="10"/>
        <v>620.04</v>
      </c>
      <c r="AC33" s="121">
        <f t="shared" si="10"/>
        <v>0</v>
      </c>
      <c r="AD33" s="121">
        <f t="shared" si="10"/>
        <v>0</v>
      </c>
      <c r="AE33" s="121">
        <f t="shared" si="10"/>
        <v>0</v>
      </c>
      <c r="AF33" s="121">
        <f t="shared" si="10"/>
        <v>0</v>
      </c>
      <c r="AG33" s="121">
        <f t="shared" si="10"/>
        <v>0</v>
      </c>
      <c r="AH33" s="121">
        <f t="shared" si="10"/>
        <v>620.04</v>
      </c>
      <c r="AI33" s="121">
        <f t="shared" si="10"/>
        <v>0</v>
      </c>
      <c r="AJ33" s="121">
        <f t="shared" si="10"/>
        <v>0</v>
      </c>
      <c r="AK33" s="121">
        <f t="shared" si="10"/>
        <v>0</v>
      </c>
    </row>
    <row r="34" spans="1:38" ht="25.5" customHeight="1" x14ac:dyDescent="0.4">
      <c r="A34" s="124">
        <v>6</v>
      </c>
      <c r="B34" s="162" t="s">
        <v>257</v>
      </c>
      <c r="C34" s="126" t="s">
        <v>258</v>
      </c>
      <c r="D34" s="127">
        <f>VLOOKUP(C34,'[1]PREÇO ATUAL'!$A:$D,4,0)</f>
        <v>124.449</v>
      </c>
      <c r="E34" s="58">
        <v>1</v>
      </c>
      <c r="F34" s="58">
        <v>1</v>
      </c>
      <c r="G34" s="58">
        <v>1</v>
      </c>
      <c r="H34" s="58">
        <v>1</v>
      </c>
      <c r="I34" s="58">
        <v>1</v>
      </c>
      <c r="J34" s="58">
        <v>1</v>
      </c>
      <c r="K34" s="58">
        <v>1</v>
      </c>
      <c r="L34" s="58">
        <v>1</v>
      </c>
      <c r="M34" s="58">
        <v>1</v>
      </c>
      <c r="N34" s="58">
        <v>1</v>
      </c>
      <c r="O34" s="58">
        <v>1</v>
      </c>
      <c r="P34" s="58">
        <v>1</v>
      </c>
      <c r="Q34" s="58">
        <v>1</v>
      </c>
      <c r="R34" s="58">
        <v>1</v>
      </c>
      <c r="S34" s="58">
        <v>1</v>
      </c>
      <c r="T34" s="59"/>
      <c r="U34" s="59"/>
      <c r="V34" s="59"/>
      <c r="W34" s="129">
        <f t="shared" si="10"/>
        <v>124.449</v>
      </c>
      <c r="X34" s="129">
        <f t="shared" si="10"/>
        <v>124.449</v>
      </c>
      <c r="Y34" s="129">
        <f t="shared" si="10"/>
        <v>124.449</v>
      </c>
      <c r="Z34" s="129">
        <f t="shared" si="10"/>
        <v>124.449</v>
      </c>
      <c r="AA34" s="129">
        <f t="shared" si="10"/>
        <v>124.449</v>
      </c>
      <c r="AB34" s="129">
        <f t="shared" si="10"/>
        <v>124.449</v>
      </c>
      <c r="AC34" s="129">
        <f t="shared" si="10"/>
        <v>124.449</v>
      </c>
      <c r="AD34" s="129">
        <f t="shared" si="10"/>
        <v>124.449</v>
      </c>
      <c r="AE34" s="129">
        <f t="shared" si="10"/>
        <v>124.449</v>
      </c>
      <c r="AF34" s="129">
        <f t="shared" si="10"/>
        <v>124.449</v>
      </c>
      <c r="AG34" s="129">
        <f t="shared" si="10"/>
        <v>124.449</v>
      </c>
      <c r="AH34" s="129">
        <f t="shared" si="10"/>
        <v>124.449</v>
      </c>
      <c r="AI34" s="129">
        <f t="shared" si="10"/>
        <v>124.449</v>
      </c>
      <c r="AJ34" s="129">
        <f t="shared" si="10"/>
        <v>124.449</v>
      </c>
      <c r="AK34" s="129">
        <f t="shared" si="10"/>
        <v>124.449</v>
      </c>
    </row>
    <row r="35" spans="1:38" ht="25.5" customHeight="1" x14ac:dyDescent="0.4">
      <c r="A35" s="112">
        <v>7</v>
      </c>
      <c r="B35" s="163" t="s">
        <v>259</v>
      </c>
      <c r="C35" s="114" t="s">
        <v>260</v>
      </c>
      <c r="D35" s="115">
        <f>VLOOKUP(C35,'[1]PREÇO ATUAL'!$A:$D,4,0)</f>
        <v>53.549808391520799</v>
      </c>
      <c r="E35" s="117"/>
      <c r="F35" s="117"/>
      <c r="G35" s="117"/>
      <c r="H35" s="117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92"/>
      <c r="U35" s="92"/>
      <c r="V35" s="92"/>
      <c r="W35" s="121">
        <f t="shared" si="10"/>
        <v>0</v>
      </c>
      <c r="X35" s="121">
        <f t="shared" si="10"/>
        <v>0</v>
      </c>
      <c r="Y35" s="121">
        <f t="shared" si="10"/>
        <v>0</v>
      </c>
      <c r="Z35" s="121">
        <f t="shared" si="10"/>
        <v>0</v>
      </c>
      <c r="AA35" s="121">
        <f t="shared" si="10"/>
        <v>0</v>
      </c>
      <c r="AB35" s="121">
        <f t="shared" si="10"/>
        <v>0</v>
      </c>
      <c r="AC35" s="121">
        <f t="shared" si="10"/>
        <v>0</v>
      </c>
      <c r="AD35" s="121">
        <f t="shared" si="10"/>
        <v>0</v>
      </c>
      <c r="AE35" s="121">
        <f t="shared" si="10"/>
        <v>0</v>
      </c>
      <c r="AF35" s="121">
        <f t="shared" si="10"/>
        <v>0</v>
      </c>
      <c r="AG35" s="121">
        <f t="shared" si="10"/>
        <v>0</v>
      </c>
      <c r="AH35" s="121">
        <f t="shared" si="10"/>
        <v>0</v>
      </c>
      <c r="AI35" s="121">
        <f t="shared" si="10"/>
        <v>0</v>
      </c>
      <c r="AJ35" s="121">
        <f t="shared" si="10"/>
        <v>0</v>
      </c>
      <c r="AK35" s="121">
        <f t="shared" si="10"/>
        <v>0</v>
      </c>
    </row>
    <row r="36" spans="1:38" ht="25.5" customHeight="1" x14ac:dyDescent="0.4">
      <c r="A36" s="124">
        <v>8</v>
      </c>
      <c r="B36" s="162" t="s">
        <v>223</v>
      </c>
      <c r="C36" s="126" t="s">
        <v>226</v>
      </c>
      <c r="D36" s="127">
        <f>VLOOKUP(C36,'[1]PREÇO ATUAL'!$A:$D,4,0)</f>
        <v>88.64</v>
      </c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57"/>
      <c r="U36" s="57"/>
      <c r="V36" s="57"/>
      <c r="W36" s="129">
        <f t="shared" si="10"/>
        <v>0</v>
      </c>
      <c r="X36" s="129">
        <f t="shared" si="10"/>
        <v>0</v>
      </c>
      <c r="Y36" s="129">
        <f t="shared" si="10"/>
        <v>0</v>
      </c>
      <c r="Z36" s="129">
        <f t="shared" si="10"/>
        <v>0</v>
      </c>
      <c r="AA36" s="129">
        <f t="shared" si="10"/>
        <v>0</v>
      </c>
      <c r="AB36" s="129">
        <f t="shared" si="10"/>
        <v>0</v>
      </c>
      <c r="AC36" s="129">
        <f t="shared" si="10"/>
        <v>0</v>
      </c>
      <c r="AD36" s="129">
        <f t="shared" si="10"/>
        <v>0</v>
      </c>
      <c r="AE36" s="129">
        <f t="shared" si="10"/>
        <v>0</v>
      </c>
      <c r="AF36" s="129">
        <f t="shared" si="10"/>
        <v>0</v>
      </c>
      <c r="AG36" s="129">
        <f t="shared" si="10"/>
        <v>0</v>
      </c>
      <c r="AH36" s="129">
        <f t="shared" si="10"/>
        <v>0</v>
      </c>
      <c r="AI36" s="129">
        <f t="shared" si="10"/>
        <v>0</v>
      </c>
      <c r="AJ36" s="129">
        <f t="shared" si="10"/>
        <v>0</v>
      </c>
      <c r="AK36" s="129">
        <f t="shared" si="10"/>
        <v>0</v>
      </c>
    </row>
    <row r="37" spans="1:38" ht="38.25" customHeight="1" x14ac:dyDescent="0.4">
      <c r="A37" s="112">
        <v>9</v>
      </c>
      <c r="B37" s="163" t="s">
        <v>261</v>
      </c>
      <c r="C37" s="114" t="s">
        <v>69</v>
      </c>
      <c r="D37" s="115">
        <f>VLOOKUP(C37,'[1]PREÇO ATUAL'!$A:$D,4,0)</f>
        <v>0</v>
      </c>
      <c r="E37" s="161"/>
      <c r="F37" s="161"/>
      <c r="G37" s="161"/>
      <c r="H37" s="161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92"/>
      <c r="U37" s="92"/>
      <c r="V37" s="92"/>
      <c r="W37" s="121">
        <f>D37*E37</f>
        <v>0</v>
      </c>
      <c r="X37" s="121">
        <f t="shared" ref="X37:AK39" si="11">$D37*F37</f>
        <v>0</v>
      </c>
      <c r="Y37" s="121">
        <f t="shared" si="11"/>
        <v>0</v>
      </c>
      <c r="Z37" s="121">
        <f t="shared" si="11"/>
        <v>0</v>
      </c>
      <c r="AA37" s="121">
        <f t="shared" si="11"/>
        <v>0</v>
      </c>
      <c r="AB37" s="121">
        <f t="shared" si="11"/>
        <v>0</v>
      </c>
      <c r="AC37" s="121">
        <f t="shared" si="11"/>
        <v>0</v>
      </c>
      <c r="AD37" s="121">
        <f t="shared" si="11"/>
        <v>0</v>
      </c>
      <c r="AE37" s="121">
        <f t="shared" si="11"/>
        <v>0</v>
      </c>
      <c r="AF37" s="121">
        <f t="shared" si="11"/>
        <v>0</v>
      </c>
      <c r="AG37" s="121">
        <f t="shared" si="11"/>
        <v>0</v>
      </c>
      <c r="AH37" s="121">
        <f t="shared" si="11"/>
        <v>0</v>
      </c>
      <c r="AI37" s="121">
        <f t="shared" si="11"/>
        <v>0</v>
      </c>
      <c r="AJ37" s="121">
        <f t="shared" si="11"/>
        <v>0</v>
      </c>
      <c r="AK37" s="121">
        <f t="shared" si="11"/>
        <v>0</v>
      </c>
    </row>
    <row r="38" spans="1:38" ht="15" customHeight="1" x14ac:dyDescent="0.4">
      <c r="A38" s="124">
        <v>10</v>
      </c>
      <c r="B38" s="162" t="s">
        <v>262</v>
      </c>
      <c r="C38" s="126" t="s">
        <v>189</v>
      </c>
      <c r="D38" s="127">
        <f>VLOOKUP(C38,'[1]PREÇO ATUAL'!$A:$D,4,0)</f>
        <v>87.82</v>
      </c>
      <c r="E38" s="164">
        <v>4.8</v>
      </c>
      <c r="F38" s="164">
        <v>4.8</v>
      </c>
      <c r="G38" s="164">
        <v>4.8</v>
      </c>
      <c r="H38" s="164">
        <v>4.8</v>
      </c>
      <c r="I38" s="164">
        <v>4.8</v>
      </c>
      <c r="J38" s="164">
        <v>4.8</v>
      </c>
      <c r="K38" s="164">
        <v>4.8</v>
      </c>
      <c r="L38" s="164">
        <v>4.8</v>
      </c>
      <c r="M38" s="164">
        <v>4.8</v>
      </c>
      <c r="N38" s="164">
        <v>4.8</v>
      </c>
      <c r="O38" s="164">
        <v>4.8</v>
      </c>
      <c r="P38" s="164">
        <v>4.8</v>
      </c>
      <c r="Q38" s="164">
        <v>4.8</v>
      </c>
      <c r="R38" s="164">
        <v>4.8</v>
      </c>
      <c r="S38" s="164">
        <v>4.8</v>
      </c>
      <c r="T38" s="59"/>
      <c r="U38" s="59"/>
      <c r="V38" s="59"/>
      <c r="W38" s="129">
        <f>$D38*E38</f>
        <v>421.53599999999994</v>
      </c>
      <c r="X38" s="129">
        <f t="shared" si="11"/>
        <v>421.53599999999994</v>
      </c>
      <c r="Y38" s="129">
        <f t="shared" si="11"/>
        <v>421.53599999999994</v>
      </c>
      <c r="Z38" s="129">
        <f t="shared" si="11"/>
        <v>421.53599999999994</v>
      </c>
      <c r="AA38" s="129">
        <f t="shared" si="11"/>
        <v>421.53599999999994</v>
      </c>
      <c r="AB38" s="129">
        <f t="shared" si="11"/>
        <v>421.53599999999994</v>
      </c>
      <c r="AC38" s="129">
        <f t="shared" si="11"/>
        <v>421.53599999999994</v>
      </c>
      <c r="AD38" s="129">
        <f t="shared" si="11"/>
        <v>421.53599999999994</v>
      </c>
      <c r="AE38" s="129">
        <f t="shared" si="11"/>
        <v>421.53599999999994</v>
      </c>
      <c r="AF38" s="129">
        <f t="shared" si="11"/>
        <v>421.53599999999994</v>
      </c>
      <c r="AG38" s="129">
        <f t="shared" si="11"/>
        <v>421.53599999999994</v>
      </c>
      <c r="AH38" s="129">
        <f t="shared" si="11"/>
        <v>421.53599999999994</v>
      </c>
      <c r="AI38" s="129">
        <f t="shared" si="11"/>
        <v>421.53599999999994</v>
      </c>
      <c r="AJ38" s="129">
        <f t="shared" si="11"/>
        <v>421.53599999999994</v>
      </c>
      <c r="AK38" s="129">
        <f t="shared" si="11"/>
        <v>421.53599999999994</v>
      </c>
    </row>
    <row r="39" spans="1:38" ht="15.75" customHeight="1" x14ac:dyDescent="0.4">
      <c r="A39" s="112">
        <v>11</v>
      </c>
      <c r="B39" s="113" t="s">
        <v>128</v>
      </c>
      <c r="C39" s="114" t="s">
        <v>54</v>
      </c>
      <c r="D39" s="115" t="e">
        <f>VLOOKUP(C39,'[1]PREÇO ATUAL'!$A:$D,4,0)</f>
        <v>#N/A</v>
      </c>
      <c r="E39" s="161">
        <v>1.75</v>
      </c>
      <c r="F39" s="161">
        <v>1.8</v>
      </c>
      <c r="G39" s="161">
        <v>1.75</v>
      </c>
      <c r="H39" s="161">
        <v>1.85</v>
      </c>
      <c r="I39" s="115">
        <v>1.85</v>
      </c>
      <c r="J39" s="115">
        <v>2.2999999999999998</v>
      </c>
      <c r="K39" s="115">
        <v>1.75</v>
      </c>
      <c r="L39" s="115">
        <v>1.85</v>
      </c>
      <c r="M39" s="115">
        <v>1.75</v>
      </c>
      <c r="N39" s="115">
        <v>1.9</v>
      </c>
      <c r="O39" s="115">
        <v>1.75</v>
      </c>
      <c r="P39" s="115">
        <v>2.65</v>
      </c>
      <c r="Q39" s="115">
        <v>1.75</v>
      </c>
      <c r="R39" s="115">
        <v>1.8</v>
      </c>
      <c r="S39" s="115">
        <v>1.85</v>
      </c>
      <c r="T39" s="92"/>
      <c r="U39" s="92"/>
      <c r="V39" s="92"/>
      <c r="W39" s="121" t="e">
        <f>$D39*E39</f>
        <v>#N/A</v>
      </c>
      <c r="X39" s="121" t="e">
        <f t="shared" si="11"/>
        <v>#N/A</v>
      </c>
      <c r="Y39" s="121" t="e">
        <f t="shared" si="11"/>
        <v>#N/A</v>
      </c>
      <c r="Z39" s="121" t="e">
        <f t="shared" si="11"/>
        <v>#N/A</v>
      </c>
      <c r="AA39" s="121" t="e">
        <f t="shared" si="11"/>
        <v>#N/A</v>
      </c>
      <c r="AB39" s="121" t="e">
        <f t="shared" si="11"/>
        <v>#N/A</v>
      </c>
      <c r="AC39" s="121" t="e">
        <f t="shared" si="11"/>
        <v>#N/A</v>
      </c>
      <c r="AD39" s="121" t="e">
        <f t="shared" si="11"/>
        <v>#N/A</v>
      </c>
      <c r="AE39" s="121" t="e">
        <f t="shared" si="11"/>
        <v>#N/A</v>
      </c>
      <c r="AF39" s="121" t="e">
        <f t="shared" si="11"/>
        <v>#N/A</v>
      </c>
      <c r="AG39" s="121" t="e">
        <f t="shared" si="11"/>
        <v>#N/A</v>
      </c>
      <c r="AH39" s="121" t="e">
        <f t="shared" si="11"/>
        <v>#N/A</v>
      </c>
      <c r="AI39" s="121" t="e">
        <f t="shared" si="11"/>
        <v>#N/A</v>
      </c>
      <c r="AJ39" s="121" t="e">
        <f t="shared" si="11"/>
        <v>#N/A</v>
      </c>
      <c r="AK39" s="121" t="e">
        <f t="shared" si="11"/>
        <v>#N/A</v>
      </c>
    </row>
    <row r="40" spans="1:38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38" ht="15.75" customHeight="1" x14ac:dyDescent="0.4">
      <c r="A41" s="243" t="s">
        <v>263</v>
      </c>
      <c r="B41" s="211"/>
      <c r="C41" s="211"/>
      <c r="D41" s="212"/>
      <c r="E41" s="246" t="s">
        <v>1</v>
      </c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44" t="s">
        <v>2</v>
      </c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</row>
    <row r="42" spans="1:38" ht="15" customHeight="1" x14ac:dyDescent="0.4">
      <c r="A42" s="151"/>
      <c r="B42" s="152"/>
      <c r="C42" s="152"/>
      <c r="D42" s="153"/>
      <c r="E42" s="154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7"/>
      <c r="T42" s="157"/>
      <c r="U42" s="157"/>
      <c r="V42" s="157"/>
      <c r="W42" s="38" t="e">
        <f t="shared" ref="W42:AK42" si="12">MROUND(SUM(W44:W54),1)</f>
        <v>#N/A</v>
      </c>
      <c r="X42" s="38" t="e">
        <f t="shared" si="12"/>
        <v>#N/A</v>
      </c>
      <c r="Y42" s="38" t="e">
        <f t="shared" si="12"/>
        <v>#N/A</v>
      </c>
      <c r="Z42" s="38" t="e">
        <f t="shared" si="12"/>
        <v>#N/A</v>
      </c>
      <c r="AA42" s="38" t="e">
        <f t="shared" si="12"/>
        <v>#N/A</v>
      </c>
      <c r="AB42" s="38" t="e">
        <f t="shared" si="12"/>
        <v>#N/A</v>
      </c>
      <c r="AC42" s="38" t="e">
        <f t="shared" si="12"/>
        <v>#N/A</v>
      </c>
      <c r="AD42" s="38" t="e">
        <f t="shared" si="12"/>
        <v>#N/A</v>
      </c>
      <c r="AE42" s="38" t="e">
        <f t="shared" si="12"/>
        <v>#N/A</v>
      </c>
      <c r="AF42" s="38" t="e">
        <f t="shared" si="12"/>
        <v>#N/A</v>
      </c>
      <c r="AG42" s="38" t="e">
        <f t="shared" si="12"/>
        <v>#N/A</v>
      </c>
      <c r="AH42" s="38" t="e">
        <f t="shared" si="12"/>
        <v>#N/A</v>
      </c>
      <c r="AI42" s="38" t="e">
        <f t="shared" si="12"/>
        <v>#N/A</v>
      </c>
      <c r="AJ42" s="38" t="e">
        <f t="shared" si="12"/>
        <v>#N/A</v>
      </c>
      <c r="AK42" s="38" t="e">
        <f t="shared" si="12"/>
        <v>#N/A</v>
      </c>
      <c r="AL42" s="156"/>
    </row>
    <row r="43" spans="1:38" ht="15.75" customHeight="1" x14ac:dyDescent="0.4">
      <c r="A43" s="39" t="s">
        <v>5</v>
      </c>
      <c r="B43" s="39" t="s">
        <v>6</v>
      </c>
      <c r="C43" s="40" t="s">
        <v>7</v>
      </c>
      <c r="D43" s="41" t="s">
        <v>8</v>
      </c>
      <c r="E43" s="42" t="s">
        <v>9</v>
      </c>
      <c r="F43" s="42" t="s">
        <v>10</v>
      </c>
      <c r="G43" s="42" t="s">
        <v>11</v>
      </c>
      <c r="H43" s="42" t="s">
        <v>12</v>
      </c>
      <c r="I43" s="42" t="s">
        <v>13</v>
      </c>
      <c r="J43" s="42" t="s">
        <v>14</v>
      </c>
      <c r="K43" s="42" t="s">
        <v>15</v>
      </c>
      <c r="L43" s="42" t="s">
        <v>16</v>
      </c>
      <c r="M43" s="42" t="s">
        <v>17</v>
      </c>
      <c r="N43" s="42" t="s">
        <v>18</v>
      </c>
      <c r="O43" s="42" t="s">
        <v>203</v>
      </c>
      <c r="P43" s="42" t="s">
        <v>204</v>
      </c>
      <c r="Q43" s="42" t="s">
        <v>205</v>
      </c>
      <c r="R43" s="42" t="s">
        <v>206</v>
      </c>
      <c r="S43" s="42" t="s">
        <v>207</v>
      </c>
      <c r="T43" s="42" t="s">
        <v>246</v>
      </c>
      <c r="U43" s="42" t="s">
        <v>247</v>
      </c>
      <c r="V43" s="42" t="s">
        <v>248</v>
      </c>
      <c r="W43" s="42">
        <v>10000</v>
      </c>
      <c r="X43" s="42">
        <v>20000</v>
      </c>
      <c r="Y43" s="42">
        <v>30000</v>
      </c>
      <c r="Z43" s="42">
        <v>40000</v>
      </c>
      <c r="AA43" s="42">
        <v>50000</v>
      </c>
      <c r="AB43" s="42">
        <v>60000</v>
      </c>
      <c r="AC43" s="42">
        <v>70000</v>
      </c>
      <c r="AD43" s="42">
        <v>80000</v>
      </c>
      <c r="AE43" s="42">
        <v>90000</v>
      </c>
      <c r="AF43" s="42">
        <f t="shared" ref="AF43:AK43" si="13">AE43+10000</f>
        <v>100000</v>
      </c>
      <c r="AG43" s="42">
        <f t="shared" si="13"/>
        <v>110000</v>
      </c>
      <c r="AH43" s="42">
        <f t="shared" si="13"/>
        <v>120000</v>
      </c>
      <c r="AI43" s="42">
        <f t="shared" si="13"/>
        <v>130000</v>
      </c>
      <c r="AJ43" s="42">
        <f t="shared" si="13"/>
        <v>140000</v>
      </c>
      <c r="AK43" s="42">
        <f t="shared" si="13"/>
        <v>150000</v>
      </c>
    </row>
    <row r="44" spans="1:38" ht="15.75" customHeight="1" x14ac:dyDescent="0.4">
      <c r="A44" s="46">
        <v>1</v>
      </c>
      <c r="B44" s="66" t="s">
        <v>130</v>
      </c>
      <c r="C44" s="48" t="s">
        <v>184</v>
      </c>
      <c r="D44" s="49">
        <f>VLOOKUP(C44,'[1]PREÇO ATUAL'!$A:$D,4,0)</f>
        <v>112.46</v>
      </c>
      <c r="E44" s="50">
        <v>1</v>
      </c>
      <c r="F44" s="50">
        <v>1</v>
      </c>
      <c r="G44" s="50">
        <v>1</v>
      </c>
      <c r="H44" s="50">
        <v>1</v>
      </c>
      <c r="I44" s="50">
        <v>1</v>
      </c>
      <c r="J44" s="50">
        <v>1</v>
      </c>
      <c r="K44" s="50">
        <v>1</v>
      </c>
      <c r="L44" s="50">
        <v>1</v>
      </c>
      <c r="M44" s="50">
        <v>1</v>
      </c>
      <c r="N44" s="50">
        <v>1</v>
      </c>
      <c r="O44" s="50">
        <v>1</v>
      </c>
      <c r="P44" s="50">
        <v>1</v>
      </c>
      <c r="Q44" s="50">
        <v>1</v>
      </c>
      <c r="R44" s="50">
        <v>1</v>
      </c>
      <c r="S44" s="50">
        <v>1</v>
      </c>
      <c r="T44" s="50"/>
      <c r="U44" s="50"/>
      <c r="V44" s="50"/>
      <c r="W44" s="52">
        <f t="shared" ref="W44:AK51" si="14">$D44*E44</f>
        <v>112.46</v>
      </c>
      <c r="X44" s="52">
        <f t="shared" si="14"/>
        <v>112.46</v>
      </c>
      <c r="Y44" s="52">
        <f t="shared" si="14"/>
        <v>112.46</v>
      </c>
      <c r="Z44" s="52">
        <f t="shared" si="14"/>
        <v>112.46</v>
      </c>
      <c r="AA44" s="52">
        <f t="shared" si="14"/>
        <v>112.46</v>
      </c>
      <c r="AB44" s="52">
        <f t="shared" si="14"/>
        <v>112.46</v>
      </c>
      <c r="AC44" s="52">
        <f t="shared" si="14"/>
        <v>112.46</v>
      </c>
      <c r="AD44" s="52">
        <f t="shared" si="14"/>
        <v>112.46</v>
      </c>
      <c r="AE44" s="52">
        <f t="shared" si="14"/>
        <v>112.46</v>
      </c>
      <c r="AF44" s="52">
        <f t="shared" si="14"/>
        <v>112.46</v>
      </c>
      <c r="AG44" s="52">
        <f t="shared" si="14"/>
        <v>112.46</v>
      </c>
      <c r="AH44" s="52">
        <f t="shared" si="14"/>
        <v>112.46</v>
      </c>
      <c r="AI44" s="52">
        <f t="shared" si="14"/>
        <v>112.46</v>
      </c>
      <c r="AJ44" s="52">
        <f t="shared" si="14"/>
        <v>112.46</v>
      </c>
      <c r="AK44" s="52">
        <f t="shared" si="14"/>
        <v>112.46</v>
      </c>
    </row>
    <row r="45" spans="1:38" ht="15.75" customHeight="1" x14ac:dyDescent="0.4">
      <c r="A45" s="54">
        <v>2</v>
      </c>
      <c r="B45" s="67" t="s">
        <v>255</v>
      </c>
      <c r="C45" s="56" t="s">
        <v>185</v>
      </c>
      <c r="D45" s="57">
        <f>VLOOKUP(C45,'[1]PREÇO ATUAL'!$A:$D,4,0)</f>
        <v>35.9</v>
      </c>
      <c r="E45" s="58">
        <v>1</v>
      </c>
      <c r="F45" s="58">
        <v>1</v>
      </c>
      <c r="G45" s="58">
        <v>1</v>
      </c>
      <c r="H45" s="58">
        <v>1</v>
      </c>
      <c r="I45" s="58">
        <v>1</v>
      </c>
      <c r="J45" s="58">
        <v>1</v>
      </c>
      <c r="K45" s="58">
        <v>1</v>
      </c>
      <c r="L45" s="58">
        <v>1</v>
      </c>
      <c r="M45" s="58">
        <v>1</v>
      </c>
      <c r="N45" s="58">
        <v>1</v>
      </c>
      <c r="O45" s="58">
        <v>1</v>
      </c>
      <c r="P45" s="58">
        <v>1</v>
      </c>
      <c r="Q45" s="58">
        <v>1</v>
      </c>
      <c r="R45" s="58">
        <v>1</v>
      </c>
      <c r="S45" s="58">
        <v>1</v>
      </c>
      <c r="T45" s="58"/>
      <c r="U45" s="58"/>
      <c r="V45" s="58"/>
      <c r="W45" s="60">
        <f t="shared" si="14"/>
        <v>35.9</v>
      </c>
      <c r="X45" s="60">
        <f t="shared" si="14"/>
        <v>35.9</v>
      </c>
      <c r="Y45" s="60">
        <f t="shared" si="14"/>
        <v>35.9</v>
      </c>
      <c r="Z45" s="60">
        <f t="shared" si="14"/>
        <v>35.9</v>
      </c>
      <c r="AA45" s="60">
        <f t="shared" si="14"/>
        <v>35.9</v>
      </c>
      <c r="AB45" s="60">
        <f t="shared" si="14"/>
        <v>35.9</v>
      </c>
      <c r="AC45" s="60">
        <f t="shared" si="14"/>
        <v>35.9</v>
      </c>
      <c r="AD45" s="60">
        <f t="shared" si="14"/>
        <v>35.9</v>
      </c>
      <c r="AE45" s="60">
        <f t="shared" si="14"/>
        <v>35.9</v>
      </c>
      <c r="AF45" s="60">
        <f t="shared" si="14"/>
        <v>35.9</v>
      </c>
      <c r="AG45" s="60">
        <f t="shared" si="14"/>
        <v>35.9</v>
      </c>
      <c r="AH45" s="60">
        <f t="shared" si="14"/>
        <v>35.9</v>
      </c>
      <c r="AI45" s="60">
        <f t="shared" si="14"/>
        <v>35.9</v>
      </c>
      <c r="AJ45" s="60">
        <f t="shared" si="14"/>
        <v>35.9</v>
      </c>
      <c r="AK45" s="60">
        <f t="shared" si="14"/>
        <v>35.9</v>
      </c>
    </row>
    <row r="46" spans="1:38" ht="15.75" customHeight="1" x14ac:dyDescent="0.4">
      <c r="A46" s="46">
        <v>3</v>
      </c>
      <c r="B46" s="66" t="s">
        <v>60</v>
      </c>
      <c r="C46" s="48" t="s">
        <v>221</v>
      </c>
      <c r="D46" s="49">
        <f>VLOOKUP(C46,'[1]PREÇO ATUAL'!$A:$D,4,0)</f>
        <v>114.17</v>
      </c>
      <c r="E46" s="50"/>
      <c r="F46" s="50">
        <v>1</v>
      </c>
      <c r="G46" s="50"/>
      <c r="H46" s="50">
        <v>1</v>
      </c>
      <c r="I46" s="51"/>
      <c r="J46" s="51">
        <v>1</v>
      </c>
      <c r="K46" s="51"/>
      <c r="L46" s="51">
        <v>1</v>
      </c>
      <c r="M46" s="51"/>
      <c r="N46" s="51">
        <v>1</v>
      </c>
      <c r="O46" s="51"/>
      <c r="P46" s="51">
        <v>1</v>
      </c>
      <c r="Q46" s="51"/>
      <c r="R46" s="51">
        <v>1</v>
      </c>
      <c r="S46" s="51"/>
      <c r="T46" s="51"/>
      <c r="U46" s="51"/>
      <c r="V46" s="51"/>
      <c r="W46" s="52">
        <f t="shared" si="14"/>
        <v>0</v>
      </c>
      <c r="X46" s="52">
        <f t="shared" si="14"/>
        <v>114.17</v>
      </c>
      <c r="Y46" s="52">
        <f t="shared" si="14"/>
        <v>0</v>
      </c>
      <c r="Z46" s="52">
        <f t="shared" si="14"/>
        <v>114.17</v>
      </c>
      <c r="AA46" s="52">
        <f t="shared" si="14"/>
        <v>0</v>
      </c>
      <c r="AB46" s="52">
        <f t="shared" si="14"/>
        <v>114.17</v>
      </c>
      <c r="AC46" s="52">
        <f t="shared" si="14"/>
        <v>0</v>
      </c>
      <c r="AD46" s="52">
        <f t="shared" si="14"/>
        <v>114.17</v>
      </c>
      <c r="AE46" s="52">
        <f t="shared" si="14"/>
        <v>0</v>
      </c>
      <c r="AF46" s="52">
        <f t="shared" si="14"/>
        <v>114.17</v>
      </c>
      <c r="AG46" s="52">
        <f t="shared" si="14"/>
        <v>0</v>
      </c>
      <c r="AH46" s="52">
        <f t="shared" si="14"/>
        <v>114.17</v>
      </c>
      <c r="AI46" s="52">
        <f t="shared" si="14"/>
        <v>0</v>
      </c>
      <c r="AJ46" s="52">
        <f t="shared" si="14"/>
        <v>114.17</v>
      </c>
      <c r="AK46" s="52">
        <f t="shared" si="14"/>
        <v>0</v>
      </c>
    </row>
    <row r="47" spans="1:38" ht="15.75" customHeight="1" x14ac:dyDescent="0.4">
      <c r="A47" s="124">
        <v>4</v>
      </c>
      <c r="B47" s="162" t="s">
        <v>131</v>
      </c>
      <c r="C47" s="126" t="s">
        <v>253</v>
      </c>
      <c r="D47" s="127">
        <f>VLOOKUP(C47,'[1]PREÇO ATUAL'!$A:$D,4,0)</f>
        <v>213.64727999999999</v>
      </c>
      <c r="E47" s="58">
        <v>1</v>
      </c>
      <c r="F47" s="58">
        <v>1</v>
      </c>
      <c r="G47" s="58">
        <v>1</v>
      </c>
      <c r="H47" s="58">
        <v>1</v>
      </c>
      <c r="I47" s="58">
        <v>1</v>
      </c>
      <c r="J47" s="58">
        <v>1</v>
      </c>
      <c r="K47" s="58">
        <v>1</v>
      </c>
      <c r="L47" s="58">
        <v>1</v>
      </c>
      <c r="M47" s="58">
        <v>1</v>
      </c>
      <c r="N47" s="58">
        <v>1</v>
      </c>
      <c r="O47" s="58">
        <v>1</v>
      </c>
      <c r="P47" s="58">
        <v>1</v>
      </c>
      <c r="Q47" s="58">
        <v>1</v>
      </c>
      <c r="R47" s="58">
        <v>1</v>
      </c>
      <c r="S47" s="58">
        <v>1</v>
      </c>
      <c r="T47" s="59"/>
      <c r="U47" s="59"/>
      <c r="V47" s="59"/>
      <c r="W47" s="129">
        <f t="shared" si="14"/>
        <v>213.64727999999999</v>
      </c>
      <c r="X47" s="129">
        <f t="shared" si="14"/>
        <v>213.64727999999999</v>
      </c>
      <c r="Y47" s="129">
        <f t="shared" si="14"/>
        <v>213.64727999999999</v>
      </c>
      <c r="Z47" s="129">
        <f t="shared" si="14"/>
        <v>213.64727999999999</v>
      </c>
      <c r="AA47" s="129">
        <f t="shared" si="14"/>
        <v>213.64727999999999</v>
      </c>
      <c r="AB47" s="129">
        <f t="shared" si="14"/>
        <v>213.64727999999999</v>
      </c>
      <c r="AC47" s="129">
        <f t="shared" si="14"/>
        <v>213.64727999999999</v>
      </c>
      <c r="AD47" s="129">
        <f t="shared" si="14"/>
        <v>213.64727999999999</v>
      </c>
      <c r="AE47" s="129">
        <f t="shared" si="14"/>
        <v>213.64727999999999</v>
      </c>
      <c r="AF47" s="129">
        <f t="shared" si="14"/>
        <v>213.64727999999999</v>
      </c>
      <c r="AG47" s="129">
        <f t="shared" si="14"/>
        <v>213.64727999999999</v>
      </c>
      <c r="AH47" s="129">
        <f t="shared" si="14"/>
        <v>213.64727999999999</v>
      </c>
      <c r="AI47" s="129">
        <f t="shared" si="14"/>
        <v>213.64727999999999</v>
      </c>
      <c r="AJ47" s="129">
        <f t="shared" si="14"/>
        <v>213.64727999999999</v>
      </c>
      <c r="AK47" s="129">
        <f t="shared" si="14"/>
        <v>213.64727999999999</v>
      </c>
    </row>
    <row r="48" spans="1:38" ht="25.5" customHeight="1" x14ac:dyDescent="0.4">
      <c r="A48" s="112">
        <v>5</v>
      </c>
      <c r="B48" s="163" t="s">
        <v>256</v>
      </c>
      <c r="C48" s="114" t="s">
        <v>187</v>
      </c>
      <c r="D48" s="115">
        <f>VLOOKUP(C48,'[1]PREÇO ATUAL'!$A:$D,4,0)</f>
        <v>155.01</v>
      </c>
      <c r="E48" s="117"/>
      <c r="F48" s="117"/>
      <c r="G48" s="117"/>
      <c r="H48" s="117"/>
      <c r="I48" s="119"/>
      <c r="J48" s="119">
        <v>4</v>
      </c>
      <c r="K48" s="119"/>
      <c r="L48" s="119"/>
      <c r="M48" s="119"/>
      <c r="N48" s="119"/>
      <c r="O48" s="119"/>
      <c r="P48" s="119">
        <v>4</v>
      </c>
      <c r="Q48" s="119"/>
      <c r="R48" s="119"/>
      <c r="S48" s="119"/>
      <c r="T48" s="51"/>
      <c r="U48" s="51"/>
      <c r="V48" s="51"/>
      <c r="W48" s="121">
        <f t="shared" si="14"/>
        <v>0</v>
      </c>
      <c r="X48" s="121">
        <f t="shared" si="14"/>
        <v>0</v>
      </c>
      <c r="Y48" s="121">
        <f t="shared" si="14"/>
        <v>0</v>
      </c>
      <c r="Z48" s="121">
        <f t="shared" si="14"/>
        <v>0</v>
      </c>
      <c r="AA48" s="121">
        <f t="shared" si="14"/>
        <v>0</v>
      </c>
      <c r="AB48" s="121">
        <f t="shared" si="14"/>
        <v>620.04</v>
      </c>
      <c r="AC48" s="121">
        <f t="shared" si="14"/>
        <v>0</v>
      </c>
      <c r="AD48" s="121">
        <f t="shared" si="14"/>
        <v>0</v>
      </c>
      <c r="AE48" s="121">
        <f t="shared" si="14"/>
        <v>0</v>
      </c>
      <c r="AF48" s="121">
        <f t="shared" si="14"/>
        <v>0</v>
      </c>
      <c r="AG48" s="121">
        <f t="shared" si="14"/>
        <v>0</v>
      </c>
      <c r="AH48" s="121">
        <f t="shared" si="14"/>
        <v>620.04</v>
      </c>
      <c r="AI48" s="121">
        <f t="shared" si="14"/>
        <v>0</v>
      </c>
      <c r="AJ48" s="121">
        <f t="shared" si="14"/>
        <v>0</v>
      </c>
      <c r="AK48" s="121">
        <f t="shared" si="14"/>
        <v>0</v>
      </c>
    </row>
    <row r="49" spans="1:37" ht="25.5" customHeight="1" x14ac:dyDescent="0.4">
      <c r="A49" s="124">
        <v>6</v>
      </c>
      <c r="B49" s="162" t="s">
        <v>257</v>
      </c>
      <c r="C49" s="126" t="s">
        <v>258</v>
      </c>
      <c r="D49" s="127">
        <f>VLOOKUP(C49,'[1]PREÇO ATUAL'!$A:$D,4,0)</f>
        <v>124.449</v>
      </c>
      <c r="E49" s="58">
        <v>1</v>
      </c>
      <c r="F49" s="58">
        <v>1</v>
      </c>
      <c r="G49" s="58">
        <v>1</v>
      </c>
      <c r="H49" s="58">
        <v>1</v>
      </c>
      <c r="I49" s="58">
        <v>1</v>
      </c>
      <c r="J49" s="58">
        <v>1</v>
      </c>
      <c r="K49" s="58">
        <v>1</v>
      </c>
      <c r="L49" s="58">
        <v>1</v>
      </c>
      <c r="M49" s="58">
        <v>1</v>
      </c>
      <c r="N49" s="58">
        <v>1</v>
      </c>
      <c r="O49" s="58">
        <v>1</v>
      </c>
      <c r="P49" s="58">
        <v>1</v>
      </c>
      <c r="Q49" s="58">
        <v>1</v>
      </c>
      <c r="R49" s="58">
        <v>1</v>
      </c>
      <c r="S49" s="58">
        <v>1</v>
      </c>
      <c r="T49" s="59"/>
      <c r="U49" s="59"/>
      <c r="V49" s="59"/>
      <c r="W49" s="129">
        <f t="shared" si="14"/>
        <v>124.449</v>
      </c>
      <c r="X49" s="129">
        <f t="shared" si="14"/>
        <v>124.449</v>
      </c>
      <c r="Y49" s="129">
        <f t="shared" si="14"/>
        <v>124.449</v>
      </c>
      <c r="Z49" s="129">
        <f t="shared" si="14"/>
        <v>124.449</v>
      </c>
      <c r="AA49" s="129">
        <f t="shared" si="14"/>
        <v>124.449</v>
      </c>
      <c r="AB49" s="129">
        <f t="shared" si="14"/>
        <v>124.449</v>
      </c>
      <c r="AC49" s="129">
        <f t="shared" si="14"/>
        <v>124.449</v>
      </c>
      <c r="AD49" s="129">
        <f t="shared" si="14"/>
        <v>124.449</v>
      </c>
      <c r="AE49" s="129">
        <f t="shared" si="14"/>
        <v>124.449</v>
      </c>
      <c r="AF49" s="129">
        <f t="shared" si="14"/>
        <v>124.449</v>
      </c>
      <c r="AG49" s="129">
        <f t="shared" si="14"/>
        <v>124.449</v>
      </c>
      <c r="AH49" s="129">
        <f t="shared" si="14"/>
        <v>124.449</v>
      </c>
      <c r="AI49" s="129">
        <f t="shared" si="14"/>
        <v>124.449</v>
      </c>
      <c r="AJ49" s="129">
        <f t="shared" si="14"/>
        <v>124.449</v>
      </c>
      <c r="AK49" s="129">
        <f t="shared" si="14"/>
        <v>124.449</v>
      </c>
    </row>
    <row r="50" spans="1:37" ht="25.5" customHeight="1" x14ac:dyDescent="0.4">
      <c r="A50" s="112">
        <v>7</v>
      </c>
      <c r="B50" s="163" t="s">
        <v>259</v>
      </c>
      <c r="C50" s="114" t="s">
        <v>260</v>
      </c>
      <c r="D50" s="115">
        <f>VLOOKUP(C50,'[1]PREÇO ATUAL'!$A:$D,4,0)</f>
        <v>53.549808391520799</v>
      </c>
      <c r="E50" s="117"/>
      <c r="F50" s="117"/>
      <c r="G50" s="117"/>
      <c r="H50" s="117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92"/>
      <c r="U50" s="92"/>
      <c r="V50" s="92"/>
      <c r="W50" s="121">
        <f t="shared" si="14"/>
        <v>0</v>
      </c>
      <c r="X50" s="121">
        <f t="shared" si="14"/>
        <v>0</v>
      </c>
      <c r="Y50" s="121">
        <f t="shared" si="14"/>
        <v>0</v>
      </c>
      <c r="Z50" s="121">
        <f t="shared" si="14"/>
        <v>0</v>
      </c>
      <c r="AA50" s="121">
        <f t="shared" si="14"/>
        <v>0</v>
      </c>
      <c r="AB50" s="121">
        <f t="shared" si="14"/>
        <v>0</v>
      </c>
      <c r="AC50" s="121">
        <f t="shared" si="14"/>
        <v>0</v>
      </c>
      <c r="AD50" s="121">
        <f t="shared" si="14"/>
        <v>0</v>
      </c>
      <c r="AE50" s="121">
        <f t="shared" si="14"/>
        <v>0</v>
      </c>
      <c r="AF50" s="121">
        <f t="shared" si="14"/>
        <v>0</v>
      </c>
      <c r="AG50" s="121">
        <f t="shared" si="14"/>
        <v>0</v>
      </c>
      <c r="AH50" s="121">
        <f t="shared" si="14"/>
        <v>0</v>
      </c>
      <c r="AI50" s="121">
        <f t="shared" si="14"/>
        <v>0</v>
      </c>
      <c r="AJ50" s="121">
        <f t="shared" si="14"/>
        <v>0</v>
      </c>
      <c r="AK50" s="121">
        <f t="shared" si="14"/>
        <v>0</v>
      </c>
    </row>
    <row r="51" spans="1:37" ht="25.5" customHeight="1" x14ac:dyDescent="0.4">
      <c r="A51" s="124">
        <v>8</v>
      </c>
      <c r="B51" s="162" t="s">
        <v>223</v>
      </c>
      <c r="C51" s="126" t="s">
        <v>264</v>
      </c>
      <c r="D51" s="127">
        <f>VLOOKUP(C51,'[1]PREÇO ATUAL'!$A:$D,4,0)</f>
        <v>208.99</v>
      </c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57"/>
      <c r="U51" s="57"/>
      <c r="V51" s="57"/>
      <c r="W51" s="129">
        <f t="shared" si="14"/>
        <v>0</v>
      </c>
      <c r="X51" s="129">
        <f t="shared" si="14"/>
        <v>0</v>
      </c>
      <c r="Y51" s="129">
        <f t="shared" si="14"/>
        <v>0</v>
      </c>
      <c r="Z51" s="129">
        <f t="shared" si="14"/>
        <v>0</v>
      </c>
      <c r="AA51" s="129">
        <f t="shared" si="14"/>
        <v>0</v>
      </c>
      <c r="AB51" s="129">
        <f t="shared" si="14"/>
        <v>0</v>
      </c>
      <c r="AC51" s="129">
        <f t="shared" si="14"/>
        <v>0</v>
      </c>
      <c r="AD51" s="129">
        <f t="shared" si="14"/>
        <v>0</v>
      </c>
      <c r="AE51" s="129">
        <f t="shared" si="14"/>
        <v>0</v>
      </c>
      <c r="AF51" s="129">
        <f t="shared" si="14"/>
        <v>0</v>
      </c>
      <c r="AG51" s="129">
        <f t="shared" si="14"/>
        <v>0</v>
      </c>
      <c r="AH51" s="129">
        <f t="shared" si="14"/>
        <v>0</v>
      </c>
      <c r="AI51" s="129">
        <f t="shared" si="14"/>
        <v>0</v>
      </c>
      <c r="AJ51" s="129">
        <f t="shared" si="14"/>
        <v>0</v>
      </c>
      <c r="AK51" s="129">
        <f t="shared" si="14"/>
        <v>0</v>
      </c>
    </row>
    <row r="52" spans="1:37" ht="38.25" customHeight="1" x14ac:dyDescent="0.4">
      <c r="A52" s="112">
        <v>9</v>
      </c>
      <c r="B52" s="163" t="s">
        <v>261</v>
      </c>
      <c r="C52" s="114" t="s">
        <v>69</v>
      </c>
      <c r="D52" s="115">
        <f>VLOOKUP(C52,'[1]PREÇO ATUAL'!$A:$D,4,0)</f>
        <v>0</v>
      </c>
      <c r="E52" s="161"/>
      <c r="F52" s="161"/>
      <c r="G52" s="161"/>
      <c r="H52" s="161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92"/>
      <c r="U52" s="92"/>
      <c r="V52" s="92"/>
      <c r="W52" s="121">
        <f>D52*E52</f>
        <v>0</v>
      </c>
      <c r="X52" s="121">
        <f t="shared" ref="X52:AK54" si="15">$D52*F52</f>
        <v>0</v>
      </c>
      <c r="Y52" s="121">
        <f t="shared" si="15"/>
        <v>0</v>
      </c>
      <c r="Z52" s="121">
        <f t="shared" si="15"/>
        <v>0</v>
      </c>
      <c r="AA52" s="121">
        <f t="shared" si="15"/>
        <v>0</v>
      </c>
      <c r="AB52" s="121">
        <f t="shared" si="15"/>
        <v>0</v>
      </c>
      <c r="AC52" s="121">
        <f t="shared" si="15"/>
        <v>0</v>
      </c>
      <c r="AD52" s="121">
        <f t="shared" si="15"/>
        <v>0</v>
      </c>
      <c r="AE52" s="121">
        <f t="shared" si="15"/>
        <v>0</v>
      </c>
      <c r="AF52" s="121">
        <f t="shared" si="15"/>
        <v>0</v>
      </c>
      <c r="AG52" s="121">
        <f t="shared" si="15"/>
        <v>0</v>
      </c>
      <c r="AH52" s="121">
        <f t="shared" si="15"/>
        <v>0</v>
      </c>
      <c r="AI52" s="121">
        <f t="shared" si="15"/>
        <v>0</v>
      </c>
      <c r="AJ52" s="121">
        <f t="shared" si="15"/>
        <v>0</v>
      </c>
      <c r="AK52" s="121">
        <f t="shared" si="15"/>
        <v>0</v>
      </c>
    </row>
    <row r="53" spans="1:37" ht="15" customHeight="1" x14ac:dyDescent="0.4">
      <c r="A53" s="124">
        <v>10</v>
      </c>
      <c r="B53" s="162" t="s">
        <v>262</v>
      </c>
      <c r="C53" s="126" t="s">
        <v>189</v>
      </c>
      <c r="D53" s="127">
        <f>VLOOKUP(C53,'[1]PREÇO ATUAL'!$A:$D,4,0)</f>
        <v>87.82</v>
      </c>
      <c r="E53" s="164">
        <v>4.8</v>
      </c>
      <c r="F53" s="164">
        <v>4.8</v>
      </c>
      <c r="G53" s="164">
        <v>4.8</v>
      </c>
      <c r="H53" s="164">
        <v>4.8</v>
      </c>
      <c r="I53" s="164">
        <v>4.8</v>
      </c>
      <c r="J53" s="164">
        <v>4.8</v>
      </c>
      <c r="K53" s="164">
        <v>4.8</v>
      </c>
      <c r="L53" s="164">
        <v>4.8</v>
      </c>
      <c r="M53" s="164">
        <v>4.8</v>
      </c>
      <c r="N53" s="164">
        <v>4.8</v>
      </c>
      <c r="O53" s="164">
        <v>4.8</v>
      </c>
      <c r="P53" s="164">
        <v>4.8</v>
      </c>
      <c r="Q53" s="164">
        <v>4.8</v>
      </c>
      <c r="R53" s="164">
        <v>4.8</v>
      </c>
      <c r="S53" s="164">
        <v>4.8</v>
      </c>
      <c r="T53" s="59"/>
      <c r="U53" s="59"/>
      <c r="V53" s="59"/>
      <c r="W53" s="129">
        <f>$D53*E53</f>
        <v>421.53599999999994</v>
      </c>
      <c r="X53" s="129">
        <f t="shared" si="15"/>
        <v>421.53599999999994</v>
      </c>
      <c r="Y53" s="129">
        <f t="shared" si="15"/>
        <v>421.53599999999994</v>
      </c>
      <c r="Z53" s="129">
        <f t="shared" si="15"/>
        <v>421.53599999999994</v>
      </c>
      <c r="AA53" s="129">
        <f t="shared" si="15"/>
        <v>421.53599999999994</v>
      </c>
      <c r="AB53" s="129">
        <f t="shared" si="15"/>
        <v>421.53599999999994</v>
      </c>
      <c r="AC53" s="129">
        <f t="shared" si="15"/>
        <v>421.53599999999994</v>
      </c>
      <c r="AD53" s="129">
        <f t="shared" si="15"/>
        <v>421.53599999999994</v>
      </c>
      <c r="AE53" s="129">
        <f t="shared" si="15"/>
        <v>421.53599999999994</v>
      </c>
      <c r="AF53" s="129">
        <f t="shared" si="15"/>
        <v>421.53599999999994</v>
      </c>
      <c r="AG53" s="129">
        <f t="shared" si="15"/>
        <v>421.53599999999994</v>
      </c>
      <c r="AH53" s="129">
        <f t="shared" si="15"/>
        <v>421.53599999999994</v>
      </c>
      <c r="AI53" s="129">
        <f t="shared" si="15"/>
        <v>421.53599999999994</v>
      </c>
      <c r="AJ53" s="129">
        <f t="shared" si="15"/>
        <v>421.53599999999994</v>
      </c>
      <c r="AK53" s="129">
        <f t="shared" si="15"/>
        <v>421.53599999999994</v>
      </c>
    </row>
    <row r="54" spans="1:37" ht="15.75" customHeight="1" x14ac:dyDescent="0.4">
      <c r="A54" s="112">
        <v>11</v>
      </c>
      <c r="B54" s="113" t="s">
        <v>128</v>
      </c>
      <c r="C54" s="114" t="s">
        <v>54</v>
      </c>
      <c r="D54" s="115" t="e">
        <f>VLOOKUP(C54,'[1]PREÇO ATUAL'!$A:$D,4,0)</f>
        <v>#N/A</v>
      </c>
      <c r="E54" s="161">
        <v>1.75</v>
      </c>
      <c r="F54" s="161">
        <v>1.8</v>
      </c>
      <c r="G54" s="161">
        <v>1.75</v>
      </c>
      <c r="H54" s="161">
        <v>1.85</v>
      </c>
      <c r="I54" s="115">
        <v>1.85</v>
      </c>
      <c r="J54" s="115">
        <v>2.2999999999999998</v>
      </c>
      <c r="K54" s="115">
        <v>1.75</v>
      </c>
      <c r="L54" s="115">
        <v>1.85</v>
      </c>
      <c r="M54" s="115">
        <v>1.75</v>
      </c>
      <c r="N54" s="115">
        <v>1.9</v>
      </c>
      <c r="O54" s="115">
        <v>1.75</v>
      </c>
      <c r="P54" s="115">
        <v>2.65</v>
      </c>
      <c r="Q54" s="115">
        <v>1.75</v>
      </c>
      <c r="R54" s="115">
        <v>1.8</v>
      </c>
      <c r="S54" s="115">
        <v>1.85</v>
      </c>
      <c r="T54" s="92"/>
      <c r="U54" s="92"/>
      <c r="V54" s="92"/>
      <c r="W54" s="121" t="e">
        <f>$D54*E54</f>
        <v>#N/A</v>
      </c>
      <c r="X54" s="121" t="e">
        <f t="shared" si="15"/>
        <v>#N/A</v>
      </c>
      <c r="Y54" s="121" t="e">
        <f t="shared" si="15"/>
        <v>#N/A</v>
      </c>
      <c r="Z54" s="121" t="e">
        <f t="shared" si="15"/>
        <v>#N/A</v>
      </c>
      <c r="AA54" s="121" t="e">
        <f t="shared" si="15"/>
        <v>#N/A</v>
      </c>
      <c r="AB54" s="121" t="e">
        <f t="shared" si="15"/>
        <v>#N/A</v>
      </c>
      <c r="AC54" s="121" t="e">
        <f t="shared" si="15"/>
        <v>#N/A</v>
      </c>
      <c r="AD54" s="121" t="e">
        <f t="shared" si="15"/>
        <v>#N/A</v>
      </c>
      <c r="AE54" s="121" t="e">
        <f t="shared" si="15"/>
        <v>#N/A</v>
      </c>
      <c r="AF54" s="121" t="e">
        <f t="shared" si="15"/>
        <v>#N/A</v>
      </c>
      <c r="AG54" s="121" t="e">
        <f t="shared" si="15"/>
        <v>#N/A</v>
      </c>
      <c r="AH54" s="121" t="e">
        <f t="shared" si="15"/>
        <v>#N/A</v>
      </c>
      <c r="AI54" s="121" t="e">
        <f t="shared" si="15"/>
        <v>#N/A</v>
      </c>
      <c r="AJ54" s="121" t="e">
        <f t="shared" si="15"/>
        <v>#N/A</v>
      </c>
      <c r="AK54" s="121" t="e">
        <f t="shared" si="15"/>
        <v>#N/A</v>
      </c>
    </row>
    <row r="55" spans="1:37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37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37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37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37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37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37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37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37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37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</sheetData>
  <mergeCells count="12">
    <mergeCell ref="E41:S41"/>
    <mergeCell ref="E13:S13"/>
    <mergeCell ref="W1:AN1"/>
    <mergeCell ref="A41:D41"/>
    <mergeCell ref="T41:AK41"/>
    <mergeCell ref="E26:S26"/>
    <mergeCell ref="A13:D13"/>
    <mergeCell ref="A1:D1"/>
    <mergeCell ref="T13:AK13"/>
    <mergeCell ref="T26:AK26"/>
    <mergeCell ref="E1:V1"/>
    <mergeCell ref="A26:D2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FF00"/>
  </sheetPr>
  <dimension ref="A1:AH951"/>
  <sheetViews>
    <sheetView showGridLines="0" topLeftCell="A25" zoomScaleNormal="100" workbookViewId="0">
      <pane xSplit="4" topLeftCell="E1" activePane="topRight" state="frozen"/>
      <selection activeCell="A25" sqref="A25"/>
      <selection pane="topRight" activeCell="L37" sqref="L37"/>
    </sheetView>
  </sheetViews>
  <sheetFormatPr defaultColWidth="14.4609375" defaultRowHeight="14.6" x14ac:dyDescent="0.4"/>
  <cols>
    <col min="1" max="1" width="3.3046875" customWidth="1"/>
    <col min="2" max="2" width="67" customWidth="1"/>
    <col min="3" max="3" width="16" customWidth="1"/>
    <col min="4" max="4" width="8.69140625" customWidth="1"/>
    <col min="5" max="19" width="5.15234375" customWidth="1"/>
    <col min="20" max="34" width="15.69140625" customWidth="1"/>
  </cols>
  <sheetData>
    <row r="1" spans="1:34" ht="15.75" customHeight="1" x14ac:dyDescent="0.4">
      <c r="A1" s="248" t="s">
        <v>265</v>
      </c>
      <c r="B1" s="214"/>
      <c r="C1" s="214"/>
      <c r="D1" s="214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2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</row>
    <row r="2" spans="1:34" ht="15" customHeight="1" x14ac:dyDescent="0.4">
      <c r="A2" s="96"/>
      <c r="B2" s="165"/>
      <c r="C2" s="165"/>
      <c r="D2" s="165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C2" si="0">MROUND(SUM(T4:T11),1)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</row>
    <row r="3" spans="1:34" ht="15" customHeight="1" x14ac:dyDescent="0.4">
      <c r="A3" s="39" t="s">
        <v>5</v>
      </c>
      <c r="B3" s="166" t="s">
        <v>6</v>
      </c>
      <c r="C3" s="167" t="s">
        <v>7</v>
      </c>
      <c r="D3" s="168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169" t="s">
        <v>111</v>
      </c>
      <c r="O3" s="42"/>
      <c r="P3" s="42"/>
      <c r="Q3" s="42"/>
      <c r="R3" s="42"/>
      <c r="S3" s="42"/>
      <c r="T3" s="42">
        <v>20000</v>
      </c>
      <c r="U3" s="42">
        <v>40000</v>
      </c>
      <c r="V3" s="42">
        <v>60000</v>
      </c>
      <c r="W3" s="42">
        <v>80000</v>
      </c>
      <c r="X3" s="42">
        <v>100000</v>
      </c>
      <c r="Y3" s="42">
        <v>120000</v>
      </c>
      <c r="Z3" s="42">
        <v>140000</v>
      </c>
      <c r="AA3" s="42">
        <v>160000</v>
      </c>
      <c r="AB3" s="42">
        <v>180000</v>
      </c>
      <c r="AC3" s="42">
        <v>200000</v>
      </c>
    </row>
    <row r="4" spans="1:34" ht="15" customHeight="1" x14ac:dyDescent="0.4">
      <c r="A4" s="46">
        <v>1</v>
      </c>
      <c r="B4" s="47" t="s">
        <v>234</v>
      </c>
      <c r="C4" s="48" t="s">
        <v>266</v>
      </c>
      <c r="D4" s="49">
        <f>VLOOKUP(C4,'[1]PREÇO ATUAL'!$A:$D,4,0)</f>
        <v>86.54</v>
      </c>
      <c r="E4" s="50">
        <v>1</v>
      </c>
      <c r="F4" s="50">
        <v>1</v>
      </c>
      <c r="G4" s="50">
        <v>1</v>
      </c>
      <c r="H4" s="50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/>
      <c r="P4" s="51"/>
      <c r="Q4" s="51"/>
      <c r="R4" s="51"/>
      <c r="S4" s="51"/>
      <c r="T4" s="52">
        <f t="shared" ref="T4:AC10" si="1">$D4*E4</f>
        <v>86.54</v>
      </c>
      <c r="U4" s="52">
        <f t="shared" si="1"/>
        <v>86.54</v>
      </c>
      <c r="V4" s="52">
        <f t="shared" si="1"/>
        <v>86.54</v>
      </c>
      <c r="W4" s="52">
        <f t="shared" si="1"/>
        <v>86.54</v>
      </c>
      <c r="X4" s="52">
        <f t="shared" si="1"/>
        <v>86.54</v>
      </c>
      <c r="Y4" s="52">
        <f t="shared" si="1"/>
        <v>86.54</v>
      </c>
      <c r="Z4" s="52">
        <f t="shared" si="1"/>
        <v>86.54</v>
      </c>
      <c r="AA4" s="52">
        <f t="shared" si="1"/>
        <v>86.54</v>
      </c>
      <c r="AB4" s="52">
        <f t="shared" si="1"/>
        <v>86.54</v>
      </c>
      <c r="AC4" s="52">
        <f t="shared" si="1"/>
        <v>86.54</v>
      </c>
    </row>
    <row r="5" spans="1:34" ht="15" customHeight="1" x14ac:dyDescent="0.4">
      <c r="A5" s="54">
        <v>2</v>
      </c>
      <c r="B5" s="55" t="s">
        <v>30</v>
      </c>
      <c r="C5" s="56" t="s">
        <v>267</v>
      </c>
      <c r="D5" s="57">
        <f>VLOOKUP(C5,'[1]PREÇO ATUAL'!$A:$D,4,0)</f>
        <v>379</v>
      </c>
      <c r="E5" s="58">
        <v>1</v>
      </c>
      <c r="F5" s="58">
        <v>1</v>
      </c>
      <c r="G5" s="58">
        <v>1</v>
      </c>
      <c r="H5" s="58">
        <v>1</v>
      </c>
      <c r="I5" s="59">
        <v>1</v>
      </c>
      <c r="J5" s="59">
        <v>1</v>
      </c>
      <c r="K5" s="59">
        <v>1</v>
      </c>
      <c r="L5" s="59">
        <v>1</v>
      </c>
      <c r="M5" s="59">
        <v>1</v>
      </c>
      <c r="N5" s="59">
        <v>1</v>
      </c>
      <c r="O5" s="59"/>
      <c r="P5" s="59"/>
      <c r="Q5" s="59"/>
      <c r="R5" s="59"/>
      <c r="S5" s="59"/>
      <c r="T5" s="60">
        <f t="shared" si="1"/>
        <v>379</v>
      </c>
      <c r="U5" s="60">
        <f t="shared" si="1"/>
        <v>379</v>
      </c>
      <c r="V5" s="60">
        <f t="shared" si="1"/>
        <v>379</v>
      </c>
      <c r="W5" s="60">
        <f t="shared" si="1"/>
        <v>379</v>
      </c>
      <c r="X5" s="60">
        <f t="shared" si="1"/>
        <v>379</v>
      </c>
      <c r="Y5" s="60">
        <f t="shared" si="1"/>
        <v>379</v>
      </c>
      <c r="Z5" s="60">
        <f t="shared" si="1"/>
        <v>379</v>
      </c>
      <c r="AA5" s="60">
        <f t="shared" si="1"/>
        <v>379</v>
      </c>
      <c r="AB5" s="60">
        <f t="shared" si="1"/>
        <v>379</v>
      </c>
      <c r="AC5" s="60">
        <f t="shared" si="1"/>
        <v>379</v>
      </c>
    </row>
    <row r="6" spans="1:34" ht="15" customHeight="1" x14ac:dyDescent="0.4">
      <c r="A6" s="46">
        <v>3</v>
      </c>
      <c r="B6" s="47" t="s">
        <v>235</v>
      </c>
      <c r="C6" s="48" t="s">
        <v>236</v>
      </c>
      <c r="D6" s="49">
        <f>VLOOKUP(C6,'[1]PREÇO ATUAL'!$A:$D,4,0)</f>
        <v>101.54</v>
      </c>
      <c r="E6" s="50">
        <v>1</v>
      </c>
      <c r="F6" s="50">
        <v>1</v>
      </c>
      <c r="G6" s="50">
        <v>1</v>
      </c>
      <c r="H6" s="50">
        <v>1</v>
      </c>
      <c r="I6" s="51">
        <v>1</v>
      </c>
      <c r="J6" s="51">
        <v>1</v>
      </c>
      <c r="K6" s="51">
        <v>1</v>
      </c>
      <c r="L6" s="51">
        <v>1</v>
      </c>
      <c r="M6" s="51">
        <v>1</v>
      </c>
      <c r="N6" s="51">
        <v>1</v>
      </c>
      <c r="O6" s="51"/>
      <c r="P6" s="51"/>
      <c r="Q6" s="51"/>
      <c r="R6" s="51"/>
      <c r="S6" s="51"/>
      <c r="T6" s="52">
        <f t="shared" si="1"/>
        <v>101.54</v>
      </c>
      <c r="U6" s="52">
        <f t="shared" si="1"/>
        <v>101.54</v>
      </c>
      <c r="V6" s="52">
        <f t="shared" si="1"/>
        <v>101.54</v>
      </c>
      <c r="W6" s="52">
        <f t="shared" si="1"/>
        <v>101.54</v>
      </c>
      <c r="X6" s="52">
        <f t="shared" si="1"/>
        <v>101.54</v>
      </c>
      <c r="Y6" s="52">
        <f t="shared" si="1"/>
        <v>101.54</v>
      </c>
      <c r="Z6" s="52">
        <f t="shared" si="1"/>
        <v>101.54</v>
      </c>
      <c r="AA6" s="52">
        <f t="shared" si="1"/>
        <v>101.54</v>
      </c>
      <c r="AB6" s="52">
        <f t="shared" si="1"/>
        <v>101.54</v>
      </c>
      <c r="AC6" s="52">
        <f t="shared" si="1"/>
        <v>101.54</v>
      </c>
    </row>
    <row r="7" spans="1:34" ht="15" customHeight="1" x14ac:dyDescent="0.4">
      <c r="A7" s="54">
        <v>4</v>
      </c>
      <c r="B7" s="55" t="s">
        <v>238</v>
      </c>
      <c r="C7" s="56" t="s">
        <v>268</v>
      </c>
      <c r="D7" s="57">
        <f>VLOOKUP(C7,'[1]PREÇO ATUAL'!$A:$D,4,0)</f>
        <v>296.29000000000002</v>
      </c>
      <c r="E7" s="58"/>
      <c r="F7" s="58"/>
      <c r="G7" s="58">
        <v>1</v>
      </c>
      <c r="H7" s="58"/>
      <c r="I7" s="59"/>
      <c r="J7" s="59">
        <v>1</v>
      </c>
      <c r="K7" s="59"/>
      <c r="L7" s="59"/>
      <c r="M7" s="59">
        <v>1</v>
      </c>
      <c r="N7" s="59"/>
      <c r="O7" s="59"/>
      <c r="P7" s="59"/>
      <c r="Q7" s="59"/>
      <c r="R7" s="59"/>
      <c r="S7" s="59"/>
      <c r="T7" s="60">
        <f t="shared" si="1"/>
        <v>0</v>
      </c>
      <c r="U7" s="60">
        <f t="shared" si="1"/>
        <v>0</v>
      </c>
      <c r="V7" s="60">
        <f t="shared" si="1"/>
        <v>296.29000000000002</v>
      </c>
      <c r="W7" s="60">
        <f t="shared" si="1"/>
        <v>0</v>
      </c>
      <c r="X7" s="60">
        <f t="shared" si="1"/>
        <v>0</v>
      </c>
      <c r="Y7" s="60">
        <f t="shared" si="1"/>
        <v>296.29000000000002</v>
      </c>
      <c r="Z7" s="60">
        <f t="shared" si="1"/>
        <v>0</v>
      </c>
      <c r="AA7" s="60">
        <f t="shared" si="1"/>
        <v>0</v>
      </c>
      <c r="AB7" s="60">
        <f t="shared" si="1"/>
        <v>296.29000000000002</v>
      </c>
      <c r="AC7" s="60">
        <f t="shared" si="1"/>
        <v>0</v>
      </c>
    </row>
    <row r="8" spans="1:34" ht="15.75" customHeight="1" x14ac:dyDescent="0.4">
      <c r="A8" s="46">
        <v>5</v>
      </c>
      <c r="B8" s="47" t="s">
        <v>269</v>
      </c>
      <c r="C8" s="48" t="s">
        <v>270</v>
      </c>
      <c r="D8" s="49">
        <f>VLOOKUP(C8,'[1]PREÇO ATUAL'!$A:$D,4,0)</f>
        <v>475</v>
      </c>
      <c r="E8" s="50"/>
      <c r="F8" s="50"/>
      <c r="G8" s="50"/>
      <c r="H8" s="50">
        <v>1</v>
      </c>
      <c r="I8" s="51"/>
      <c r="J8" s="51"/>
      <c r="K8" s="51"/>
      <c r="L8" s="51">
        <v>1</v>
      </c>
      <c r="M8" s="51"/>
      <c r="N8" s="51"/>
      <c r="O8" s="51"/>
      <c r="P8" s="51"/>
      <c r="Q8" s="51"/>
      <c r="R8" s="51"/>
      <c r="S8" s="51"/>
      <c r="T8" s="52">
        <f t="shared" si="1"/>
        <v>0</v>
      </c>
      <c r="U8" s="52">
        <f t="shared" si="1"/>
        <v>0</v>
      </c>
      <c r="V8" s="52">
        <f t="shared" si="1"/>
        <v>0</v>
      </c>
      <c r="W8" s="52">
        <f t="shared" si="1"/>
        <v>475</v>
      </c>
      <c r="X8" s="52">
        <f t="shared" si="1"/>
        <v>0</v>
      </c>
      <c r="Y8" s="52">
        <f t="shared" si="1"/>
        <v>0</v>
      </c>
      <c r="Z8" s="52">
        <f t="shared" si="1"/>
        <v>0</v>
      </c>
      <c r="AA8" s="52">
        <f t="shared" si="1"/>
        <v>475</v>
      </c>
      <c r="AB8" s="52">
        <f t="shared" si="1"/>
        <v>0</v>
      </c>
      <c r="AC8" s="52">
        <f t="shared" si="1"/>
        <v>0</v>
      </c>
    </row>
    <row r="9" spans="1:34" ht="15.75" customHeight="1" x14ac:dyDescent="0.4">
      <c r="A9" s="54">
        <v>6</v>
      </c>
      <c r="B9" s="55" t="s">
        <v>239</v>
      </c>
      <c r="C9" s="56" t="s">
        <v>240</v>
      </c>
      <c r="D9" s="57">
        <f>VLOOKUP(C9,'[1]PREÇO ATUAL'!$A:$D,4,0)</f>
        <v>45.09</v>
      </c>
      <c r="E9" s="58"/>
      <c r="F9" s="58"/>
      <c r="G9" s="58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60">
        <f t="shared" si="1"/>
        <v>0</v>
      </c>
      <c r="U9" s="60">
        <f t="shared" si="1"/>
        <v>0</v>
      </c>
      <c r="V9" s="60">
        <f t="shared" si="1"/>
        <v>0</v>
      </c>
      <c r="W9" s="60">
        <f t="shared" si="1"/>
        <v>0</v>
      </c>
      <c r="X9" s="60">
        <f t="shared" si="1"/>
        <v>0</v>
      </c>
      <c r="Y9" s="60">
        <f t="shared" si="1"/>
        <v>0</v>
      </c>
      <c r="Z9" s="60">
        <f t="shared" si="1"/>
        <v>0</v>
      </c>
      <c r="AA9" s="60">
        <f t="shared" si="1"/>
        <v>0</v>
      </c>
      <c r="AB9" s="60">
        <f t="shared" si="1"/>
        <v>0</v>
      </c>
      <c r="AC9" s="60">
        <f t="shared" si="1"/>
        <v>0</v>
      </c>
    </row>
    <row r="10" spans="1:34" ht="15.75" customHeight="1" x14ac:dyDescent="0.4">
      <c r="A10" s="46">
        <v>7</v>
      </c>
      <c r="B10" s="47" t="s">
        <v>271</v>
      </c>
      <c r="C10" s="48" t="s">
        <v>71</v>
      </c>
      <c r="D10" s="49">
        <f>VLOOKUP(C10,'[1]PREÇO ATUAL'!$A:$D,4,0)</f>
        <v>91.54</v>
      </c>
      <c r="E10" s="92">
        <v>4.8</v>
      </c>
      <c r="F10" s="92">
        <v>4.8</v>
      </c>
      <c r="G10" s="92">
        <v>4.8</v>
      </c>
      <c r="H10" s="92">
        <v>4.8</v>
      </c>
      <c r="I10" s="92">
        <v>4.8</v>
      </c>
      <c r="J10" s="92">
        <v>4.8</v>
      </c>
      <c r="K10" s="92">
        <v>4.8</v>
      </c>
      <c r="L10" s="92">
        <v>4.8</v>
      </c>
      <c r="M10" s="92">
        <v>4.8</v>
      </c>
      <c r="N10" s="93">
        <v>4.8</v>
      </c>
      <c r="O10" s="92"/>
      <c r="P10" s="92"/>
      <c r="Q10" s="92"/>
      <c r="R10" s="92"/>
      <c r="S10" s="92"/>
      <c r="T10" s="52">
        <f t="shared" si="1"/>
        <v>439.392</v>
      </c>
      <c r="U10" s="52">
        <f t="shared" si="1"/>
        <v>439.392</v>
      </c>
      <c r="V10" s="52">
        <f t="shared" si="1"/>
        <v>439.392</v>
      </c>
      <c r="W10" s="52">
        <f t="shared" si="1"/>
        <v>439.392</v>
      </c>
      <c r="X10" s="52">
        <f t="shared" si="1"/>
        <v>439.392</v>
      </c>
      <c r="Y10" s="52">
        <f t="shared" si="1"/>
        <v>439.392</v>
      </c>
      <c r="Z10" s="52">
        <f t="shared" si="1"/>
        <v>439.392</v>
      </c>
      <c r="AA10" s="52">
        <f t="shared" si="1"/>
        <v>439.392</v>
      </c>
      <c r="AB10" s="52">
        <f t="shared" si="1"/>
        <v>439.392</v>
      </c>
      <c r="AC10" s="52">
        <f t="shared" si="1"/>
        <v>439.392</v>
      </c>
    </row>
    <row r="11" spans="1:34" ht="15.75" customHeight="1" x14ac:dyDescent="0.4">
      <c r="A11" s="54">
        <v>8</v>
      </c>
      <c r="B11" s="55" t="s">
        <v>128</v>
      </c>
      <c r="C11" s="56" t="s">
        <v>54</v>
      </c>
      <c r="D11" s="57" t="e">
        <f>VLOOKUP(C11,'[1]PREÇO ATUAL'!$A:$D,4,0)</f>
        <v>#N/A</v>
      </c>
      <c r="E11" s="64">
        <v>1.3</v>
      </c>
      <c r="F11" s="64">
        <v>1.95</v>
      </c>
      <c r="G11" s="64">
        <v>1.95</v>
      </c>
      <c r="H11" s="64">
        <v>3.95</v>
      </c>
      <c r="I11" s="57">
        <v>1.45</v>
      </c>
      <c r="J11" s="57">
        <v>1.8</v>
      </c>
      <c r="K11" s="57">
        <v>2</v>
      </c>
      <c r="L11" s="57">
        <v>4.0999999999999996</v>
      </c>
      <c r="M11" s="57">
        <v>1.25</v>
      </c>
      <c r="N11" s="57">
        <v>1.9</v>
      </c>
      <c r="O11" s="57"/>
      <c r="P11" s="57"/>
      <c r="Q11" s="57"/>
      <c r="R11" s="57"/>
      <c r="S11" s="57"/>
      <c r="T11" s="60" t="e">
        <f>D11*E11</f>
        <v>#N/A</v>
      </c>
      <c r="U11" s="60" t="e">
        <f t="shared" ref="U11:AC11" si="2">$D11*F11</f>
        <v>#N/A</v>
      </c>
      <c r="V11" s="60" t="e">
        <f t="shared" si="2"/>
        <v>#N/A</v>
      </c>
      <c r="W11" s="60" t="e">
        <f t="shared" si="2"/>
        <v>#N/A</v>
      </c>
      <c r="X11" s="60" t="e">
        <f t="shared" si="2"/>
        <v>#N/A</v>
      </c>
      <c r="Y11" s="60" t="e">
        <f t="shared" si="2"/>
        <v>#N/A</v>
      </c>
      <c r="Z11" s="60" t="e">
        <f t="shared" si="2"/>
        <v>#N/A</v>
      </c>
      <c r="AA11" s="60" t="e">
        <f t="shared" si="2"/>
        <v>#N/A</v>
      </c>
      <c r="AB11" s="60" t="e">
        <f t="shared" si="2"/>
        <v>#N/A</v>
      </c>
      <c r="AC11" s="60" t="e">
        <f t="shared" si="2"/>
        <v>#N/A</v>
      </c>
    </row>
    <row r="12" spans="1:34" ht="15.7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4" ht="15.75" customHeight="1" x14ac:dyDescent="0.4">
      <c r="A13" s="248" t="s">
        <v>272</v>
      </c>
      <c r="B13" s="214"/>
      <c r="C13" s="214"/>
      <c r="D13" s="214"/>
      <c r="E13" s="218" t="s">
        <v>1</v>
      </c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22" t="s">
        <v>2</v>
      </c>
      <c r="U13" s="223"/>
      <c r="V13" s="223"/>
      <c r="W13" s="223"/>
      <c r="X13" s="223"/>
      <c r="Y13" s="223"/>
      <c r="Z13" s="223"/>
      <c r="AA13" s="223"/>
      <c r="AB13" s="223"/>
      <c r="AC13" s="223"/>
      <c r="AD13" s="223"/>
      <c r="AE13" s="223"/>
      <c r="AF13" s="223"/>
      <c r="AG13" s="223"/>
      <c r="AH13" s="223"/>
    </row>
    <row r="14" spans="1:34" ht="15" customHeight="1" x14ac:dyDescent="0.4">
      <c r="A14" s="96"/>
      <c r="B14" s="165"/>
      <c r="C14" s="165"/>
      <c r="D14" s="165"/>
      <c r="E14" s="170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37" t="e">
        <f t="shared" ref="T14:AH14" si="3">MROUND(SUM(T16:T24),1)</f>
        <v>#N/A</v>
      </c>
      <c r="U14" s="37" t="e">
        <f t="shared" si="3"/>
        <v>#N/A</v>
      </c>
      <c r="V14" s="37" t="e">
        <f t="shared" si="3"/>
        <v>#N/A</v>
      </c>
      <c r="W14" s="37" t="e">
        <f t="shared" si="3"/>
        <v>#N/A</v>
      </c>
      <c r="X14" s="37" t="e">
        <f t="shared" si="3"/>
        <v>#N/A</v>
      </c>
      <c r="Y14" s="37" t="e">
        <f t="shared" si="3"/>
        <v>#N/A</v>
      </c>
      <c r="Z14" s="37" t="e">
        <f t="shared" si="3"/>
        <v>#N/A</v>
      </c>
      <c r="AA14" s="37" t="e">
        <f t="shared" si="3"/>
        <v>#N/A</v>
      </c>
      <c r="AB14" s="37" t="e">
        <f t="shared" si="3"/>
        <v>#N/A</v>
      </c>
      <c r="AC14" s="37" t="e">
        <f t="shared" si="3"/>
        <v>#N/A</v>
      </c>
      <c r="AD14" s="37" t="e">
        <f t="shared" si="3"/>
        <v>#N/A</v>
      </c>
      <c r="AE14" s="37" t="e">
        <f t="shared" si="3"/>
        <v>#N/A</v>
      </c>
      <c r="AF14" s="37" t="e">
        <f t="shared" si="3"/>
        <v>#N/A</v>
      </c>
      <c r="AG14" s="37" t="e">
        <f t="shared" si="3"/>
        <v>#N/A</v>
      </c>
      <c r="AH14" s="37" t="e">
        <f t="shared" si="3"/>
        <v>#N/A</v>
      </c>
    </row>
    <row r="15" spans="1:34" ht="15" customHeight="1" x14ac:dyDescent="0.4">
      <c r="A15" s="39" t="s">
        <v>5</v>
      </c>
      <c r="B15" s="39" t="s">
        <v>6</v>
      </c>
      <c r="C15" s="40" t="s">
        <v>7</v>
      </c>
      <c r="D15" s="41" t="s">
        <v>8</v>
      </c>
      <c r="E15" s="42" t="s">
        <v>102</v>
      </c>
      <c r="F15" s="42" t="s">
        <v>103</v>
      </c>
      <c r="G15" s="42" t="s">
        <v>104</v>
      </c>
      <c r="H15" s="42" t="s">
        <v>105</v>
      </c>
      <c r="I15" s="42" t="s">
        <v>106</v>
      </c>
      <c r="J15" s="42" t="s">
        <v>107</v>
      </c>
      <c r="K15" s="42" t="s">
        <v>108</v>
      </c>
      <c r="L15" s="42" t="s">
        <v>109</v>
      </c>
      <c r="M15" s="42" t="s">
        <v>110</v>
      </c>
      <c r="N15" s="42" t="s">
        <v>111</v>
      </c>
      <c r="O15" s="42" t="s">
        <v>203</v>
      </c>
      <c r="P15" s="42" t="s">
        <v>204</v>
      </c>
      <c r="Q15" s="42" t="s">
        <v>205</v>
      </c>
      <c r="R15" s="42" t="s">
        <v>206</v>
      </c>
      <c r="S15" s="42" t="s">
        <v>207</v>
      </c>
      <c r="T15" s="42">
        <v>20000</v>
      </c>
      <c r="U15" s="42">
        <v>40000</v>
      </c>
      <c r="V15" s="42">
        <v>60000</v>
      </c>
      <c r="W15" s="42">
        <v>80000</v>
      </c>
      <c r="X15" s="42">
        <v>100000</v>
      </c>
      <c r="Y15" s="42">
        <v>120000</v>
      </c>
      <c r="Z15" s="42">
        <v>140000</v>
      </c>
      <c r="AA15" s="42">
        <v>160000</v>
      </c>
      <c r="AB15" s="42">
        <v>180000</v>
      </c>
      <c r="AC15" s="42">
        <v>200000</v>
      </c>
      <c r="AD15" s="42">
        <f>AC15+20000</f>
        <v>220000</v>
      </c>
      <c r="AE15" s="42">
        <f>AD15+20000</f>
        <v>240000</v>
      </c>
      <c r="AF15" s="42">
        <f>AE15+20000</f>
        <v>260000</v>
      </c>
      <c r="AG15" s="42">
        <f>AF15+20000</f>
        <v>280000</v>
      </c>
      <c r="AH15" s="42">
        <f>AG15+20000</f>
        <v>300000</v>
      </c>
    </row>
    <row r="16" spans="1:34" ht="15" customHeight="1" x14ac:dyDescent="0.4">
      <c r="A16" s="46">
        <v>1</v>
      </c>
      <c r="B16" s="47" t="s">
        <v>273</v>
      </c>
      <c r="C16" s="48" t="s">
        <v>57</v>
      </c>
      <c r="D16" s="49">
        <f>VLOOKUP(C16,'[1]PREÇO ATUAL'!$A:$D,4,0)</f>
        <v>110.2</v>
      </c>
      <c r="E16" s="50">
        <v>1</v>
      </c>
      <c r="F16" s="50">
        <v>1</v>
      </c>
      <c r="G16" s="50">
        <v>1</v>
      </c>
      <c r="H16" s="50">
        <v>1</v>
      </c>
      <c r="I16" s="51">
        <v>1</v>
      </c>
      <c r="J16" s="51">
        <v>1</v>
      </c>
      <c r="K16" s="51">
        <v>1</v>
      </c>
      <c r="L16" s="51">
        <v>1</v>
      </c>
      <c r="M16" s="51">
        <v>1</v>
      </c>
      <c r="N16" s="50">
        <v>1</v>
      </c>
      <c r="O16" s="50">
        <v>1</v>
      </c>
      <c r="P16" s="50">
        <v>1</v>
      </c>
      <c r="Q16" s="50">
        <v>1</v>
      </c>
      <c r="R16" s="50">
        <v>1</v>
      </c>
      <c r="S16" s="50">
        <v>1</v>
      </c>
      <c r="T16" s="52">
        <f t="shared" ref="T16:AH23" si="4">$D16*E16</f>
        <v>110.2</v>
      </c>
      <c r="U16" s="52">
        <f t="shared" si="4"/>
        <v>110.2</v>
      </c>
      <c r="V16" s="52">
        <f t="shared" si="4"/>
        <v>110.2</v>
      </c>
      <c r="W16" s="52">
        <f t="shared" si="4"/>
        <v>110.2</v>
      </c>
      <c r="X16" s="52">
        <f t="shared" si="4"/>
        <v>110.2</v>
      </c>
      <c r="Y16" s="52">
        <f t="shared" si="4"/>
        <v>110.2</v>
      </c>
      <c r="Z16" s="52">
        <f t="shared" si="4"/>
        <v>110.2</v>
      </c>
      <c r="AA16" s="52">
        <f t="shared" si="4"/>
        <v>110.2</v>
      </c>
      <c r="AB16" s="52">
        <f t="shared" si="4"/>
        <v>110.2</v>
      </c>
      <c r="AC16" s="52">
        <f t="shared" si="4"/>
        <v>110.2</v>
      </c>
      <c r="AD16" s="52">
        <f t="shared" si="4"/>
        <v>110.2</v>
      </c>
      <c r="AE16" s="52">
        <f t="shared" si="4"/>
        <v>110.2</v>
      </c>
      <c r="AF16" s="52">
        <f t="shared" si="4"/>
        <v>110.2</v>
      </c>
      <c r="AG16" s="52">
        <f t="shared" si="4"/>
        <v>110.2</v>
      </c>
      <c r="AH16" s="52">
        <f t="shared" si="4"/>
        <v>110.2</v>
      </c>
    </row>
    <row r="17" spans="1:34" ht="15" customHeight="1" x14ac:dyDescent="0.4">
      <c r="A17" s="54">
        <v>2</v>
      </c>
      <c r="B17" s="55" t="s">
        <v>114</v>
      </c>
      <c r="C17" s="56" t="s">
        <v>267</v>
      </c>
      <c r="D17" s="57">
        <f>VLOOKUP(C17,'[1]PREÇO ATUAL'!$A:$D,4,0)</f>
        <v>379</v>
      </c>
      <c r="E17" s="58">
        <v>1</v>
      </c>
      <c r="F17" s="58">
        <v>1</v>
      </c>
      <c r="G17" s="58">
        <v>1</v>
      </c>
      <c r="H17" s="58">
        <v>1</v>
      </c>
      <c r="I17" s="59">
        <v>1</v>
      </c>
      <c r="J17" s="59">
        <v>1</v>
      </c>
      <c r="K17" s="59">
        <v>1</v>
      </c>
      <c r="L17" s="59">
        <v>1</v>
      </c>
      <c r="M17" s="59">
        <v>1</v>
      </c>
      <c r="N17" s="58">
        <v>1</v>
      </c>
      <c r="O17" s="58">
        <v>1</v>
      </c>
      <c r="P17" s="58">
        <v>1</v>
      </c>
      <c r="Q17" s="58">
        <v>1</v>
      </c>
      <c r="R17" s="58">
        <v>1</v>
      </c>
      <c r="S17" s="58">
        <v>1</v>
      </c>
      <c r="T17" s="60">
        <f t="shared" si="4"/>
        <v>379</v>
      </c>
      <c r="U17" s="60">
        <f t="shared" si="4"/>
        <v>379</v>
      </c>
      <c r="V17" s="60">
        <f t="shared" si="4"/>
        <v>379</v>
      </c>
      <c r="W17" s="60">
        <f t="shared" si="4"/>
        <v>379</v>
      </c>
      <c r="X17" s="60">
        <f t="shared" si="4"/>
        <v>379</v>
      </c>
      <c r="Y17" s="60">
        <f t="shared" si="4"/>
        <v>379</v>
      </c>
      <c r="Z17" s="60">
        <f t="shared" si="4"/>
        <v>379</v>
      </c>
      <c r="AA17" s="60">
        <f t="shared" si="4"/>
        <v>379</v>
      </c>
      <c r="AB17" s="60">
        <f t="shared" si="4"/>
        <v>379</v>
      </c>
      <c r="AC17" s="60">
        <f t="shared" si="4"/>
        <v>379</v>
      </c>
      <c r="AD17" s="60">
        <f t="shared" si="4"/>
        <v>379</v>
      </c>
      <c r="AE17" s="60">
        <f t="shared" si="4"/>
        <v>379</v>
      </c>
      <c r="AF17" s="60">
        <f t="shared" si="4"/>
        <v>379</v>
      </c>
      <c r="AG17" s="60">
        <f t="shared" si="4"/>
        <v>379</v>
      </c>
      <c r="AH17" s="60">
        <f t="shared" si="4"/>
        <v>379</v>
      </c>
    </row>
    <row r="18" spans="1:34" ht="15" customHeight="1" x14ac:dyDescent="0.4">
      <c r="A18" s="46">
        <v>3</v>
      </c>
      <c r="B18" s="47" t="s">
        <v>177</v>
      </c>
      <c r="C18" s="48" t="s">
        <v>274</v>
      </c>
      <c r="D18" s="49">
        <f>VLOOKUP(C18,'[1]PREÇO ATUAL'!$A:$D,4,0)</f>
        <v>181.5</v>
      </c>
      <c r="E18" s="50">
        <v>1</v>
      </c>
      <c r="F18" s="50">
        <v>1</v>
      </c>
      <c r="G18" s="50">
        <v>1</v>
      </c>
      <c r="H18" s="50">
        <v>1</v>
      </c>
      <c r="I18" s="51">
        <v>1</v>
      </c>
      <c r="J18" s="51">
        <v>1</v>
      </c>
      <c r="K18" s="51">
        <v>1</v>
      </c>
      <c r="L18" s="51">
        <v>1</v>
      </c>
      <c r="M18" s="51">
        <v>1</v>
      </c>
      <c r="N18" s="50">
        <v>1</v>
      </c>
      <c r="O18" s="50">
        <v>1</v>
      </c>
      <c r="P18" s="50">
        <v>1</v>
      </c>
      <c r="Q18" s="50">
        <v>1</v>
      </c>
      <c r="R18" s="50">
        <v>1</v>
      </c>
      <c r="S18" s="50">
        <v>1</v>
      </c>
      <c r="T18" s="52">
        <f t="shared" si="4"/>
        <v>181.5</v>
      </c>
      <c r="U18" s="52">
        <f t="shared" si="4"/>
        <v>181.5</v>
      </c>
      <c r="V18" s="52">
        <f t="shared" si="4"/>
        <v>181.5</v>
      </c>
      <c r="W18" s="52">
        <f t="shared" si="4"/>
        <v>181.5</v>
      </c>
      <c r="X18" s="52">
        <f t="shared" si="4"/>
        <v>181.5</v>
      </c>
      <c r="Y18" s="52">
        <f t="shared" si="4"/>
        <v>181.5</v>
      </c>
      <c r="Z18" s="52">
        <f t="shared" si="4"/>
        <v>181.5</v>
      </c>
      <c r="AA18" s="52">
        <f t="shared" si="4"/>
        <v>181.5</v>
      </c>
      <c r="AB18" s="52">
        <f t="shared" si="4"/>
        <v>181.5</v>
      </c>
      <c r="AC18" s="52">
        <f t="shared" si="4"/>
        <v>181.5</v>
      </c>
      <c r="AD18" s="52">
        <f t="shared" si="4"/>
        <v>181.5</v>
      </c>
      <c r="AE18" s="52">
        <f t="shared" si="4"/>
        <v>181.5</v>
      </c>
      <c r="AF18" s="52">
        <f t="shared" si="4"/>
        <v>181.5</v>
      </c>
      <c r="AG18" s="52">
        <f t="shared" si="4"/>
        <v>181.5</v>
      </c>
      <c r="AH18" s="52">
        <f t="shared" si="4"/>
        <v>181.5</v>
      </c>
    </row>
    <row r="19" spans="1:34" ht="38.25" customHeight="1" x14ac:dyDescent="0.4">
      <c r="A19" s="54">
        <v>4</v>
      </c>
      <c r="B19" s="67" t="s">
        <v>275</v>
      </c>
      <c r="C19" s="56" t="s">
        <v>240</v>
      </c>
      <c r="D19" s="57">
        <f>VLOOKUP(C19,'[1]PREÇO ATUAL'!$A:$D,4,0)</f>
        <v>45.09</v>
      </c>
      <c r="E19" s="64"/>
      <c r="F19" s="64">
        <v>0.7</v>
      </c>
      <c r="G19" s="64"/>
      <c r="H19" s="64">
        <v>0.7</v>
      </c>
      <c r="I19" s="57"/>
      <c r="J19" s="57">
        <v>0.7</v>
      </c>
      <c r="K19" s="57"/>
      <c r="L19" s="57">
        <v>0.7</v>
      </c>
      <c r="M19" s="57"/>
      <c r="N19" s="64">
        <v>0.7</v>
      </c>
      <c r="O19" s="72"/>
      <c r="P19" s="57">
        <v>0.7</v>
      </c>
      <c r="Q19" s="57"/>
      <c r="R19" s="57">
        <v>0.7</v>
      </c>
      <c r="S19" s="57"/>
      <c r="T19" s="60">
        <f t="shared" si="4"/>
        <v>0</v>
      </c>
      <c r="U19" s="60">
        <f t="shared" si="4"/>
        <v>31.562999999999999</v>
      </c>
      <c r="V19" s="60">
        <f t="shared" si="4"/>
        <v>0</v>
      </c>
      <c r="W19" s="60">
        <f t="shared" si="4"/>
        <v>31.562999999999999</v>
      </c>
      <c r="X19" s="60">
        <f t="shared" si="4"/>
        <v>0</v>
      </c>
      <c r="Y19" s="60">
        <f t="shared" si="4"/>
        <v>31.562999999999999</v>
      </c>
      <c r="Z19" s="60">
        <f t="shared" si="4"/>
        <v>0</v>
      </c>
      <c r="AA19" s="60">
        <f t="shared" si="4"/>
        <v>31.562999999999999</v>
      </c>
      <c r="AB19" s="60">
        <f t="shared" si="4"/>
        <v>0</v>
      </c>
      <c r="AC19" s="60">
        <f t="shared" si="4"/>
        <v>31.562999999999999</v>
      </c>
      <c r="AD19" s="60">
        <f t="shared" si="4"/>
        <v>0</v>
      </c>
      <c r="AE19" s="60">
        <f t="shared" si="4"/>
        <v>31.562999999999999</v>
      </c>
      <c r="AF19" s="60">
        <f t="shared" si="4"/>
        <v>0</v>
      </c>
      <c r="AG19" s="60">
        <f t="shared" si="4"/>
        <v>31.562999999999999</v>
      </c>
      <c r="AH19" s="60">
        <f t="shared" si="4"/>
        <v>0</v>
      </c>
    </row>
    <row r="20" spans="1:34" ht="25.5" customHeight="1" x14ac:dyDescent="0.4">
      <c r="A20" s="46">
        <v>5</v>
      </c>
      <c r="B20" s="66" t="s">
        <v>276</v>
      </c>
      <c r="C20" s="48" t="s">
        <v>277</v>
      </c>
      <c r="D20" s="49">
        <f>VLOOKUP(C20,'[1]PREÇO ATUAL'!$A:$D,4,0)</f>
        <v>289.35000000000002</v>
      </c>
      <c r="E20" s="50"/>
      <c r="F20" s="50"/>
      <c r="G20" s="50"/>
      <c r="H20" s="50"/>
      <c r="I20" s="51"/>
      <c r="J20" s="51"/>
      <c r="K20" s="51"/>
      <c r="L20" s="51"/>
      <c r="M20" s="51"/>
      <c r="N20" s="50"/>
      <c r="O20" s="50"/>
      <c r="P20" s="50"/>
      <c r="Q20" s="50"/>
      <c r="R20" s="50"/>
      <c r="S20" s="50"/>
      <c r="T20" s="52">
        <f t="shared" si="4"/>
        <v>0</v>
      </c>
      <c r="U20" s="52">
        <f t="shared" si="4"/>
        <v>0</v>
      </c>
      <c r="V20" s="52">
        <f t="shared" si="4"/>
        <v>0</v>
      </c>
      <c r="W20" s="52">
        <f t="shared" si="4"/>
        <v>0</v>
      </c>
      <c r="X20" s="52">
        <f t="shared" si="4"/>
        <v>0</v>
      </c>
      <c r="Y20" s="52">
        <f t="shared" si="4"/>
        <v>0</v>
      </c>
      <c r="Z20" s="52">
        <f t="shared" si="4"/>
        <v>0</v>
      </c>
      <c r="AA20" s="52">
        <f t="shared" si="4"/>
        <v>0</v>
      </c>
      <c r="AB20" s="52">
        <f t="shared" si="4"/>
        <v>0</v>
      </c>
      <c r="AC20" s="52">
        <f t="shared" si="4"/>
        <v>0</v>
      </c>
      <c r="AD20" s="52">
        <f t="shared" si="4"/>
        <v>0</v>
      </c>
      <c r="AE20" s="52">
        <f t="shared" si="4"/>
        <v>0</v>
      </c>
      <c r="AF20" s="52">
        <f t="shared" si="4"/>
        <v>0</v>
      </c>
      <c r="AG20" s="52">
        <f t="shared" si="4"/>
        <v>0</v>
      </c>
      <c r="AH20" s="52">
        <f t="shared" si="4"/>
        <v>0</v>
      </c>
    </row>
    <row r="21" spans="1:34" ht="15" customHeight="1" x14ac:dyDescent="0.4">
      <c r="A21" s="54">
        <v>6</v>
      </c>
      <c r="B21" s="55" t="s">
        <v>278</v>
      </c>
      <c r="C21" s="56" t="s">
        <v>65</v>
      </c>
      <c r="D21" s="57">
        <f>VLOOKUP(C21,'[1]PREÇO ATUAL'!$A:$D,4,0)</f>
        <v>567.54999999999995</v>
      </c>
      <c r="E21" s="58"/>
      <c r="F21" s="58"/>
      <c r="G21" s="58"/>
      <c r="H21" s="58"/>
      <c r="I21" s="59"/>
      <c r="J21" s="59"/>
      <c r="K21" s="59"/>
      <c r="L21" s="59"/>
      <c r="M21" s="59"/>
      <c r="N21" s="58"/>
      <c r="O21" s="58"/>
      <c r="P21" s="58"/>
      <c r="Q21" s="58"/>
      <c r="R21" s="58"/>
      <c r="S21" s="58"/>
      <c r="T21" s="60">
        <f t="shared" si="4"/>
        <v>0</v>
      </c>
      <c r="U21" s="60">
        <f t="shared" si="4"/>
        <v>0</v>
      </c>
      <c r="V21" s="60">
        <f t="shared" si="4"/>
        <v>0</v>
      </c>
      <c r="W21" s="60">
        <f t="shared" si="4"/>
        <v>0</v>
      </c>
      <c r="X21" s="60">
        <f t="shared" si="4"/>
        <v>0</v>
      </c>
      <c r="Y21" s="60">
        <f t="shared" si="4"/>
        <v>0</v>
      </c>
      <c r="Z21" s="60">
        <f t="shared" si="4"/>
        <v>0</v>
      </c>
      <c r="AA21" s="60">
        <f t="shared" si="4"/>
        <v>0</v>
      </c>
      <c r="AB21" s="60">
        <f t="shared" si="4"/>
        <v>0</v>
      </c>
      <c r="AC21" s="60">
        <f t="shared" si="4"/>
        <v>0</v>
      </c>
      <c r="AD21" s="60">
        <f t="shared" si="4"/>
        <v>0</v>
      </c>
      <c r="AE21" s="60">
        <f t="shared" si="4"/>
        <v>0</v>
      </c>
      <c r="AF21" s="60">
        <f t="shared" si="4"/>
        <v>0</v>
      </c>
      <c r="AG21" s="60">
        <f t="shared" si="4"/>
        <v>0</v>
      </c>
      <c r="AH21" s="60">
        <f t="shared" si="4"/>
        <v>0</v>
      </c>
    </row>
    <row r="22" spans="1:34" ht="25.5" customHeight="1" x14ac:dyDescent="0.4">
      <c r="A22" s="46">
        <v>7</v>
      </c>
      <c r="B22" s="66" t="s">
        <v>261</v>
      </c>
      <c r="C22" s="48" t="s">
        <v>279</v>
      </c>
      <c r="D22" s="49">
        <f>VLOOKUP(C22,'[1]PREÇO ATUAL'!$A:$D,4,0)</f>
        <v>0</v>
      </c>
      <c r="E22" s="50"/>
      <c r="F22" s="50"/>
      <c r="G22" s="50"/>
      <c r="H22" s="50"/>
      <c r="I22" s="51"/>
      <c r="J22" s="51"/>
      <c r="K22" s="51"/>
      <c r="L22" s="51"/>
      <c r="M22" s="51"/>
      <c r="N22" s="50"/>
      <c r="O22" s="50"/>
      <c r="P22" s="50"/>
      <c r="Q22" s="50"/>
      <c r="R22" s="50"/>
      <c r="S22" s="50"/>
      <c r="T22" s="52">
        <f t="shared" si="4"/>
        <v>0</v>
      </c>
      <c r="U22" s="52">
        <f t="shared" si="4"/>
        <v>0</v>
      </c>
      <c r="V22" s="52">
        <f t="shared" si="4"/>
        <v>0</v>
      </c>
      <c r="W22" s="52">
        <f t="shared" si="4"/>
        <v>0</v>
      </c>
      <c r="X22" s="52">
        <f t="shared" si="4"/>
        <v>0</v>
      </c>
      <c r="Y22" s="52">
        <f t="shared" si="4"/>
        <v>0</v>
      </c>
      <c r="Z22" s="52">
        <f t="shared" si="4"/>
        <v>0</v>
      </c>
      <c r="AA22" s="52">
        <f t="shared" si="4"/>
        <v>0</v>
      </c>
      <c r="AB22" s="52">
        <f t="shared" si="4"/>
        <v>0</v>
      </c>
      <c r="AC22" s="52">
        <f t="shared" si="4"/>
        <v>0</v>
      </c>
      <c r="AD22" s="52">
        <f t="shared" si="4"/>
        <v>0</v>
      </c>
      <c r="AE22" s="52">
        <f t="shared" si="4"/>
        <v>0</v>
      </c>
      <c r="AF22" s="52">
        <f t="shared" si="4"/>
        <v>0</v>
      </c>
      <c r="AG22" s="52">
        <f t="shared" si="4"/>
        <v>0</v>
      </c>
      <c r="AH22" s="52">
        <f t="shared" si="4"/>
        <v>0</v>
      </c>
    </row>
    <row r="23" spans="1:34" ht="15" customHeight="1" x14ac:dyDescent="0.4">
      <c r="A23" s="54">
        <v>8</v>
      </c>
      <c r="B23" s="55" t="s">
        <v>271</v>
      </c>
      <c r="C23" s="56" t="s">
        <v>71</v>
      </c>
      <c r="D23" s="57">
        <f>VLOOKUP(C23,'[1]PREÇO ATUAL'!$A:$D,4,0)</f>
        <v>91.54</v>
      </c>
      <c r="E23" s="105">
        <v>6</v>
      </c>
      <c r="F23" s="105">
        <v>6</v>
      </c>
      <c r="G23" s="105">
        <v>6</v>
      </c>
      <c r="H23" s="105">
        <v>6</v>
      </c>
      <c r="I23" s="62">
        <v>6</v>
      </c>
      <c r="J23" s="62">
        <v>6</v>
      </c>
      <c r="K23" s="62">
        <v>6</v>
      </c>
      <c r="L23" s="62">
        <v>6</v>
      </c>
      <c r="M23" s="62">
        <v>6</v>
      </c>
      <c r="N23" s="105">
        <v>6</v>
      </c>
      <c r="O23" s="105">
        <v>6</v>
      </c>
      <c r="P23" s="105">
        <v>6</v>
      </c>
      <c r="Q23" s="105">
        <v>6</v>
      </c>
      <c r="R23" s="105">
        <v>6</v>
      </c>
      <c r="S23" s="105">
        <v>6</v>
      </c>
      <c r="T23" s="60">
        <f t="shared" si="4"/>
        <v>549.24</v>
      </c>
      <c r="U23" s="60">
        <f t="shared" si="4"/>
        <v>549.24</v>
      </c>
      <c r="V23" s="60">
        <f t="shared" si="4"/>
        <v>549.24</v>
      </c>
      <c r="W23" s="60">
        <f t="shared" si="4"/>
        <v>549.24</v>
      </c>
      <c r="X23" s="60">
        <f t="shared" si="4"/>
        <v>549.24</v>
      </c>
      <c r="Y23" s="60">
        <f t="shared" si="4"/>
        <v>549.24</v>
      </c>
      <c r="Z23" s="60">
        <f t="shared" si="4"/>
        <v>549.24</v>
      </c>
      <c r="AA23" s="60">
        <f t="shared" si="4"/>
        <v>549.24</v>
      </c>
      <c r="AB23" s="60">
        <f t="shared" si="4"/>
        <v>549.24</v>
      </c>
      <c r="AC23" s="60">
        <f t="shared" si="4"/>
        <v>549.24</v>
      </c>
      <c r="AD23" s="60">
        <f t="shared" si="4"/>
        <v>549.24</v>
      </c>
      <c r="AE23" s="60">
        <f t="shared" si="4"/>
        <v>549.24</v>
      </c>
      <c r="AF23" s="60">
        <f t="shared" si="4"/>
        <v>549.24</v>
      </c>
      <c r="AG23" s="60">
        <f t="shared" si="4"/>
        <v>549.24</v>
      </c>
      <c r="AH23" s="60">
        <f t="shared" si="4"/>
        <v>549.24</v>
      </c>
    </row>
    <row r="24" spans="1:34" ht="15" customHeight="1" x14ac:dyDescent="0.4">
      <c r="A24" s="46">
        <v>9</v>
      </c>
      <c r="B24" s="47" t="s">
        <v>128</v>
      </c>
      <c r="C24" s="48" t="s">
        <v>54</v>
      </c>
      <c r="D24" s="49" t="e">
        <f>VLOOKUP(C24,'[1]PREÇO ATUAL'!$A:$D,4,0)</f>
        <v>#N/A</v>
      </c>
      <c r="E24" s="75">
        <v>1.35</v>
      </c>
      <c r="F24" s="75">
        <v>1.9</v>
      </c>
      <c r="G24" s="75">
        <v>1.8</v>
      </c>
      <c r="H24" s="75">
        <v>1.85</v>
      </c>
      <c r="I24" s="76">
        <v>1.4</v>
      </c>
      <c r="J24" s="76">
        <v>2.1</v>
      </c>
      <c r="K24" s="76">
        <v>1.8</v>
      </c>
      <c r="L24" s="76">
        <v>1.9</v>
      </c>
      <c r="M24" s="76">
        <v>1.35</v>
      </c>
      <c r="N24" s="75">
        <v>1.85</v>
      </c>
      <c r="O24" s="75">
        <v>1.85</v>
      </c>
      <c r="P24" s="75">
        <v>4.7</v>
      </c>
      <c r="Q24" s="75">
        <v>1.35</v>
      </c>
      <c r="R24" s="75">
        <v>1.9</v>
      </c>
      <c r="S24" s="75">
        <v>1.8</v>
      </c>
      <c r="T24" s="52" t="e">
        <f>D24*E24</f>
        <v>#N/A</v>
      </c>
      <c r="U24" s="52" t="e">
        <f t="shared" ref="U24:AH24" si="5">$D24*F24</f>
        <v>#N/A</v>
      </c>
      <c r="V24" s="52" t="e">
        <f t="shared" si="5"/>
        <v>#N/A</v>
      </c>
      <c r="W24" s="52" t="e">
        <f t="shared" si="5"/>
        <v>#N/A</v>
      </c>
      <c r="X24" s="52" t="e">
        <f t="shared" si="5"/>
        <v>#N/A</v>
      </c>
      <c r="Y24" s="52" t="e">
        <f t="shared" si="5"/>
        <v>#N/A</v>
      </c>
      <c r="Z24" s="52" t="e">
        <f t="shared" si="5"/>
        <v>#N/A</v>
      </c>
      <c r="AA24" s="52" t="e">
        <f t="shared" si="5"/>
        <v>#N/A</v>
      </c>
      <c r="AB24" s="52" t="e">
        <f t="shared" si="5"/>
        <v>#N/A</v>
      </c>
      <c r="AC24" s="52" t="e">
        <f t="shared" si="5"/>
        <v>#N/A</v>
      </c>
      <c r="AD24" s="52" t="e">
        <f t="shared" si="5"/>
        <v>#N/A</v>
      </c>
      <c r="AE24" s="52" t="e">
        <f t="shared" si="5"/>
        <v>#N/A</v>
      </c>
      <c r="AF24" s="52" t="e">
        <f t="shared" si="5"/>
        <v>#N/A</v>
      </c>
      <c r="AG24" s="52" t="e">
        <f t="shared" si="5"/>
        <v>#N/A</v>
      </c>
      <c r="AH24" s="52" t="e">
        <f t="shared" si="5"/>
        <v>#N/A</v>
      </c>
    </row>
    <row r="25" spans="1:34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34" ht="15.75" customHeight="1" x14ac:dyDescent="0.4">
      <c r="A26" s="248" t="s">
        <v>280</v>
      </c>
      <c r="B26" s="214"/>
      <c r="C26" s="214"/>
      <c r="D26" s="214"/>
      <c r="E26" s="218" t="s">
        <v>1</v>
      </c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22" t="s">
        <v>2</v>
      </c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</row>
    <row r="27" spans="1:34" ht="15" customHeight="1" x14ac:dyDescent="0.4">
      <c r="A27" s="165"/>
      <c r="B27" s="165"/>
      <c r="C27" s="165"/>
      <c r="D27" s="165"/>
      <c r="E27" s="170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37" t="e">
        <f t="shared" ref="T27:AH27" si="6">MROUND(SUM(T29:T39),1)</f>
        <v>#N/A</v>
      </c>
      <c r="U27" s="37" t="e">
        <f t="shared" si="6"/>
        <v>#N/A</v>
      </c>
      <c r="V27" s="37" t="e">
        <f t="shared" si="6"/>
        <v>#N/A</v>
      </c>
      <c r="W27" s="37" t="e">
        <f t="shared" si="6"/>
        <v>#N/A</v>
      </c>
      <c r="X27" s="37" t="e">
        <f t="shared" si="6"/>
        <v>#N/A</v>
      </c>
      <c r="Y27" s="37" t="e">
        <f t="shared" si="6"/>
        <v>#N/A</v>
      </c>
      <c r="Z27" s="37" t="e">
        <f t="shared" si="6"/>
        <v>#N/A</v>
      </c>
      <c r="AA27" s="37" t="e">
        <f t="shared" si="6"/>
        <v>#N/A</v>
      </c>
      <c r="AB27" s="37" t="e">
        <f t="shared" si="6"/>
        <v>#N/A</v>
      </c>
      <c r="AC27" s="37" t="e">
        <f t="shared" si="6"/>
        <v>#N/A</v>
      </c>
      <c r="AD27" s="37" t="e">
        <f t="shared" si="6"/>
        <v>#N/A</v>
      </c>
      <c r="AE27" s="37" t="e">
        <f t="shared" si="6"/>
        <v>#N/A</v>
      </c>
      <c r="AF27" s="37" t="e">
        <f t="shared" si="6"/>
        <v>#N/A</v>
      </c>
      <c r="AG27" s="37" t="e">
        <f t="shared" si="6"/>
        <v>#N/A</v>
      </c>
      <c r="AH27" s="37" t="e">
        <f t="shared" si="6"/>
        <v>#N/A</v>
      </c>
    </row>
    <row r="28" spans="1:34" ht="15" customHeight="1" x14ac:dyDescent="0.4">
      <c r="A28" s="39" t="s">
        <v>5</v>
      </c>
      <c r="B28" s="39" t="s">
        <v>6</v>
      </c>
      <c r="C28" s="40" t="s">
        <v>7</v>
      </c>
      <c r="D28" s="41" t="s">
        <v>8</v>
      </c>
      <c r="E28" s="42" t="s">
        <v>102</v>
      </c>
      <c r="F28" s="42" t="s">
        <v>103</v>
      </c>
      <c r="G28" s="42" t="s">
        <v>104</v>
      </c>
      <c r="H28" s="42" t="s">
        <v>105</v>
      </c>
      <c r="I28" s="42" t="s">
        <v>106</v>
      </c>
      <c r="J28" s="42" t="s">
        <v>107</v>
      </c>
      <c r="K28" s="42" t="s">
        <v>108</v>
      </c>
      <c r="L28" s="42" t="s">
        <v>109</v>
      </c>
      <c r="M28" s="42" t="s">
        <v>110</v>
      </c>
      <c r="N28" s="42" t="s">
        <v>111</v>
      </c>
      <c r="O28" s="42" t="s">
        <v>203</v>
      </c>
      <c r="P28" s="42" t="s">
        <v>204</v>
      </c>
      <c r="Q28" s="42" t="s">
        <v>205</v>
      </c>
      <c r="R28" s="42" t="s">
        <v>206</v>
      </c>
      <c r="S28" s="42" t="s">
        <v>207</v>
      </c>
      <c r="T28" s="42">
        <v>20000</v>
      </c>
      <c r="U28" s="42">
        <v>40000</v>
      </c>
      <c r="V28" s="42">
        <v>60000</v>
      </c>
      <c r="W28" s="42">
        <v>80000</v>
      </c>
      <c r="X28" s="42">
        <v>100000</v>
      </c>
      <c r="Y28" s="42">
        <v>120000</v>
      </c>
      <c r="Z28" s="42">
        <v>140000</v>
      </c>
      <c r="AA28" s="42">
        <v>160000</v>
      </c>
      <c r="AB28" s="42">
        <v>180000</v>
      </c>
      <c r="AC28" s="42">
        <v>200000</v>
      </c>
      <c r="AD28" s="42">
        <f>AC28+20000</f>
        <v>220000</v>
      </c>
      <c r="AE28" s="42">
        <f>AD28+20000</f>
        <v>240000</v>
      </c>
      <c r="AF28" s="42">
        <f>AE28+20000</f>
        <v>260000</v>
      </c>
      <c r="AG28" s="42">
        <f>AF28+20000</f>
        <v>280000</v>
      </c>
      <c r="AH28" s="42">
        <f>AG28+20000</f>
        <v>300000</v>
      </c>
    </row>
    <row r="29" spans="1:34" ht="15" customHeight="1" x14ac:dyDescent="0.4">
      <c r="A29" s="46">
        <v>1</v>
      </c>
      <c r="B29" s="66" t="s">
        <v>56</v>
      </c>
      <c r="C29" s="48" t="s">
        <v>57</v>
      </c>
      <c r="D29" s="49">
        <f>VLOOKUP(C29,'[1]PREÇO ATUAL'!$A:$D,4,0)</f>
        <v>110.2</v>
      </c>
      <c r="E29" s="50">
        <v>1</v>
      </c>
      <c r="F29" s="50">
        <v>1</v>
      </c>
      <c r="G29" s="50">
        <v>1</v>
      </c>
      <c r="H29" s="50">
        <v>1</v>
      </c>
      <c r="I29" s="51">
        <v>1</v>
      </c>
      <c r="J29" s="51">
        <v>1</v>
      </c>
      <c r="K29" s="51">
        <v>1</v>
      </c>
      <c r="L29" s="51">
        <v>1</v>
      </c>
      <c r="M29" s="51">
        <v>1</v>
      </c>
      <c r="N29" s="50">
        <v>1</v>
      </c>
      <c r="O29" s="50">
        <v>1</v>
      </c>
      <c r="P29" s="50">
        <v>1</v>
      </c>
      <c r="Q29" s="50">
        <v>1</v>
      </c>
      <c r="R29" s="50">
        <v>1</v>
      </c>
      <c r="S29" s="50">
        <v>1</v>
      </c>
      <c r="T29" s="52">
        <f t="shared" ref="T29:T38" si="7">$D29*E29</f>
        <v>110.2</v>
      </c>
      <c r="U29" s="52">
        <f t="shared" ref="U29:U38" si="8">$D29*F29</f>
        <v>110.2</v>
      </c>
      <c r="V29" s="52">
        <f t="shared" ref="V29:V38" si="9">$D29*G29</f>
        <v>110.2</v>
      </c>
      <c r="W29" s="52">
        <f t="shared" ref="W29:W38" si="10">$D29*H29</f>
        <v>110.2</v>
      </c>
      <c r="X29" s="52">
        <f t="shared" ref="X29:X38" si="11">$D29*I29</f>
        <v>110.2</v>
      </c>
      <c r="Y29" s="52">
        <f t="shared" ref="Y29:Y38" si="12">$D29*J29</f>
        <v>110.2</v>
      </c>
      <c r="Z29" s="52">
        <f t="shared" ref="Z29:Z38" si="13">$D29*K29</f>
        <v>110.2</v>
      </c>
      <c r="AA29" s="52">
        <f t="shared" ref="AA29:AA38" si="14">$D29*L29</f>
        <v>110.2</v>
      </c>
      <c r="AB29" s="52">
        <f t="shared" ref="AB29:AB38" si="15">$D29*M29</f>
        <v>110.2</v>
      </c>
      <c r="AC29" s="52">
        <f t="shared" ref="AC29:AC38" si="16">$D29*N29</f>
        <v>110.2</v>
      </c>
      <c r="AD29" s="52">
        <f t="shared" ref="AD29:AD38" si="17">$D29*O29</f>
        <v>110.2</v>
      </c>
      <c r="AE29" s="52">
        <f t="shared" ref="AE29:AE38" si="18">$D29*P29</f>
        <v>110.2</v>
      </c>
      <c r="AF29" s="52">
        <f t="shared" ref="AF29:AF38" si="19">$D29*Q29</f>
        <v>110.2</v>
      </c>
      <c r="AG29" s="52">
        <f t="shared" ref="AG29:AG38" si="20">$D29*R29</f>
        <v>110.2</v>
      </c>
      <c r="AH29" s="52">
        <f t="shared" ref="AH29:AH38" si="21">$D29*S29</f>
        <v>110.2</v>
      </c>
    </row>
    <row r="30" spans="1:34" ht="15" customHeight="1" x14ac:dyDescent="0.4">
      <c r="A30" s="54">
        <v>2</v>
      </c>
      <c r="B30" s="67" t="s">
        <v>58</v>
      </c>
      <c r="C30" s="56" t="s">
        <v>267</v>
      </c>
      <c r="D30" s="57">
        <f>VLOOKUP(C30,'[1]PREÇO ATUAL'!$A:$D,4,0)</f>
        <v>379</v>
      </c>
      <c r="E30" s="58">
        <v>1</v>
      </c>
      <c r="F30" s="58">
        <v>1</v>
      </c>
      <c r="G30" s="58">
        <v>1</v>
      </c>
      <c r="H30" s="58">
        <v>1</v>
      </c>
      <c r="I30" s="59">
        <v>1</v>
      </c>
      <c r="J30" s="59">
        <v>1</v>
      </c>
      <c r="K30" s="59">
        <v>1</v>
      </c>
      <c r="L30" s="59">
        <v>1</v>
      </c>
      <c r="M30" s="59">
        <v>1</v>
      </c>
      <c r="N30" s="58">
        <v>1</v>
      </c>
      <c r="O30" s="58">
        <v>1</v>
      </c>
      <c r="P30" s="58">
        <v>1</v>
      </c>
      <c r="Q30" s="58">
        <v>1</v>
      </c>
      <c r="R30" s="58">
        <v>1</v>
      </c>
      <c r="S30" s="58">
        <v>1</v>
      </c>
      <c r="T30" s="60">
        <f t="shared" si="7"/>
        <v>379</v>
      </c>
      <c r="U30" s="60">
        <f t="shared" si="8"/>
        <v>379</v>
      </c>
      <c r="V30" s="60">
        <f t="shared" si="9"/>
        <v>379</v>
      </c>
      <c r="W30" s="60">
        <f t="shared" si="10"/>
        <v>379</v>
      </c>
      <c r="X30" s="60">
        <f t="shared" si="11"/>
        <v>379</v>
      </c>
      <c r="Y30" s="60">
        <f t="shared" si="12"/>
        <v>379</v>
      </c>
      <c r="Z30" s="60">
        <f t="shared" si="13"/>
        <v>379</v>
      </c>
      <c r="AA30" s="60">
        <f t="shared" si="14"/>
        <v>379</v>
      </c>
      <c r="AB30" s="60">
        <f t="shared" si="15"/>
        <v>379</v>
      </c>
      <c r="AC30" s="60">
        <f t="shared" si="16"/>
        <v>379</v>
      </c>
      <c r="AD30" s="60">
        <f t="shared" si="17"/>
        <v>379</v>
      </c>
      <c r="AE30" s="60">
        <f t="shared" si="18"/>
        <v>379</v>
      </c>
      <c r="AF30" s="60">
        <f t="shared" si="19"/>
        <v>379</v>
      </c>
      <c r="AG30" s="60">
        <f t="shared" si="20"/>
        <v>379</v>
      </c>
      <c r="AH30" s="60">
        <f t="shared" si="21"/>
        <v>379</v>
      </c>
    </row>
    <row r="31" spans="1:34" ht="15" customHeight="1" x14ac:dyDescent="0.4">
      <c r="A31" s="46">
        <v>3</v>
      </c>
      <c r="B31" s="66" t="s">
        <v>60</v>
      </c>
      <c r="C31" s="48" t="s">
        <v>274</v>
      </c>
      <c r="D31" s="49">
        <f>VLOOKUP(C31,'[1]PREÇO ATUAL'!$A:$D,4,0)</f>
        <v>181.5</v>
      </c>
      <c r="E31" s="50">
        <v>1</v>
      </c>
      <c r="F31" s="50">
        <v>1</v>
      </c>
      <c r="G31" s="50">
        <v>1</v>
      </c>
      <c r="H31" s="50">
        <v>1</v>
      </c>
      <c r="I31" s="51">
        <v>1</v>
      </c>
      <c r="J31" s="51">
        <v>1</v>
      </c>
      <c r="K31" s="51">
        <v>1</v>
      </c>
      <c r="L31" s="51">
        <v>1</v>
      </c>
      <c r="M31" s="51">
        <v>1</v>
      </c>
      <c r="N31" s="50">
        <v>1</v>
      </c>
      <c r="O31" s="50">
        <v>1</v>
      </c>
      <c r="P31" s="50">
        <v>1</v>
      </c>
      <c r="Q31" s="50">
        <v>1</v>
      </c>
      <c r="R31" s="50">
        <v>1</v>
      </c>
      <c r="S31" s="50">
        <v>1</v>
      </c>
      <c r="T31" s="52">
        <f t="shared" si="7"/>
        <v>181.5</v>
      </c>
      <c r="U31" s="52">
        <f t="shared" si="8"/>
        <v>181.5</v>
      </c>
      <c r="V31" s="52">
        <f t="shared" si="9"/>
        <v>181.5</v>
      </c>
      <c r="W31" s="52">
        <f t="shared" si="10"/>
        <v>181.5</v>
      </c>
      <c r="X31" s="52">
        <f t="shared" si="11"/>
        <v>181.5</v>
      </c>
      <c r="Y31" s="52">
        <f t="shared" si="12"/>
        <v>181.5</v>
      </c>
      <c r="Z31" s="52">
        <f t="shared" si="13"/>
        <v>181.5</v>
      </c>
      <c r="AA31" s="52">
        <f t="shared" si="14"/>
        <v>181.5</v>
      </c>
      <c r="AB31" s="52">
        <f t="shared" si="15"/>
        <v>181.5</v>
      </c>
      <c r="AC31" s="52">
        <f t="shared" si="16"/>
        <v>181.5</v>
      </c>
      <c r="AD31" s="52">
        <f t="shared" si="17"/>
        <v>181.5</v>
      </c>
      <c r="AE31" s="52">
        <f t="shared" si="18"/>
        <v>181.5</v>
      </c>
      <c r="AF31" s="52">
        <f t="shared" si="19"/>
        <v>181.5</v>
      </c>
      <c r="AG31" s="52">
        <f t="shared" si="20"/>
        <v>181.5</v>
      </c>
      <c r="AH31" s="52">
        <f t="shared" si="21"/>
        <v>181.5</v>
      </c>
    </row>
    <row r="32" spans="1:34" ht="25.5" customHeight="1" x14ac:dyDescent="0.4">
      <c r="A32" s="54">
        <v>4</v>
      </c>
      <c r="B32" s="67" t="s">
        <v>259</v>
      </c>
      <c r="C32" s="56" t="s">
        <v>240</v>
      </c>
      <c r="D32" s="57">
        <f>VLOOKUP(C32,'[1]PREÇO ATUAL'!$A:$D,4,0)</f>
        <v>45.09</v>
      </c>
      <c r="E32" s="64"/>
      <c r="F32" s="64">
        <v>0.7</v>
      </c>
      <c r="G32" s="64"/>
      <c r="H32" s="64">
        <v>0.7</v>
      </c>
      <c r="I32" s="57"/>
      <c r="J32" s="64">
        <v>0.7</v>
      </c>
      <c r="K32" s="57"/>
      <c r="L32" s="64">
        <v>0.7</v>
      </c>
      <c r="M32" s="57"/>
      <c r="N32" s="64">
        <v>0.7</v>
      </c>
      <c r="O32" s="72"/>
      <c r="P32" s="64">
        <v>0.7</v>
      </c>
      <c r="Q32" s="57"/>
      <c r="R32" s="64">
        <v>0.7</v>
      </c>
      <c r="S32" s="57"/>
      <c r="T32" s="60">
        <f t="shared" si="7"/>
        <v>0</v>
      </c>
      <c r="U32" s="60">
        <f t="shared" si="8"/>
        <v>31.562999999999999</v>
      </c>
      <c r="V32" s="60">
        <f t="shared" si="9"/>
        <v>0</v>
      </c>
      <c r="W32" s="60">
        <f t="shared" si="10"/>
        <v>31.562999999999999</v>
      </c>
      <c r="X32" s="60">
        <f t="shared" si="11"/>
        <v>0</v>
      </c>
      <c r="Y32" s="60">
        <f t="shared" si="12"/>
        <v>31.562999999999999</v>
      </c>
      <c r="Z32" s="60">
        <f t="shared" si="13"/>
        <v>0</v>
      </c>
      <c r="AA32" s="60">
        <f t="shared" si="14"/>
        <v>31.562999999999999</v>
      </c>
      <c r="AB32" s="60">
        <f t="shared" si="15"/>
        <v>0</v>
      </c>
      <c r="AC32" s="60">
        <f t="shared" si="16"/>
        <v>31.562999999999999</v>
      </c>
      <c r="AD32" s="60">
        <f t="shared" si="17"/>
        <v>0</v>
      </c>
      <c r="AE32" s="60">
        <f t="shared" si="18"/>
        <v>31.562999999999999</v>
      </c>
      <c r="AF32" s="60">
        <f t="shared" si="19"/>
        <v>0</v>
      </c>
      <c r="AG32" s="60">
        <f t="shared" si="20"/>
        <v>31.562999999999999</v>
      </c>
      <c r="AH32" s="60">
        <f t="shared" si="21"/>
        <v>0</v>
      </c>
    </row>
    <row r="33" spans="1:34" ht="25.5" customHeight="1" x14ac:dyDescent="0.4">
      <c r="A33" s="46">
        <v>5</v>
      </c>
      <c r="B33" s="66" t="s">
        <v>281</v>
      </c>
      <c r="C33" s="48" t="s">
        <v>282</v>
      </c>
      <c r="D33" s="49">
        <f>VLOOKUP(C33,'[1]PREÇO ATUAL'!$A:$D,4,0)</f>
        <v>79.962999999999994</v>
      </c>
      <c r="E33" s="50">
        <v>1</v>
      </c>
      <c r="F33" s="50">
        <v>1</v>
      </c>
      <c r="G33" s="50">
        <v>1</v>
      </c>
      <c r="H33" s="50">
        <v>1</v>
      </c>
      <c r="I33" s="51">
        <v>1</v>
      </c>
      <c r="J33" s="51">
        <v>1</v>
      </c>
      <c r="K33" s="51">
        <v>1</v>
      </c>
      <c r="L33" s="51">
        <v>1</v>
      </c>
      <c r="M33" s="51">
        <v>1</v>
      </c>
      <c r="N33" s="50">
        <v>1</v>
      </c>
      <c r="O33" s="50">
        <v>1</v>
      </c>
      <c r="P33" s="50">
        <v>1</v>
      </c>
      <c r="Q33" s="50">
        <v>1</v>
      </c>
      <c r="R33" s="50">
        <v>1</v>
      </c>
      <c r="S33" s="50">
        <v>1</v>
      </c>
      <c r="T33" s="52">
        <f t="shared" si="7"/>
        <v>79.962999999999994</v>
      </c>
      <c r="U33" s="52">
        <f t="shared" si="8"/>
        <v>79.962999999999994</v>
      </c>
      <c r="V33" s="52">
        <f t="shared" si="9"/>
        <v>79.962999999999994</v>
      </c>
      <c r="W33" s="52">
        <f t="shared" si="10"/>
        <v>79.962999999999994</v>
      </c>
      <c r="X33" s="52">
        <f t="shared" si="11"/>
        <v>79.962999999999994</v>
      </c>
      <c r="Y33" s="52">
        <f t="shared" si="12"/>
        <v>79.962999999999994</v>
      </c>
      <c r="Z33" s="52">
        <f t="shared" si="13"/>
        <v>79.962999999999994</v>
      </c>
      <c r="AA33" s="52">
        <f t="shared" si="14"/>
        <v>79.962999999999994</v>
      </c>
      <c r="AB33" s="52">
        <f t="shared" si="15"/>
        <v>79.962999999999994</v>
      </c>
      <c r="AC33" s="52">
        <f t="shared" si="16"/>
        <v>79.962999999999994</v>
      </c>
      <c r="AD33" s="52">
        <f t="shared" si="17"/>
        <v>79.962999999999994</v>
      </c>
      <c r="AE33" s="52">
        <f t="shared" si="18"/>
        <v>79.962999999999994</v>
      </c>
      <c r="AF33" s="52">
        <f t="shared" si="19"/>
        <v>79.962999999999994</v>
      </c>
      <c r="AG33" s="52">
        <f t="shared" si="20"/>
        <v>79.962999999999994</v>
      </c>
      <c r="AH33" s="52">
        <f t="shared" si="21"/>
        <v>79.962999999999994</v>
      </c>
    </row>
    <row r="34" spans="1:34" ht="25.5" customHeight="1" x14ac:dyDescent="0.4">
      <c r="A34" s="54">
        <v>6</v>
      </c>
      <c r="B34" s="67" t="s">
        <v>283</v>
      </c>
      <c r="C34" s="56" t="s">
        <v>284</v>
      </c>
      <c r="D34" s="57">
        <f>VLOOKUP(C34,'[1]PREÇO ATUAL'!$A:$D,4,0)</f>
        <v>79.468999999999994</v>
      </c>
      <c r="E34" s="58">
        <v>1</v>
      </c>
      <c r="F34" s="58">
        <v>1</v>
      </c>
      <c r="G34" s="58">
        <v>1</v>
      </c>
      <c r="H34" s="58">
        <v>1</v>
      </c>
      <c r="I34" s="59">
        <v>1</v>
      </c>
      <c r="J34" s="59">
        <v>1</v>
      </c>
      <c r="K34" s="59">
        <v>1</v>
      </c>
      <c r="L34" s="59">
        <v>1</v>
      </c>
      <c r="M34" s="59">
        <v>1</v>
      </c>
      <c r="N34" s="58">
        <v>1</v>
      </c>
      <c r="O34" s="58">
        <v>1</v>
      </c>
      <c r="P34" s="58">
        <v>1</v>
      </c>
      <c r="Q34" s="58">
        <v>1</v>
      </c>
      <c r="R34" s="58">
        <v>1</v>
      </c>
      <c r="S34" s="58">
        <v>1</v>
      </c>
      <c r="T34" s="60">
        <f t="shared" si="7"/>
        <v>79.468999999999994</v>
      </c>
      <c r="U34" s="60">
        <f t="shared" si="8"/>
        <v>79.468999999999994</v>
      </c>
      <c r="V34" s="60">
        <f t="shared" si="9"/>
        <v>79.468999999999994</v>
      </c>
      <c r="W34" s="60">
        <f t="shared" si="10"/>
        <v>79.468999999999994</v>
      </c>
      <c r="X34" s="60">
        <f t="shared" si="11"/>
        <v>79.468999999999994</v>
      </c>
      <c r="Y34" s="60">
        <f t="shared" si="12"/>
        <v>79.468999999999994</v>
      </c>
      <c r="Z34" s="60">
        <f t="shared" si="13"/>
        <v>79.468999999999994</v>
      </c>
      <c r="AA34" s="60">
        <f t="shared" si="14"/>
        <v>79.468999999999994</v>
      </c>
      <c r="AB34" s="60">
        <f t="shared" si="15"/>
        <v>79.468999999999994</v>
      </c>
      <c r="AC34" s="60">
        <f t="shared" si="16"/>
        <v>79.468999999999994</v>
      </c>
      <c r="AD34" s="60">
        <f t="shared" si="17"/>
        <v>79.468999999999994</v>
      </c>
      <c r="AE34" s="60">
        <f t="shared" si="18"/>
        <v>79.468999999999994</v>
      </c>
      <c r="AF34" s="60">
        <f t="shared" si="19"/>
        <v>79.468999999999994</v>
      </c>
      <c r="AG34" s="60">
        <f t="shared" si="20"/>
        <v>79.468999999999994</v>
      </c>
      <c r="AH34" s="60">
        <f t="shared" si="21"/>
        <v>79.468999999999994</v>
      </c>
    </row>
    <row r="35" spans="1:34" ht="25.5" customHeight="1" x14ac:dyDescent="0.4">
      <c r="A35" s="46">
        <v>7</v>
      </c>
      <c r="B35" s="66" t="s">
        <v>134</v>
      </c>
      <c r="C35" s="48" t="s">
        <v>277</v>
      </c>
      <c r="D35" s="49">
        <f>VLOOKUP(C35,'[1]PREÇO ATUAL'!$A:$D,4,0)</f>
        <v>289.35000000000002</v>
      </c>
      <c r="E35" s="50"/>
      <c r="F35" s="50"/>
      <c r="G35" s="50"/>
      <c r="H35" s="50"/>
      <c r="I35" s="51"/>
      <c r="J35" s="51"/>
      <c r="K35" s="51"/>
      <c r="L35" s="51"/>
      <c r="M35" s="51"/>
      <c r="N35" s="50"/>
      <c r="O35" s="50"/>
      <c r="P35" s="50"/>
      <c r="Q35" s="50"/>
      <c r="R35" s="50"/>
      <c r="S35" s="50"/>
      <c r="T35" s="52">
        <f t="shared" si="7"/>
        <v>0</v>
      </c>
      <c r="U35" s="52">
        <f t="shared" si="8"/>
        <v>0</v>
      </c>
      <c r="V35" s="52">
        <f t="shared" si="9"/>
        <v>0</v>
      </c>
      <c r="W35" s="52">
        <f t="shared" si="10"/>
        <v>0</v>
      </c>
      <c r="X35" s="52">
        <f t="shared" si="11"/>
        <v>0</v>
      </c>
      <c r="Y35" s="52">
        <f t="shared" si="12"/>
        <v>0</v>
      </c>
      <c r="Z35" s="52">
        <f t="shared" si="13"/>
        <v>0</v>
      </c>
      <c r="AA35" s="52">
        <f t="shared" si="14"/>
        <v>0</v>
      </c>
      <c r="AB35" s="52">
        <f t="shared" si="15"/>
        <v>0</v>
      </c>
      <c r="AC35" s="52">
        <f t="shared" si="16"/>
        <v>0</v>
      </c>
      <c r="AD35" s="52">
        <f t="shared" si="17"/>
        <v>0</v>
      </c>
      <c r="AE35" s="52">
        <f t="shared" si="18"/>
        <v>0</v>
      </c>
      <c r="AF35" s="52">
        <f t="shared" si="19"/>
        <v>0</v>
      </c>
      <c r="AG35" s="52">
        <f t="shared" si="20"/>
        <v>0</v>
      </c>
      <c r="AH35" s="52">
        <f t="shared" si="21"/>
        <v>0</v>
      </c>
    </row>
    <row r="36" spans="1:34" ht="25.5" customHeight="1" x14ac:dyDescent="0.4">
      <c r="A36" s="54">
        <v>8</v>
      </c>
      <c r="B36" s="67" t="s">
        <v>285</v>
      </c>
      <c r="C36" s="56" t="s">
        <v>65</v>
      </c>
      <c r="D36" s="57">
        <f>VLOOKUP(C36,'[1]PREÇO ATUAL'!$A:$D,4,0)</f>
        <v>567.54999999999995</v>
      </c>
      <c r="E36" s="105"/>
      <c r="F36" s="105"/>
      <c r="G36" s="105"/>
      <c r="H36" s="105"/>
      <c r="I36" s="62"/>
      <c r="J36" s="62"/>
      <c r="K36" s="62"/>
      <c r="L36" s="62"/>
      <c r="M36" s="62"/>
      <c r="N36" s="105"/>
      <c r="O36" s="105"/>
      <c r="P36" s="105"/>
      <c r="Q36" s="105"/>
      <c r="R36" s="105"/>
      <c r="S36" s="105"/>
      <c r="T36" s="60">
        <f t="shared" si="7"/>
        <v>0</v>
      </c>
      <c r="U36" s="60">
        <f t="shared" si="8"/>
        <v>0</v>
      </c>
      <c r="V36" s="60">
        <f t="shared" si="9"/>
        <v>0</v>
      </c>
      <c r="W36" s="60">
        <f t="shared" si="10"/>
        <v>0</v>
      </c>
      <c r="X36" s="60">
        <f t="shared" si="11"/>
        <v>0</v>
      </c>
      <c r="Y36" s="60">
        <f t="shared" si="12"/>
        <v>0</v>
      </c>
      <c r="Z36" s="60">
        <f t="shared" si="13"/>
        <v>0</v>
      </c>
      <c r="AA36" s="60">
        <f t="shared" si="14"/>
        <v>0</v>
      </c>
      <c r="AB36" s="60">
        <f t="shared" si="15"/>
        <v>0</v>
      </c>
      <c r="AC36" s="60">
        <f t="shared" si="16"/>
        <v>0</v>
      </c>
      <c r="AD36" s="60">
        <f t="shared" si="17"/>
        <v>0</v>
      </c>
      <c r="AE36" s="60">
        <f t="shared" si="18"/>
        <v>0</v>
      </c>
      <c r="AF36" s="60">
        <f t="shared" si="19"/>
        <v>0</v>
      </c>
      <c r="AG36" s="60">
        <f t="shared" si="20"/>
        <v>0</v>
      </c>
      <c r="AH36" s="60">
        <f t="shared" si="21"/>
        <v>0</v>
      </c>
    </row>
    <row r="37" spans="1:34" ht="25.5" customHeight="1" x14ac:dyDescent="0.4">
      <c r="A37" s="46">
        <v>9</v>
      </c>
      <c r="B37" s="66" t="s">
        <v>261</v>
      </c>
      <c r="C37" s="48" t="s">
        <v>69</v>
      </c>
      <c r="D37" s="49">
        <f>VLOOKUP(C37,'[1]PREÇO ATUAL'!$A:$D,4,0)</f>
        <v>0</v>
      </c>
      <c r="E37" s="75"/>
      <c r="F37" s="75"/>
      <c r="G37" s="75"/>
      <c r="H37" s="75"/>
      <c r="I37" s="76"/>
      <c r="J37" s="76"/>
      <c r="K37" s="76"/>
      <c r="L37" s="76"/>
      <c r="M37" s="76"/>
      <c r="N37" s="75"/>
      <c r="O37" s="75"/>
      <c r="P37" s="75"/>
      <c r="Q37" s="75"/>
      <c r="R37" s="75"/>
      <c r="S37" s="75"/>
      <c r="T37" s="52">
        <f t="shared" si="7"/>
        <v>0</v>
      </c>
      <c r="U37" s="52">
        <f t="shared" si="8"/>
        <v>0</v>
      </c>
      <c r="V37" s="52">
        <f t="shared" si="9"/>
        <v>0</v>
      </c>
      <c r="W37" s="52">
        <f t="shared" si="10"/>
        <v>0</v>
      </c>
      <c r="X37" s="52">
        <f t="shared" si="11"/>
        <v>0</v>
      </c>
      <c r="Y37" s="52">
        <f t="shared" si="12"/>
        <v>0</v>
      </c>
      <c r="Z37" s="52">
        <f t="shared" si="13"/>
        <v>0</v>
      </c>
      <c r="AA37" s="52">
        <f t="shared" si="14"/>
        <v>0</v>
      </c>
      <c r="AB37" s="52">
        <f t="shared" si="15"/>
        <v>0</v>
      </c>
      <c r="AC37" s="52">
        <f t="shared" si="16"/>
        <v>0</v>
      </c>
      <c r="AD37" s="52">
        <f t="shared" si="17"/>
        <v>0</v>
      </c>
      <c r="AE37" s="52">
        <f t="shared" si="18"/>
        <v>0</v>
      </c>
      <c r="AF37" s="52">
        <f t="shared" si="19"/>
        <v>0</v>
      </c>
      <c r="AG37" s="52">
        <f t="shared" si="20"/>
        <v>0</v>
      </c>
      <c r="AH37" s="52">
        <f t="shared" si="21"/>
        <v>0</v>
      </c>
    </row>
    <row r="38" spans="1:34" ht="15" customHeight="1" x14ac:dyDescent="0.4">
      <c r="A38" s="54">
        <v>8</v>
      </c>
      <c r="B38" s="67" t="s">
        <v>286</v>
      </c>
      <c r="C38" s="56" t="s">
        <v>71</v>
      </c>
      <c r="D38" s="57">
        <f>VLOOKUP(C38,'[1]PREÇO ATUAL'!$A:$D,4,0)</f>
        <v>91.54</v>
      </c>
      <c r="E38" s="105">
        <v>6</v>
      </c>
      <c r="F38" s="105">
        <v>6</v>
      </c>
      <c r="G38" s="105">
        <v>6</v>
      </c>
      <c r="H38" s="105">
        <v>6</v>
      </c>
      <c r="I38" s="105">
        <v>6</v>
      </c>
      <c r="J38" s="105">
        <v>6</v>
      </c>
      <c r="K38" s="105">
        <v>6</v>
      </c>
      <c r="L38" s="105">
        <v>6</v>
      </c>
      <c r="M38" s="105">
        <v>6</v>
      </c>
      <c r="N38" s="105">
        <v>6</v>
      </c>
      <c r="O38" s="105">
        <v>6</v>
      </c>
      <c r="P38" s="105">
        <v>6</v>
      </c>
      <c r="Q38" s="105">
        <v>6</v>
      </c>
      <c r="R38" s="105">
        <v>6</v>
      </c>
      <c r="S38" s="105">
        <v>6</v>
      </c>
      <c r="T38" s="60">
        <f t="shared" si="7"/>
        <v>549.24</v>
      </c>
      <c r="U38" s="60">
        <f t="shared" si="8"/>
        <v>549.24</v>
      </c>
      <c r="V38" s="60">
        <f t="shared" si="9"/>
        <v>549.24</v>
      </c>
      <c r="W38" s="60">
        <f t="shared" si="10"/>
        <v>549.24</v>
      </c>
      <c r="X38" s="60">
        <f t="shared" si="11"/>
        <v>549.24</v>
      </c>
      <c r="Y38" s="60">
        <f t="shared" si="12"/>
        <v>549.24</v>
      </c>
      <c r="Z38" s="60">
        <f t="shared" si="13"/>
        <v>549.24</v>
      </c>
      <c r="AA38" s="60">
        <f t="shared" si="14"/>
        <v>549.24</v>
      </c>
      <c r="AB38" s="60">
        <f t="shared" si="15"/>
        <v>549.24</v>
      </c>
      <c r="AC38" s="60">
        <f t="shared" si="16"/>
        <v>549.24</v>
      </c>
      <c r="AD38" s="60">
        <f t="shared" si="17"/>
        <v>549.24</v>
      </c>
      <c r="AE38" s="60">
        <f t="shared" si="18"/>
        <v>549.24</v>
      </c>
      <c r="AF38" s="60">
        <f t="shared" si="19"/>
        <v>549.24</v>
      </c>
      <c r="AG38" s="60">
        <f t="shared" si="20"/>
        <v>549.24</v>
      </c>
      <c r="AH38" s="60">
        <f t="shared" si="21"/>
        <v>549.24</v>
      </c>
    </row>
    <row r="39" spans="1:34" ht="15" customHeight="1" x14ac:dyDescent="0.4">
      <c r="A39" s="46">
        <v>9</v>
      </c>
      <c r="B39" s="47" t="s">
        <v>128</v>
      </c>
      <c r="C39" s="48" t="s">
        <v>54</v>
      </c>
      <c r="D39" s="49" t="e">
        <f>VLOOKUP(C39,'[1]PREÇO ATUAL'!$A:$D,4,0)</f>
        <v>#N/A</v>
      </c>
      <c r="E39" s="75">
        <v>1.35</v>
      </c>
      <c r="F39" s="75">
        <v>1.9</v>
      </c>
      <c r="G39" s="75">
        <v>1.8</v>
      </c>
      <c r="H39" s="75">
        <v>1.85</v>
      </c>
      <c r="I39" s="76">
        <v>1.4</v>
      </c>
      <c r="J39" s="76">
        <v>2.1</v>
      </c>
      <c r="K39" s="76">
        <v>1.8</v>
      </c>
      <c r="L39" s="76">
        <v>1.9</v>
      </c>
      <c r="M39" s="76">
        <v>1.35</v>
      </c>
      <c r="N39" s="75">
        <v>1.85</v>
      </c>
      <c r="O39" s="75">
        <v>1.85</v>
      </c>
      <c r="P39" s="75">
        <v>4.7</v>
      </c>
      <c r="Q39" s="75">
        <v>1.35</v>
      </c>
      <c r="R39" s="75">
        <v>1.9</v>
      </c>
      <c r="S39" s="75">
        <v>1.8</v>
      </c>
      <c r="T39" s="52" t="e">
        <f>D39*E39</f>
        <v>#N/A</v>
      </c>
      <c r="U39" s="52" t="e">
        <f t="shared" ref="U39:AH39" si="22">$D39*F39</f>
        <v>#N/A</v>
      </c>
      <c r="V39" s="52" t="e">
        <f t="shared" si="22"/>
        <v>#N/A</v>
      </c>
      <c r="W39" s="52" t="e">
        <f t="shared" si="22"/>
        <v>#N/A</v>
      </c>
      <c r="X39" s="52" t="e">
        <f t="shared" si="22"/>
        <v>#N/A</v>
      </c>
      <c r="Y39" s="52" t="e">
        <f t="shared" si="22"/>
        <v>#N/A</v>
      </c>
      <c r="Z39" s="52" t="e">
        <f t="shared" si="22"/>
        <v>#N/A</v>
      </c>
      <c r="AA39" s="52" t="e">
        <f t="shared" si="22"/>
        <v>#N/A</v>
      </c>
      <c r="AB39" s="52" t="e">
        <f t="shared" si="22"/>
        <v>#N/A</v>
      </c>
      <c r="AC39" s="52" t="e">
        <f t="shared" si="22"/>
        <v>#N/A</v>
      </c>
      <c r="AD39" s="52" t="e">
        <f t="shared" si="22"/>
        <v>#N/A</v>
      </c>
      <c r="AE39" s="52" t="e">
        <f t="shared" si="22"/>
        <v>#N/A</v>
      </c>
      <c r="AF39" s="52" t="e">
        <f t="shared" si="22"/>
        <v>#N/A</v>
      </c>
      <c r="AG39" s="52" t="e">
        <f t="shared" si="22"/>
        <v>#N/A</v>
      </c>
      <c r="AH39" s="52" t="e">
        <f t="shared" si="22"/>
        <v>#N/A</v>
      </c>
    </row>
    <row r="40" spans="1:34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34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34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34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34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34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34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34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34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</sheetData>
  <mergeCells count="9">
    <mergeCell ref="T1:AC1"/>
    <mergeCell ref="A1:D1"/>
    <mergeCell ref="T26:AH26"/>
    <mergeCell ref="E1:S2"/>
    <mergeCell ref="A26:D26"/>
    <mergeCell ref="E13:S13"/>
    <mergeCell ref="E26:S26"/>
    <mergeCell ref="A13:D13"/>
    <mergeCell ref="T13:AH1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FF00"/>
  </sheetPr>
  <dimension ref="A1:AH981"/>
  <sheetViews>
    <sheetView showGridLines="0" topLeftCell="A20" zoomScaleNormal="100" workbookViewId="0">
      <pane xSplit="4" topLeftCell="E1" activePane="topRight" state="frozen"/>
      <selection activeCell="A20" sqref="A20"/>
      <selection pane="topRight" activeCell="E50" sqref="E50"/>
    </sheetView>
  </sheetViews>
  <sheetFormatPr defaultColWidth="14.4609375" defaultRowHeight="14.6" x14ac:dyDescent="0.4"/>
  <cols>
    <col min="1" max="1" width="3.3828125" customWidth="1"/>
    <col min="2" max="2" width="63.3828125" customWidth="1"/>
    <col min="3" max="3" width="19.53515625" customWidth="1"/>
    <col min="4" max="4" width="9.3046875" customWidth="1"/>
    <col min="5" max="5" width="7.15234375" customWidth="1"/>
    <col min="6" max="6" width="5.15234375" customWidth="1"/>
    <col min="7" max="7" width="6.3046875" customWidth="1"/>
    <col min="8" max="9" width="5.15234375" customWidth="1"/>
    <col min="10" max="10" width="6.3046875" customWidth="1"/>
    <col min="11" max="12" width="5.15234375" customWidth="1"/>
    <col min="13" max="13" width="6.3046875" customWidth="1"/>
    <col min="14" max="19" width="5.15234375" customWidth="1"/>
    <col min="20" max="28" width="15.69140625" customWidth="1"/>
    <col min="29" max="29" width="16.84375" customWidth="1"/>
    <col min="30" max="34" width="15.69140625" customWidth="1"/>
  </cols>
  <sheetData>
    <row r="1" spans="1:30" ht="15.75" customHeight="1" x14ac:dyDescent="0.4">
      <c r="A1" s="239" t="s">
        <v>287</v>
      </c>
      <c r="B1" s="211"/>
      <c r="C1" s="211"/>
      <c r="D1" s="212"/>
      <c r="E1" s="249" t="s">
        <v>1</v>
      </c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5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</row>
    <row r="2" spans="1:30" ht="15" customHeight="1" x14ac:dyDescent="0.4">
      <c r="A2" s="234"/>
      <c r="B2" s="217"/>
      <c r="C2" s="217"/>
      <c r="D2" s="238"/>
      <c r="E2" s="220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38"/>
      <c r="T2" s="37" t="e">
        <f t="shared" ref="T2:AC2" si="0">MROUND(SUM(T4:T16),1)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156" t="e">
        <f>SUM(T2:AC2)</f>
        <v>#N/A</v>
      </c>
    </row>
    <row r="3" spans="1:30" ht="15" customHeight="1" x14ac:dyDescent="0.4">
      <c r="A3" s="39" t="s">
        <v>5</v>
      </c>
      <c r="B3" s="39" t="s">
        <v>6</v>
      </c>
      <c r="C3" s="40" t="s">
        <v>7</v>
      </c>
      <c r="D3" s="41" t="s">
        <v>8</v>
      </c>
      <c r="E3" s="42" t="s">
        <v>9</v>
      </c>
      <c r="F3" s="42" t="s">
        <v>10</v>
      </c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/>
      <c r="P3" s="42"/>
      <c r="Q3" s="42"/>
      <c r="R3" s="42"/>
      <c r="S3" s="42"/>
      <c r="T3" s="42">
        <v>20000</v>
      </c>
      <c r="U3" s="42">
        <v>40000</v>
      </c>
      <c r="V3" s="42">
        <v>60000</v>
      </c>
      <c r="W3" s="42">
        <v>80000</v>
      </c>
      <c r="X3" s="42">
        <v>100000</v>
      </c>
      <c r="Y3" s="42">
        <v>120000</v>
      </c>
      <c r="Z3" s="42">
        <v>140000</v>
      </c>
      <c r="AA3" s="42">
        <v>160000</v>
      </c>
      <c r="AB3" s="42">
        <v>180000</v>
      </c>
      <c r="AC3" s="42">
        <v>200000</v>
      </c>
    </row>
    <row r="4" spans="1:30" ht="15" customHeight="1" x14ac:dyDescent="0.4">
      <c r="A4" s="54">
        <v>1</v>
      </c>
      <c r="B4" s="55" t="s">
        <v>112</v>
      </c>
      <c r="C4" s="56" t="s">
        <v>288</v>
      </c>
      <c r="D4" s="171">
        <f>VLOOKUP(C4,'[1]PREÇO ATUAL'!$A:$D,4,0)</f>
        <v>115.4</v>
      </c>
      <c r="E4" s="58">
        <v>1</v>
      </c>
      <c r="F4" s="58">
        <v>1</v>
      </c>
      <c r="G4" s="58">
        <v>1</v>
      </c>
      <c r="H4" s="58">
        <v>1</v>
      </c>
      <c r="I4" s="59">
        <v>1</v>
      </c>
      <c r="J4" s="59">
        <v>1</v>
      </c>
      <c r="K4" s="59">
        <v>1</v>
      </c>
      <c r="L4" s="59">
        <v>1</v>
      </c>
      <c r="M4" s="59">
        <v>1</v>
      </c>
      <c r="N4" s="85">
        <v>1</v>
      </c>
      <c r="O4" s="59"/>
      <c r="P4" s="59"/>
      <c r="Q4" s="59"/>
      <c r="R4" s="59"/>
      <c r="S4" s="59"/>
      <c r="T4" s="60">
        <f t="shared" ref="T4:T15" si="1">$D4*E4</f>
        <v>115.4</v>
      </c>
      <c r="U4" s="60">
        <f t="shared" ref="U4:U15" si="2">$D4*F4</f>
        <v>115.4</v>
      </c>
      <c r="V4" s="60">
        <f t="shared" ref="V4:V15" si="3">$D4*G4</f>
        <v>115.4</v>
      </c>
      <c r="W4" s="60">
        <f t="shared" ref="W4:W15" si="4">$D4*H4</f>
        <v>115.4</v>
      </c>
      <c r="X4" s="60">
        <f t="shared" ref="X4:X15" si="5">$D4*I4</f>
        <v>115.4</v>
      </c>
      <c r="Y4" s="60">
        <f t="shared" ref="Y4:Y15" si="6">$D4*J4</f>
        <v>115.4</v>
      </c>
      <c r="Z4" s="60">
        <f t="shared" ref="Z4:Z15" si="7">$D4*K4</f>
        <v>115.4</v>
      </c>
      <c r="AA4" s="60">
        <f t="shared" ref="AA4:AA15" si="8">$D4*L4</f>
        <v>115.4</v>
      </c>
      <c r="AB4" s="60">
        <f t="shared" ref="AB4:AB15" si="9">$D4*M4</f>
        <v>115.4</v>
      </c>
      <c r="AC4" s="60">
        <f t="shared" ref="AC4:AC15" si="10">$D4*N4</f>
        <v>115.4</v>
      </c>
    </row>
    <row r="5" spans="1:30" ht="15" customHeight="1" x14ac:dyDescent="0.4">
      <c r="A5" s="46">
        <v>2</v>
      </c>
      <c r="B5" s="47" t="s">
        <v>289</v>
      </c>
      <c r="C5" s="48" t="s">
        <v>27</v>
      </c>
      <c r="D5" s="118">
        <f>VLOOKUP(C5,'[1]PREÇO ATUAL'!$A:$D,4,0)</f>
        <v>13.243691999999999</v>
      </c>
      <c r="E5" s="50">
        <v>1</v>
      </c>
      <c r="F5" s="50">
        <v>1</v>
      </c>
      <c r="G5" s="50">
        <v>1</v>
      </c>
      <c r="H5" s="50">
        <v>1</v>
      </c>
      <c r="I5" s="51">
        <v>1</v>
      </c>
      <c r="J5" s="51">
        <v>1</v>
      </c>
      <c r="K5" s="51">
        <v>1</v>
      </c>
      <c r="L5" s="51">
        <v>1</v>
      </c>
      <c r="M5" s="51">
        <v>1</v>
      </c>
      <c r="N5" s="84">
        <v>1</v>
      </c>
      <c r="O5" s="51"/>
      <c r="P5" s="51"/>
      <c r="Q5" s="51"/>
      <c r="R5" s="51"/>
      <c r="S5" s="51"/>
      <c r="T5" s="52">
        <f t="shared" si="1"/>
        <v>13.243691999999999</v>
      </c>
      <c r="U5" s="52">
        <f t="shared" si="2"/>
        <v>13.243691999999999</v>
      </c>
      <c r="V5" s="52">
        <f t="shared" si="3"/>
        <v>13.243691999999999</v>
      </c>
      <c r="W5" s="52">
        <f t="shared" si="4"/>
        <v>13.243691999999999</v>
      </c>
      <c r="X5" s="52">
        <f t="shared" si="5"/>
        <v>13.243691999999999</v>
      </c>
      <c r="Y5" s="52">
        <f t="shared" si="6"/>
        <v>13.243691999999999</v>
      </c>
      <c r="Z5" s="52">
        <f t="shared" si="7"/>
        <v>13.243691999999999</v>
      </c>
      <c r="AA5" s="52">
        <f t="shared" si="8"/>
        <v>13.243691999999999</v>
      </c>
      <c r="AB5" s="52">
        <f t="shared" si="9"/>
        <v>13.243691999999999</v>
      </c>
      <c r="AC5" s="52">
        <f t="shared" si="10"/>
        <v>13.243691999999999</v>
      </c>
    </row>
    <row r="6" spans="1:30" ht="15" customHeight="1" x14ac:dyDescent="0.4">
      <c r="A6" s="54">
        <v>3</v>
      </c>
      <c r="B6" s="55" t="s">
        <v>114</v>
      </c>
      <c r="C6" s="56" t="s">
        <v>290</v>
      </c>
      <c r="D6" s="171">
        <f>VLOOKUP(C6,'[1]PREÇO ATUAL'!$A:$D,4,0)</f>
        <v>509.11475999999999</v>
      </c>
      <c r="E6" s="58">
        <v>1</v>
      </c>
      <c r="F6" s="58">
        <v>1</v>
      </c>
      <c r="G6" s="58">
        <v>1</v>
      </c>
      <c r="H6" s="58">
        <v>1</v>
      </c>
      <c r="I6" s="59">
        <v>1</v>
      </c>
      <c r="J6" s="59">
        <v>1</v>
      </c>
      <c r="K6" s="59">
        <v>1</v>
      </c>
      <c r="L6" s="59">
        <v>1</v>
      </c>
      <c r="M6" s="59">
        <v>1</v>
      </c>
      <c r="N6" s="85">
        <v>1</v>
      </c>
      <c r="O6" s="59"/>
      <c r="P6" s="59"/>
      <c r="Q6" s="59"/>
      <c r="R6" s="59"/>
      <c r="S6" s="59"/>
      <c r="T6" s="60">
        <f t="shared" si="1"/>
        <v>509.11475999999999</v>
      </c>
      <c r="U6" s="60">
        <f t="shared" si="2"/>
        <v>509.11475999999999</v>
      </c>
      <c r="V6" s="60">
        <f t="shared" si="3"/>
        <v>509.11475999999999</v>
      </c>
      <c r="W6" s="60">
        <f t="shared" si="4"/>
        <v>509.11475999999999</v>
      </c>
      <c r="X6" s="60">
        <f t="shared" si="5"/>
        <v>509.11475999999999</v>
      </c>
      <c r="Y6" s="60">
        <f t="shared" si="6"/>
        <v>509.11475999999999</v>
      </c>
      <c r="Z6" s="60">
        <f t="shared" si="7"/>
        <v>509.11475999999999</v>
      </c>
      <c r="AA6" s="60">
        <f t="shared" si="8"/>
        <v>509.11475999999999</v>
      </c>
      <c r="AB6" s="60">
        <f t="shared" si="9"/>
        <v>509.11475999999999</v>
      </c>
      <c r="AC6" s="60">
        <f t="shared" si="10"/>
        <v>509.11475999999999</v>
      </c>
    </row>
    <row r="7" spans="1:30" ht="15" customHeight="1" x14ac:dyDescent="0.4">
      <c r="A7" s="46">
        <v>4</v>
      </c>
      <c r="B7" s="47" t="s">
        <v>116</v>
      </c>
      <c r="C7" s="48" t="s">
        <v>291</v>
      </c>
      <c r="D7" s="118">
        <f>VLOOKUP(C7,'[1]PREÇO ATUAL'!$A:$D,4,0)</f>
        <v>267.12</v>
      </c>
      <c r="E7" s="50">
        <v>1</v>
      </c>
      <c r="F7" s="50">
        <v>1</v>
      </c>
      <c r="G7" s="50">
        <v>1</v>
      </c>
      <c r="H7" s="50">
        <v>1</v>
      </c>
      <c r="I7" s="51">
        <v>1</v>
      </c>
      <c r="J7" s="51">
        <v>1</v>
      </c>
      <c r="K7" s="51">
        <v>1</v>
      </c>
      <c r="L7" s="51">
        <v>1</v>
      </c>
      <c r="M7" s="51">
        <v>1</v>
      </c>
      <c r="N7" s="84">
        <v>1</v>
      </c>
      <c r="O7" s="51"/>
      <c r="P7" s="51"/>
      <c r="Q7" s="51"/>
      <c r="R7" s="51"/>
      <c r="S7" s="51"/>
      <c r="T7" s="52">
        <f t="shared" si="1"/>
        <v>267.12</v>
      </c>
      <c r="U7" s="52">
        <f t="shared" si="2"/>
        <v>267.12</v>
      </c>
      <c r="V7" s="52">
        <f t="shared" si="3"/>
        <v>267.12</v>
      </c>
      <c r="W7" s="52">
        <f t="shared" si="4"/>
        <v>267.12</v>
      </c>
      <c r="X7" s="52">
        <f t="shared" si="5"/>
        <v>267.12</v>
      </c>
      <c r="Y7" s="52">
        <f t="shared" si="6"/>
        <v>267.12</v>
      </c>
      <c r="Z7" s="52">
        <f t="shared" si="7"/>
        <v>267.12</v>
      </c>
      <c r="AA7" s="52">
        <f t="shared" si="8"/>
        <v>267.12</v>
      </c>
      <c r="AB7" s="52">
        <f t="shared" si="9"/>
        <v>267.12</v>
      </c>
      <c r="AC7" s="52">
        <f t="shared" si="10"/>
        <v>267.12</v>
      </c>
    </row>
    <row r="8" spans="1:30" ht="15" customHeight="1" x14ac:dyDescent="0.4">
      <c r="A8" s="54">
        <v>5</v>
      </c>
      <c r="B8" s="55" t="s">
        <v>292</v>
      </c>
      <c r="C8" s="56" t="s">
        <v>293</v>
      </c>
      <c r="D8" s="171">
        <f>VLOOKUP(C8,'[1]PREÇO ATUAL'!$A:$D,4,0)</f>
        <v>79</v>
      </c>
      <c r="E8" s="58">
        <v>1</v>
      </c>
      <c r="F8" s="58">
        <v>1</v>
      </c>
      <c r="G8" s="58">
        <v>1</v>
      </c>
      <c r="H8" s="58">
        <v>1</v>
      </c>
      <c r="I8" s="59">
        <v>1</v>
      </c>
      <c r="J8" s="59">
        <v>1</v>
      </c>
      <c r="K8" s="59">
        <v>1</v>
      </c>
      <c r="L8" s="59">
        <v>1</v>
      </c>
      <c r="M8" s="59">
        <v>1</v>
      </c>
      <c r="N8" s="85">
        <v>1</v>
      </c>
      <c r="O8" s="59"/>
      <c r="P8" s="59"/>
      <c r="Q8" s="59"/>
      <c r="R8" s="59"/>
      <c r="S8" s="59"/>
      <c r="T8" s="60">
        <f t="shared" si="1"/>
        <v>79</v>
      </c>
      <c r="U8" s="60">
        <f t="shared" si="2"/>
        <v>79</v>
      </c>
      <c r="V8" s="60">
        <f t="shared" si="3"/>
        <v>79</v>
      </c>
      <c r="W8" s="60">
        <f t="shared" si="4"/>
        <v>79</v>
      </c>
      <c r="X8" s="60">
        <f t="shared" si="5"/>
        <v>79</v>
      </c>
      <c r="Y8" s="60">
        <f t="shared" si="6"/>
        <v>79</v>
      </c>
      <c r="Z8" s="60">
        <f t="shared" si="7"/>
        <v>79</v>
      </c>
      <c r="AA8" s="60">
        <f t="shared" si="8"/>
        <v>79</v>
      </c>
      <c r="AB8" s="60">
        <f t="shared" si="9"/>
        <v>79</v>
      </c>
      <c r="AC8" s="60">
        <f t="shared" si="10"/>
        <v>79</v>
      </c>
    </row>
    <row r="9" spans="1:30" ht="15" customHeight="1" x14ac:dyDescent="0.4">
      <c r="A9" s="46">
        <v>6</v>
      </c>
      <c r="B9" s="47" t="s">
        <v>294</v>
      </c>
      <c r="C9" s="48" t="s">
        <v>295</v>
      </c>
      <c r="D9" s="118">
        <f>VLOOKUP(C9,'[1]PREÇO ATUAL'!$A:$D,4,0)</f>
        <v>581.33000000000004</v>
      </c>
      <c r="E9" s="50"/>
      <c r="F9" s="50"/>
      <c r="G9" s="50"/>
      <c r="H9" s="50">
        <v>1</v>
      </c>
      <c r="I9" s="51"/>
      <c r="J9" s="51"/>
      <c r="K9" s="51"/>
      <c r="L9" s="51">
        <v>1</v>
      </c>
      <c r="M9" s="51"/>
      <c r="N9" s="84"/>
      <c r="O9" s="51"/>
      <c r="P9" s="51"/>
      <c r="Q9" s="51"/>
      <c r="R9" s="51"/>
      <c r="S9" s="51"/>
      <c r="T9" s="52">
        <f t="shared" si="1"/>
        <v>0</v>
      </c>
      <c r="U9" s="52">
        <f t="shared" si="2"/>
        <v>0</v>
      </c>
      <c r="V9" s="52">
        <f t="shared" si="3"/>
        <v>0</v>
      </c>
      <c r="W9" s="52">
        <f t="shared" si="4"/>
        <v>581.33000000000004</v>
      </c>
      <c r="X9" s="52">
        <f t="shared" si="5"/>
        <v>0</v>
      </c>
      <c r="Y9" s="52">
        <f t="shared" si="6"/>
        <v>0</v>
      </c>
      <c r="Z9" s="52">
        <f t="shared" si="7"/>
        <v>0</v>
      </c>
      <c r="AA9" s="52">
        <f t="shared" si="8"/>
        <v>581.33000000000004</v>
      </c>
      <c r="AB9" s="52">
        <f t="shared" si="9"/>
        <v>0</v>
      </c>
      <c r="AC9" s="52">
        <f t="shared" si="10"/>
        <v>0</v>
      </c>
    </row>
    <row r="10" spans="1:30" ht="15" customHeight="1" x14ac:dyDescent="0.4">
      <c r="A10" s="54">
        <v>7</v>
      </c>
      <c r="B10" s="55" t="s">
        <v>296</v>
      </c>
      <c r="C10" s="56" t="s">
        <v>297</v>
      </c>
      <c r="D10" s="171">
        <f>VLOOKUP(C10,'[1]PREÇO ATUAL'!$A:$D,4,0)</f>
        <v>583.494912</v>
      </c>
      <c r="E10" s="58"/>
      <c r="F10" s="58"/>
      <c r="G10" s="58"/>
      <c r="H10" s="58"/>
      <c r="I10" s="59"/>
      <c r="J10" s="59"/>
      <c r="K10" s="59"/>
      <c r="L10" s="59">
        <v>1</v>
      </c>
      <c r="M10" s="59"/>
      <c r="N10" s="85"/>
      <c r="O10" s="59"/>
      <c r="P10" s="59"/>
      <c r="Q10" s="59"/>
      <c r="R10" s="59"/>
      <c r="S10" s="59"/>
      <c r="T10" s="60">
        <f t="shared" si="1"/>
        <v>0</v>
      </c>
      <c r="U10" s="60">
        <f t="shared" si="2"/>
        <v>0</v>
      </c>
      <c r="V10" s="60">
        <f t="shared" si="3"/>
        <v>0</v>
      </c>
      <c r="W10" s="60">
        <f t="shared" si="4"/>
        <v>0</v>
      </c>
      <c r="X10" s="60">
        <f t="shared" si="5"/>
        <v>0</v>
      </c>
      <c r="Y10" s="60">
        <f t="shared" si="6"/>
        <v>0</v>
      </c>
      <c r="Z10" s="60">
        <f t="shared" si="7"/>
        <v>0</v>
      </c>
      <c r="AA10" s="60">
        <f t="shared" si="8"/>
        <v>583.494912</v>
      </c>
      <c r="AB10" s="60">
        <f t="shared" si="9"/>
        <v>0</v>
      </c>
      <c r="AC10" s="60">
        <f t="shared" si="10"/>
        <v>0</v>
      </c>
    </row>
    <row r="11" spans="1:30" ht="15" customHeight="1" x14ac:dyDescent="0.4">
      <c r="A11" s="112">
        <v>8</v>
      </c>
      <c r="B11" s="47" t="s">
        <v>298</v>
      </c>
      <c r="C11" s="114" t="s">
        <v>299</v>
      </c>
      <c r="D11" s="118">
        <f>VLOOKUP(C11,'[1]PREÇO ATUAL'!$A:$D,4,0)</f>
        <v>1208.8553400000001</v>
      </c>
      <c r="E11" s="117"/>
      <c r="F11" s="117"/>
      <c r="G11" s="117"/>
      <c r="H11" s="117"/>
      <c r="I11" s="119"/>
      <c r="J11" s="119"/>
      <c r="K11" s="119"/>
      <c r="L11" s="119">
        <v>1</v>
      </c>
      <c r="M11" s="119"/>
      <c r="N11" s="172"/>
      <c r="O11" s="119"/>
      <c r="P11" s="119"/>
      <c r="Q11" s="119"/>
      <c r="R11" s="119"/>
      <c r="S11" s="119"/>
      <c r="T11" s="121">
        <f t="shared" si="1"/>
        <v>0</v>
      </c>
      <c r="U11" s="121">
        <f t="shared" si="2"/>
        <v>0</v>
      </c>
      <c r="V11" s="121">
        <f t="shared" si="3"/>
        <v>0</v>
      </c>
      <c r="W11" s="121">
        <f t="shared" si="4"/>
        <v>0</v>
      </c>
      <c r="X11" s="121">
        <f t="shared" si="5"/>
        <v>0</v>
      </c>
      <c r="Y11" s="121">
        <f t="shared" si="6"/>
        <v>0</v>
      </c>
      <c r="Z11" s="121">
        <f t="shared" si="7"/>
        <v>0</v>
      </c>
      <c r="AA11" s="121">
        <f t="shared" si="8"/>
        <v>1208.8553400000001</v>
      </c>
      <c r="AB11" s="121">
        <f t="shared" si="9"/>
        <v>0</v>
      </c>
      <c r="AC11" s="121">
        <f t="shared" si="10"/>
        <v>0</v>
      </c>
    </row>
    <row r="12" spans="1:30" ht="15" customHeight="1" x14ac:dyDescent="0.4">
      <c r="A12" s="124">
        <v>9</v>
      </c>
      <c r="B12" s="173" t="s">
        <v>300</v>
      </c>
      <c r="C12" s="126" t="s">
        <v>301</v>
      </c>
      <c r="D12" s="171">
        <f>VLOOKUP(C12,'[1]PREÇO ATUAL'!$A:$D,4,0)</f>
        <v>274.05734512484003</v>
      </c>
      <c r="E12" s="158"/>
      <c r="F12" s="158"/>
      <c r="G12" s="158"/>
      <c r="H12" s="158"/>
      <c r="I12" s="159"/>
      <c r="J12" s="159">
        <v>1</v>
      </c>
      <c r="K12" s="159"/>
      <c r="L12" s="159"/>
      <c r="M12" s="159"/>
      <c r="N12" s="174"/>
      <c r="O12" s="159"/>
      <c r="P12" s="159"/>
      <c r="Q12" s="159"/>
      <c r="R12" s="159"/>
      <c r="S12" s="159"/>
      <c r="T12" s="129">
        <f t="shared" si="1"/>
        <v>0</v>
      </c>
      <c r="U12" s="129">
        <f t="shared" si="2"/>
        <v>0</v>
      </c>
      <c r="V12" s="129">
        <f t="shared" si="3"/>
        <v>0</v>
      </c>
      <c r="W12" s="129">
        <f t="shared" si="4"/>
        <v>0</v>
      </c>
      <c r="X12" s="129">
        <f t="shared" si="5"/>
        <v>0</v>
      </c>
      <c r="Y12" s="129">
        <f t="shared" si="6"/>
        <v>274.05734512484003</v>
      </c>
      <c r="Z12" s="129">
        <f t="shared" si="7"/>
        <v>0</v>
      </c>
      <c r="AA12" s="129">
        <f t="shared" si="8"/>
        <v>0</v>
      </c>
      <c r="AB12" s="129">
        <f t="shared" si="9"/>
        <v>0</v>
      </c>
      <c r="AC12" s="129">
        <f t="shared" si="10"/>
        <v>0</v>
      </c>
    </row>
    <row r="13" spans="1:30" ht="15" customHeight="1" x14ac:dyDescent="0.4">
      <c r="A13" s="112">
        <v>10</v>
      </c>
      <c r="B13" s="175" t="s">
        <v>302</v>
      </c>
      <c r="C13" s="114" t="s">
        <v>303</v>
      </c>
      <c r="D13" s="118">
        <f>VLOOKUP(C13,'[1]PREÇO ATUAL'!$A:$D,4,0)</f>
        <v>749.53401599999995</v>
      </c>
      <c r="E13" s="117"/>
      <c r="F13" s="117"/>
      <c r="G13" s="117"/>
      <c r="H13" s="117"/>
      <c r="I13" s="119"/>
      <c r="J13" s="119">
        <v>1</v>
      </c>
      <c r="K13" s="119"/>
      <c r="L13" s="119"/>
      <c r="M13" s="119"/>
      <c r="N13" s="172"/>
      <c r="O13" s="119"/>
      <c r="P13" s="119"/>
      <c r="Q13" s="119"/>
      <c r="R13" s="119"/>
      <c r="S13" s="119"/>
      <c r="T13" s="121">
        <f t="shared" si="1"/>
        <v>0</v>
      </c>
      <c r="U13" s="121">
        <f t="shared" si="2"/>
        <v>0</v>
      </c>
      <c r="V13" s="121">
        <f t="shared" si="3"/>
        <v>0</v>
      </c>
      <c r="W13" s="121">
        <f t="shared" si="4"/>
        <v>0</v>
      </c>
      <c r="X13" s="121">
        <f t="shared" si="5"/>
        <v>0</v>
      </c>
      <c r="Y13" s="121">
        <f t="shared" si="6"/>
        <v>749.53401599999995</v>
      </c>
      <c r="Z13" s="121">
        <f t="shared" si="7"/>
        <v>0</v>
      </c>
      <c r="AA13" s="121">
        <f t="shared" si="8"/>
        <v>0</v>
      </c>
      <c r="AB13" s="121">
        <f t="shared" si="9"/>
        <v>0</v>
      </c>
      <c r="AC13" s="121">
        <f t="shared" si="10"/>
        <v>0</v>
      </c>
    </row>
    <row r="14" spans="1:30" ht="15" customHeight="1" x14ac:dyDescent="0.4">
      <c r="A14" s="124">
        <v>11</v>
      </c>
      <c r="B14" s="125" t="s">
        <v>304</v>
      </c>
      <c r="C14" s="126" t="s">
        <v>125</v>
      </c>
      <c r="D14" s="171">
        <f>VLOOKUP(C14,'[1]PREÇO ATUAL'!$A:$D,4,0)</f>
        <v>33.6224930838505</v>
      </c>
      <c r="E14" s="158"/>
      <c r="F14" s="158"/>
      <c r="G14" s="158"/>
      <c r="H14" s="158"/>
      <c r="I14" s="159"/>
      <c r="J14" s="159"/>
      <c r="K14" s="159"/>
      <c r="L14" s="159"/>
      <c r="M14" s="159"/>
      <c r="N14" s="174"/>
      <c r="O14" s="159"/>
      <c r="P14" s="159"/>
      <c r="Q14" s="159"/>
      <c r="R14" s="159"/>
      <c r="S14" s="159"/>
      <c r="T14" s="129">
        <f t="shared" si="1"/>
        <v>0</v>
      </c>
      <c r="U14" s="129">
        <f t="shared" si="2"/>
        <v>0</v>
      </c>
      <c r="V14" s="129">
        <f t="shared" si="3"/>
        <v>0</v>
      </c>
      <c r="W14" s="129">
        <f t="shared" si="4"/>
        <v>0</v>
      </c>
      <c r="X14" s="129">
        <f t="shared" si="5"/>
        <v>0</v>
      </c>
      <c r="Y14" s="129">
        <f t="shared" si="6"/>
        <v>0</v>
      </c>
      <c r="Z14" s="129">
        <f t="shared" si="7"/>
        <v>0</v>
      </c>
      <c r="AA14" s="129">
        <f t="shared" si="8"/>
        <v>0</v>
      </c>
      <c r="AB14" s="129">
        <f t="shared" si="9"/>
        <v>0</v>
      </c>
      <c r="AC14" s="129">
        <f t="shared" si="10"/>
        <v>0</v>
      </c>
    </row>
    <row r="15" spans="1:30" ht="15" customHeight="1" x14ac:dyDescent="0.4">
      <c r="A15" s="112">
        <v>12</v>
      </c>
      <c r="B15" s="113" t="s">
        <v>305</v>
      </c>
      <c r="C15" s="114" t="s">
        <v>52</v>
      </c>
      <c r="D15" s="118">
        <f>VLOOKUP(C15,'[1]PREÇO ATUAL'!$A:$D,4,0)</f>
        <v>98.473564967525803</v>
      </c>
      <c r="E15" s="116">
        <v>6.6</v>
      </c>
      <c r="F15" s="116">
        <v>6.6</v>
      </c>
      <c r="G15" s="116">
        <v>6.6</v>
      </c>
      <c r="H15" s="116">
        <v>6.6</v>
      </c>
      <c r="I15" s="118">
        <v>6.6</v>
      </c>
      <c r="J15" s="118">
        <v>6.6</v>
      </c>
      <c r="K15" s="118">
        <v>6.6</v>
      </c>
      <c r="L15" s="118">
        <v>6.6</v>
      </c>
      <c r="M15" s="118">
        <v>6.6</v>
      </c>
      <c r="N15" s="120">
        <v>6.6</v>
      </c>
      <c r="O15" s="118"/>
      <c r="P15" s="118"/>
      <c r="Q15" s="118"/>
      <c r="R15" s="118"/>
      <c r="S15" s="118"/>
      <c r="T15" s="121">
        <f t="shared" si="1"/>
        <v>649.92552878567028</v>
      </c>
      <c r="U15" s="121">
        <f t="shared" si="2"/>
        <v>649.92552878567028</v>
      </c>
      <c r="V15" s="121">
        <f t="shared" si="3"/>
        <v>649.92552878567028</v>
      </c>
      <c r="W15" s="121">
        <f t="shared" si="4"/>
        <v>649.92552878567028</v>
      </c>
      <c r="X15" s="121">
        <f t="shared" si="5"/>
        <v>649.92552878567028</v>
      </c>
      <c r="Y15" s="121">
        <f t="shared" si="6"/>
        <v>649.92552878567028</v>
      </c>
      <c r="Z15" s="121">
        <f t="shared" si="7"/>
        <v>649.92552878567028</v>
      </c>
      <c r="AA15" s="121">
        <f t="shared" si="8"/>
        <v>649.92552878567028</v>
      </c>
      <c r="AB15" s="121">
        <f t="shared" si="9"/>
        <v>649.92552878567028</v>
      </c>
      <c r="AC15" s="121">
        <f t="shared" si="10"/>
        <v>649.92552878567028</v>
      </c>
    </row>
    <row r="16" spans="1:30" ht="15" customHeight="1" x14ac:dyDescent="0.4">
      <c r="A16" s="124">
        <v>13</v>
      </c>
      <c r="B16" s="125" t="s">
        <v>128</v>
      </c>
      <c r="C16" s="126" t="s">
        <v>54</v>
      </c>
      <c r="D16" s="171" t="e">
        <f>VLOOKUP(C16,'[1]PREÇO ATUAL'!$A:$D,4,0)</f>
        <v>#N/A</v>
      </c>
      <c r="E16" s="164">
        <v>2.2000000000000002</v>
      </c>
      <c r="F16" s="164">
        <v>2.2000000000000002</v>
      </c>
      <c r="G16" s="164">
        <v>2.2000000000000002</v>
      </c>
      <c r="H16" s="164">
        <v>4.0999999999999996</v>
      </c>
      <c r="I16" s="171">
        <v>2.2999999999999998</v>
      </c>
      <c r="J16" s="171">
        <v>2.8</v>
      </c>
      <c r="K16" s="171">
        <v>2.2000000000000002</v>
      </c>
      <c r="L16" s="171">
        <v>4.0999999999999996</v>
      </c>
      <c r="M16" s="171">
        <v>2.2000000000000002</v>
      </c>
      <c r="N16" s="176">
        <v>2.2999999999999998</v>
      </c>
      <c r="O16" s="171"/>
      <c r="P16" s="171"/>
      <c r="Q16" s="171"/>
      <c r="R16" s="171"/>
      <c r="S16" s="171"/>
      <c r="T16" s="129" t="e">
        <f>D16*E16</f>
        <v>#N/A</v>
      </c>
      <c r="U16" s="129" t="e">
        <f t="shared" ref="U16:AC16" si="11">$D16*F16</f>
        <v>#N/A</v>
      </c>
      <c r="V16" s="129" t="e">
        <f t="shared" si="11"/>
        <v>#N/A</v>
      </c>
      <c r="W16" s="129" t="e">
        <f t="shared" si="11"/>
        <v>#N/A</v>
      </c>
      <c r="X16" s="129" t="e">
        <f t="shared" si="11"/>
        <v>#N/A</v>
      </c>
      <c r="Y16" s="129" t="e">
        <f t="shared" si="11"/>
        <v>#N/A</v>
      </c>
      <c r="Z16" s="129" t="e">
        <f t="shared" si="11"/>
        <v>#N/A</v>
      </c>
      <c r="AA16" s="129" t="e">
        <f t="shared" si="11"/>
        <v>#N/A</v>
      </c>
      <c r="AB16" s="129" t="e">
        <f t="shared" si="11"/>
        <v>#N/A</v>
      </c>
      <c r="AC16" s="129" t="e">
        <f t="shared" si="11"/>
        <v>#N/A</v>
      </c>
    </row>
    <row r="17" spans="1:30" ht="15.75" customHeight="1" x14ac:dyDescent="0.4">
      <c r="B17" s="177"/>
      <c r="I17" s="81"/>
    </row>
    <row r="18" spans="1:30" ht="15.75" customHeight="1" x14ac:dyDescent="0.4"/>
    <row r="19" spans="1:30" ht="15.75" customHeight="1" x14ac:dyDescent="0.4"/>
    <row r="20" spans="1:30" ht="15" customHeight="1" x14ac:dyDescent="0.4">
      <c r="A20" s="210" t="s">
        <v>306</v>
      </c>
      <c r="B20" s="211"/>
      <c r="C20" s="211"/>
      <c r="D20" s="212"/>
      <c r="E20" s="249" t="s">
        <v>1</v>
      </c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5"/>
      <c r="T20" s="250" t="s">
        <v>2</v>
      </c>
      <c r="U20" s="214"/>
      <c r="V20" s="214"/>
      <c r="W20" s="214"/>
      <c r="X20" s="214"/>
      <c r="Y20" s="214"/>
      <c r="Z20" s="214"/>
      <c r="AA20" s="214"/>
      <c r="AB20" s="214"/>
      <c r="AC20" s="214"/>
    </row>
    <row r="21" spans="1:30" ht="15" customHeight="1" x14ac:dyDescent="0.4">
      <c r="A21" s="213"/>
      <c r="B21" s="214"/>
      <c r="C21" s="214"/>
      <c r="D21" s="215"/>
      <c r="E21" s="220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38"/>
      <c r="T21" s="37">
        <f t="shared" ref="T21:AC21" si="12">MROUND(SUM(T23:T30),1)</f>
        <v>1334</v>
      </c>
      <c r="U21" s="37" t="e">
        <f t="shared" si="12"/>
        <v>#N/A</v>
      </c>
      <c r="V21" s="37" t="e">
        <f t="shared" si="12"/>
        <v>#N/A</v>
      </c>
      <c r="W21" s="37" t="e">
        <f t="shared" si="12"/>
        <v>#N/A</v>
      </c>
      <c r="X21" s="37" t="e">
        <f t="shared" si="12"/>
        <v>#N/A</v>
      </c>
      <c r="Y21" s="37" t="e">
        <f t="shared" si="12"/>
        <v>#N/A</v>
      </c>
      <c r="Z21" s="37" t="e">
        <f t="shared" si="12"/>
        <v>#N/A</v>
      </c>
      <c r="AA21" s="37" t="e">
        <f t="shared" si="12"/>
        <v>#N/A</v>
      </c>
      <c r="AB21" s="37" t="e">
        <f t="shared" si="12"/>
        <v>#N/A</v>
      </c>
      <c r="AC21" s="37" t="e">
        <f t="shared" si="12"/>
        <v>#N/A</v>
      </c>
      <c r="AD21" s="156" t="e">
        <f>SUM(T21:AC21)</f>
        <v>#N/A</v>
      </c>
    </row>
    <row r="22" spans="1:30" ht="15" customHeight="1" x14ac:dyDescent="0.4">
      <c r="A22" s="39" t="s">
        <v>5</v>
      </c>
      <c r="B22" s="39" t="s">
        <v>6</v>
      </c>
      <c r="C22" s="40" t="s">
        <v>7</v>
      </c>
      <c r="D22" s="178" t="s">
        <v>8</v>
      </c>
      <c r="E22" s="42" t="s">
        <v>9</v>
      </c>
      <c r="F22" s="42" t="s">
        <v>10</v>
      </c>
      <c r="G22" s="42" t="s">
        <v>11</v>
      </c>
      <c r="H22" s="42" t="s">
        <v>12</v>
      </c>
      <c r="I22" s="42" t="s">
        <v>13</v>
      </c>
      <c r="J22" s="42" t="s">
        <v>14</v>
      </c>
      <c r="K22" s="42" t="s">
        <v>15</v>
      </c>
      <c r="L22" s="42" t="s">
        <v>16</v>
      </c>
      <c r="M22" s="42" t="s">
        <v>17</v>
      </c>
      <c r="N22" s="42" t="s">
        <v>18</v>
      </c>
      <c r="O22" s="42"/>
      <c r="P22" s="42"/>
      <c r="Q22" s="42"/>
      <c r="R22" s="42"/>
      <c r="S22" s="42"/>
      <c r="T22" s="42">
        <v>15000</v>
      </c>
      <c r="U22" s="42">
        <v>30000</v>
      </c>
      <c r="V22" s="42">
        <v>45000</v>
      </c>
      <c r="W22" s="42">
        <v>60000</v>
      </c>
      <c r="X22" s="42">
        <v>75000</v>
      </c>
      <c r="Y22" s="42">
        <v>90000</v>
      </c>
      <c r="Z22" s="42">
        <v>105000</v>
      </c>
      <c r="AA22" s="42">
        <v>120000</v>
      </c>
      <c r="AB22" s="42">
        <v>135000</v>
      </c>
      <c r="AC22" s="42">
        <v>150000</v>
      </c>
    </row>
    <row r="23" spans="1:30" ht="15" customHeight="1" x14ac:dyDescent="0.4">
      <c r="A23" s="46">
        <v>1</v>
      </c>
      <c r="B23" s="47" t="s">
        <v>158</v>
      </c>
      <c r="C23" s="179" t="s">
        <v>307</v>
      </c>
      <c r="D23" s="49">
        <f>VLOOKUP(C23,'[1]PREÇO ATUAL'!$A:$D,4,0)</f>
        <v>182.87</v>
      </c>
      <c r="E23" s="50">
        <v>1</v>
      </c>
      <c r="F23" s="50">
        <v>1</v>
      </c>
      <c r="G23" s="50">
        <v>1</v>
      </c>
      <c r="H23" s="50">
        <v>1</v>
      </c>
      <c r="I23" s="50">
        <v>1</v>
      </c>
      <c r="J23" s="50">
        <v>1</v>
      </c>
      <c r="K23" s="50">
        <v>1</v>
      </c>
      <c r="L23" s="50">
        <v>1</v>
      </c>
      <c r="M23" s="50">
        <v>1</v>
      </c>
      <c r="N23" s="50">
        <v>1</v>
      </c>
      <c r="O23" s="50"/>
      <c r="P23" s="50"/>
      <c r="Q23" s="50"/>
      <c r="R23" s="50"/>
      <c r="S23" s="50"/>
      <c r="T23" s="52">
        <f t="shared" ref="T23:AC23" si="13">$D$23*E23</f>
        <v>182.87</v>
      </c>
      <c r="U23" s="52">
        <f t="shared" si="13"/>
        <v>182.87</v>
      </c>
      <c r="V23" s="52">
        <f t="shared" si="13"/>
        <v>182.87</v>
      </c>
      <c r="W23" s="52">
        <f t="shared" si="13"/>
        <v>182.87</v>
      </c>
      <c r="X23" s="52">
        <f t="shared" si="13"/>
        <v>182.87</v>
      </c>
      <c r="Y23" s="52">
        <f t="shared" si="13"/>
        <v>182.87</v>
      </c>
      <c r="Z23" s="52">
        <f t="shared" si="13"/>
        <v>182.87</v>
      </c>
      <c r="AA23" s="52">
        <f t="shared" si="13"/>
        <v>182.87</v>
      </c>
      <c r="AB23" s="52">
        <f t="shared" si="13"/>
        <v>182.87</v>
      </c>
      <c r="AC23" s="52">
        <f t="shared" si="13"/>
        <v>182.87</v>
      </c>
    </row>
    <row r="24" spans="1:30" ht="15" customHeight="1" x14ac:dyDescent="0.4">
      <c r="A24" s="54">
        <v>2</v>
      </c>
      <c r="B24" s="55" t="s">
        <v>30</v>
      </c>
      <c r="C24" s="180" t="s">
        <v>308</v>
      </c>
      <c r="D24" s="57">
        <f>VLOOKUP(C24,'[1]PREÇO ATUAL'!$A:$D,4,0)</f>
        <v>489</v>
      </c>
      <c r="E24" s="58">
        <v>1</v>
      </c>
      <c r="F24" s="58">
        <v>1</v>
      </c>
      <c r="G24" s="58">
        <v>1</v>
      </c>
      <c r="H24" s="58">
        <v>1</v>
      </c>
      <c r="I24" s="58">
        <v>1</v>
      </c>
      <c r="J24" s="58">
        <v>1</v>
      </c>
      <c r="K24" s="58">
        <v>1</v>
      </c>
      <c r="L24" s="58">
        <v>1</v>
      </c>
      <c r="M24" s="58">
        <v>1</v>
      </c>
      <c r="N24" s="58">
        <v>1</v>
      </c>
      <c r="O24" s="58"/>
      <c r="P24" s="58"/>
      <c r="Q24" s="58"/>
      <c r="R24" s="58"/>
      <c r="S24" s="58"/>
      <c r="T24" s="60">
        <f t="shared" ref="T24:AC24" si="14">$D$24*E24</f>
        <v>489</v>
      </c>
      <c r="U24" s="60">
        <f t="shared" si="14"/>
        <v>489</v>
      </c>
      <c r="V24" s="60">
        <f t="shared" si="14"/>
        <v>489</v>
      </c>
      <c r="W24" s="60">
        <f t="shared" si="14"/>
        <v>489</v>
      </c>
      <c r="X24" s="60">
        <f t="shared" si="14"/>
        <v>489</v>
      </c>
      <c r="Y24" s="60">
        <f t="shared" si="14"/>
        <v>489</v>
      </c>
      <c r="Z24" s="60">
        <f t="shared" si="14"/>
        <v>489</v>
      </c>
      <c r="AA24" s="60">
        <f t="shared" si="14"/>
        <v>489</v>
      </c>
      <c r="AB24" s="60">
        <f t="shared" si="14"/>
        <v>489</v>
      </c>
      <c r="AC24" s="60">
        <f t="shared" si="14"/>
        <v>489</v>
      </c>
    </row>
    <row r="25" spans="1:30" ht="15" customHeight="1" x14ac:dyDescent="0.4">
      <c r="A25" s="46">
        <v>3</v>
      </c>
      <c r="B25" s="47" t="s">
        <v>160</v>
      </c>
      <c r="C25" s="179" t="s">
        <v>291</v>
      </c>
      <c r="D25" s="49">
        <f>VLOOKUP(C25,'[1]PREÇO ATUAL'!$A:$D,4,0)</f>
        <v>267.12</v>
      </c>
      <c r="E25" s="50">
        <v>1</v>
      </c>
      <c r="F25" s="50">
        <v>1</v>
      </c>
      <c r="G25" s="50">
        <v>1</v>
      </c>
      <c r="H25" s="50">
        <v>1</v>
      </c>
      <c r="I25" s="50">
        <v>1</v>
      </c>
      <c r="J25" s="50">
        <v>1</v>
      </c>
      <c r="K25" s="50">
        <v>1</v>
      </c>
      <c r="L25" s="50">
        <v>1</v>
      </c>
      <c r="M25" s="50">
        <v>1</v>
      </c>
      <c r="N25" s="50">
        <v>1</v>
      </c>
      <c r="O25" s="50"/>
      <c r="P25" s="50"/>
      <c r="Q25" s="50"/>
      <c r="R25" s="50"/>
      <c r="S25" s="50"/>
      <c r="T25" s="52">
        <f>D25*E25</f>
        <v>267.12</v>
      </c>
      <c r="U25" s="52">
        <f t="shared" ref="U25:AC25" si="15">$D$25*F25</f>
        <v>267.12</v>
      </c>
      <c r="V25" s="52">
        <f t="shared" si="15"/>
        <v>267.12</v>
      </c>
      <c r="W25" s="52">
        <f t="shared" si="15"/>
        <v>267.12</v>
      </c>
      <c r="X25" s="52">
        <f t="shared" si="15"/>
        <v>267.12</v>
      </c>
      <c r="Y25" s="52">
        <f t="shared" si="15"/>
        <v>267.12</v>
      </c>
      <c r="Z25" s="52">
        <f t="shared" si="15"/>
        <v>267.12</v>
      </c>
      <c r="AA25" s="52">
        <f t="shared" si="15"/>
        <v>267.12</v>
      </c>
      <c r="AB25" s="52">
        <f t="shared" si="15"/>
        <v>267.12</v>
      </c>
      <c r="AC25" s="52">
        <f t="shared" si="15"/>
        <v>267.12</v>
      </c>
    </row>
    <row r="26" spans="1:30" ht="15" customHeight="1" x14ac:dyDescent="0.4">
      <c r="A26" s="54">
        <v>4</v>
      </c>
      <c r="B26" s="55" t="s">
        <v>309</v>
      </c>
      <c r="C26" s="180" t="s">
        <v>310</v>
      </c>
      <c r="D26" s="57">
        <f>VLOOKUP(C26,'[1]PREÇO ATUAL'!$A:$D,4,0)</f>
        <v>220.39</v>
      </c>
      <c r="E26" s="58"/>
      <c r="F26" s="58"/>
      <c r="G26" s="58"/>
      <c r="H26" s="58"/>
      <c r="I26" s="58">
        <v>1</v>
      </c>
      <c r="J26" s="58"/>
      <c r="K26" s="58"/>
      <c r="L26" s="181">
        <v>1</v>
      </c>
      <c r="M26" s="181"/>
      <c r="N26" s="181"/>
      <c r="O26" s="181"/>
      <c r="P26" s="181"/>
      <c r="Q26" s="181"/>
      <c r="R26" s="181"/>
      <c r="S26" s="181"/>
      <c r="T26" s="60">
        <f>D26*E26</f>
        <v>0</v>
      </c>
      <c r="U26" s="60">
        <f t="shared" ref="U26:AC26" si="16">$D$26*F26</f>
        <v>0</v>
      </c>
      <c r="V26" s="60">
        <f t="shared" si="16"/>
        <v>0</v>
      </c>
      <c r="W26" s="60">
        <f t="shared" si="16"/>
        <v>0</v>
      </c>
      <c r="X26" s="60">
        <f t="shared" si="16"/>
        <v>220.39</v>
      </c>
      <c r="Y26" s="60">
        <f t="shared" si="16"/>
        <v>0</v>
      </c>
      <c r="Z26" s="60">
        <f t="shared" si="16"/>
        <v>0</v>
      </c>
      <c r="AA26" s="60">
        <f t="shared" si="16"/>
        <v>220.39</v>
      </c>
      <c r="AB26" s="60">
        <f t="shared" si="16"/>
        <v>0</v>
      </c>
      <c r="AC26" s="60">
        <f t="shared" si="16"/>
        <v>0</v>
      </c>
    </row>
    <row r="27" spans="1:30" ht="15" customHeight="1" x14ac:dyDescent="0.4">
      <c r="A27" s="46">
        <v>5</v>
      </c>
      <c r="B27" s="47" t="s">
        <v>36</v>
      </c>
      <c r="C27" s="179" t="s">
        <v>311</v>
      </c>
      <c r="D27" s="49">
        <f>VLOOKUP(C27,'[1]PREÇO ATUAL'!$A:$D,4,0)</f>
        <v>663.26</v>
      </c>
      <c r="E27" s="50"/>
      <c r="F27" s="50"/>
      <c r="G27" s="50"/>
      <c r="H27" s="50"/>
      <c r="I27" s="50">
        <v>1</v>
      </c>
      <c r="J27" s="50"/>
      <c r="K27" s="50"/>
      <c r="L27" s="182">
        <v>1</v>
      </c>
      <c r="M27" s="182"/>
      <c r="N27" s="182"/>
      <c r="O27" s="182"/>
      <c r="P27" s="182"/>
      <c r="Q27" s="182"/>
      <c r="R27" s="182"/>
      <c r="S27" s="182"/>
      <c r="T27" s="52">
        <f>D27*E27</f>
        <v>0</v>
      </c>
      <c r="U27" s="52">
        <f t="shared" ref="U27:AC27" si="17">$D$27*F27</f>
        <v>0</v>
      </c>
      <c r="V27" s="52">
        <f t="shared" si="17"/>
        <v>0</v>
      </c>
      <c r="W27" s="52">
        <f t="shared" si="17"/>
        <v>0</v>
      </c>
      <c r="X27" s="52">
        <f t="shared" si="17"/>
        <v>663.26</v>
      </c>
      <c r="Y27" s="52">
        <f t="shared" si="17"/>
        <v>0</v>
      </c>
      <c r="Z27" s="52">
        <f t="shared" si="17"/>
        <v>0</v>
      </c>
      <c r="AA27" s="52">
        <f t="shared" si="17"/>
        <v>663.26</v>
      </c>
      <c r="AB27" s="52">
        <f t="shared" si="17"/>
        <v>0</v>
      </c>
      <c r="AC27" s="52">
        <f t="shared" si="17"/>
        <v>0</v>
      </c>
    </row>
    <row r="28" spans="1:30" ht="15" customHeight="1" x14ac:dyDescent="0.4">
      <c r="A28" s="54">
        <v>6</v>
      </c>
      <c r="B28" s="55" t="s">
        <v>239</v>
      </c>
      <c r="C28" s="180" t="s">
        <v>240</v>
      </c>
      <c r="D28" s="57">
        <f>VLOOKUP(C28,'[1]PREÇO ATUAL'!$A:$D,4,0)</f>
        <v>45.09</v>
      </c>
      <c r="E28" s="105"/>
      <c r="F28" s="105"/>
      <c r="G28" s="105"/>
      <c r="H28" s="58"/>
      <c r="I28" s="105"/>
      <c r="J28" s="105"/>
      <c r="K28" s="58"/>
      <c r="L28" s="181"/>
      <c r="M28" s="181"/>
      <c r="N28" s="181"/>
      <c r="O28" s="181"/>
      <c r="P28" s="181"/>
      <c r="Q28" s="181"/>
      <c r="R28" s="181"/>
      <c r="S28" s="181"/>
      <c r="T28" s="60">
        <f>D28*E28</f>
        <v>0</v>
      </c>
      <c r="U28" s="60">
        <f t="shared" ref="U28:AC28" si="18">$D$28*F28</f>
        <v>0</v>
      </c>
      <c r="V28" s="60">
        <f t="shared" si="18"/>
        <v>0</v>
      </c>
      <c r="W28" s="60">
        <f t="shared" si="18"/>
        <v>0</v>
      </c>
      <c r="X28" s="60">
        <f t="shared" si="18"/>
        <v>0</v>
      </c>
      <c r="Y28" s="60">
        <f t="shared" si="18"/>
        <v>0</v>
      </c>
      <c r="Z28" s="60">
        <f t="shared" si="18"/>
        <v>0</v>
      </c>
      <c r="AA28" s="60">
        <f t="shared" si="18"/>
        <v>0</v>
      </c>
      <c r="AB28" s="60">
        <f t="shared" si="18"/>
        <v>0</v>
      </c>
      <c r="AC28" s="60">
        <f t="shared" si="18"/>
        <v>0</v>
      </c>
    </row>
    <row r="29" spans="1:30" ht="15" customHeight="1" x14ac:dyDescent="0.4">
      <c r="A29" s="46">
        <v>7</v>
      </c>
      <c r="B29" s="47" t="s">
        <v>312</v>
      </c>
      <c r="C29" s="179" t="s">
        <v>313</v>
      </c>
      <c r="D29" s="49">
        <f>VLOOKUP(C29,'[1]PREÇO ATUAL'!$A:$D,4,0)</f>
        <v>70.485799999999998</v>
      </c>
      <c r="E29" s="92">
        <v>5.6</v>
      </c>
      <c r="F29" s="92">
        <v>5.6</v>
      </c>
      <c r="G29" s="92">
        <v>5.6</v>
      </c>
      <c r="H29" s="92">
        <v>5.6</v>
      </c>
      <c r="I29" s="92">
        <v>5.6</v>
      </c>
      <c r="J29" s="92">
        <v>5.6</v>
      </c>
      <c r="K29" s="92">
        <v>5.6</v>
      </c>
      <c r="L29" s="183">
        <v>5.6</v>
      </c>
      <c r="M29" s="183">
        <v>5.6</v>
      </c>
      <c r="N29" s="183">
        <v>5.6</v>
      </c>
      <c r="O29" s="183"/>
      <c r="P29" s="183"/>
      <c r="Q29" s="183"/>
      <c r="R29" s="183"/>
      <c r="S29" s="183"/>
      <c r="T29" s="52">
        <f>D29*E29</f>
        <v>394.72047999999995</v>
      </c>
      <c r="U29" s="52">
        <f t="shared" ref="U29:AC29" si="19">$D$29*F29</f>
        <v>394.72047999999995</v>
      </c>
      <c r="V29" s="52">
        <f t="shared" si="19"/>
        <v>394.72047999999995</v>
      </c>
      <c r="W29" s="52">
        <f t="shared" si="19"/>
        <v>394.72047999999995</v>
      </c>
      <c r="X29" s="52">
        <f t="shared" si="19"/>
        <v>394.72047999999995</v>
      </c>
      <c r="Y29" s="52">
        <f t="shared" si="19"/>
        <v>394.72047999999995</v>
      </c>
      <c r="Z29" s="52">
        <f t="shared" si="19"/>
        <v>394.72047999999995</v>
      </c>
      <c r="AA29" s="52">
        <f t="shared" si="19"/>
        <v>394.72047999999995</v>
      </c>
      <c r="AB29" s="52">
        <f t="shared" si="19"/>
        <v>394.72047999999995</v>
      </c>
      <c r="AC29" s="52">
        <f t="shared" si="19"/>
        <v>394.72047999999995</v>
      </c>
    </row>
    <row r="30" spans="1:30" ht="15" customHeight="1" x14ac:dyDescent="0.4">
      <c r="A30" s="54">
        <v>8</v>
      </c>
      <c r="B30" s="55" t="s">
        <v>128</v>
      </c>
      <c r="C30" s="180" t="s">
        <v>54</v>
      </c>
      <c r="D30" s="57" t="e">
        <f>VLOOKUP(C30,'[1]PREÇO ATUAL'!$A:$D,4,0)</f>
        <v>#N/A</v>
      </c>
      <c r="E30" s="64">
        <v>0.75</v>
      </c>
      <c r="F30" s="64">
        <v>0.75</v>
      </c>
      <c r="G30" s="64">
        <v>2.5</v>
      </c>
      <c r="H30" s="64">
        <v>1.85</v>
      </c>
      <c r="I30" s="64">
        <v>3.5</v>
      </c>
      <c r="J30" s="64">
        <v>2.5</v>
      </c>
      <c r="K30" s="64">
        <v>2.25</v>
      </c>
      <c r="L30" s="184">
        <v>3.1</v>
      </c>
      <c r="M30" s="184">
        <v>2.25</v>
      </c>
      <c r="N30" s="184">
        <v>3.5</v>
      </c>
      <c r="O30" s="184"/>
      <c r="P30" s="184"/>
      <c r="Q30" s="184"/>
      <c r="R30" s="184"/>
      <c r="S30" s="184"/>
      <c r="T30" s="60">
        <v>0</v>
      </c>
      <c r="U30" s="60" t="e">
        <f t="shared" ref="U30:AC30" si="20">$D$30*F30</f>
        <v>#N/A</v>
      </c>
      <c r="V30" s="60" t="e">
        <f t="shared" si="20"/>
        <v>#N/A</v>
      </c>
      <c r="W30" s="60" t="e">
        <f t="shared" si="20"/>
        <v>#N/A</v>
      </c>
      <c r="X30" s="60" t="e">
        <f t="shared" si="20"/>
        <v>#N/A</v>
      </c>
      <c r="Y30" s="60" t="e">
        <f t="shared" si="20"/>
        <v>#N/A</v>
      </c>
      <c r="Z30" s="60" t="e">
        <f t="shared" si="20"/>
        <v>#N/A</v>
      </c>
      <c r="AA30" s="60" t="e">
        <f t="shared" si="20"/>
        <v>#N/A</v>
      </c>
      <c r="AB30" s="60" t="e">
        <f t="shared" si="20"/>
        <v>#N/A</v>
      </c>
      <c r="AC30" s="60" t="e">
        <f t="shared" si="20"/>
        <v>#N/A</v>
      </c>
    </row>
    <row r="31" spans="1:30" ht="15" customHeight="1" x14ac:dyDescent="0.4">
      <c r="H31" s="65"/>
      <c r="L31" s="65"/>
    </row>
    <row r="32" spans="1:30" ht="15" customHeight="1" x14ac:dyDescent="0.4">
      <c r="A32" t="s">
        <v>314</v>
      </c>
      <c r="B32" t="s">
        <v>315</v>
      </c>
    </row>
    <row r="33" spans="1:34" ht="15.75" customHeight="1" x14ac:dyDescent="0.4"/>
    <row r="34" spans="1:34" ht="15.75" customHeight="1" x14ac:dyDescent="0.4"/>
    <row r="35" spans="1:34" ht="15" customHeight="1" x14ac:dyDescent="0.4">
      <c r="A35" s="210" t="s">
        <v>316</v>
      </c>
      <c r="B35" s="211"/>
      <c r="C35" s="211"/>
      <c r="D35" s="212"/>
      <c r="E35" s="218" t="s">
        <v>1</v>
      </c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6" t="s">
        <v>2</v>
      </c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</row>
    <row r="36" spans="1:34" ht="15" customHeight="1" x14ac:dyDescent="0.4">
      <c r="A36" s="213"/>
      <c r="B36" s="214"/>
      <c r="C36" s="214"/>
      <c r="D36" s="215"/>
      <c r="E36" s="35"/>
      <c r="F36" s="36"/>
      <c r="G36" s="36"/>
      <c r="H36" s="36"/>
      <c r="I36" s="36"/>
      <c r="J36" s="36"/>
      <c r="K36" s="36"/>
      <c r="L36" s="36"/>
      <c r="M36" s="36"/>
      <c r="N36" s="185"/>
      <c r="O36" s="36"/>
      <c r="P36" s="36"/>
      <c r="Q36" s="36"/>
      <c r="R36" s="36"/>
      <c r="S36" s="36"/>
      <c r="T36" s="37">
        <f t="shared" ref="T36:AH36" si="21">MROUND(SUM(T38:T45),1)</f>
        <v>1559</v>
      </c>
      <c r="U36" s="37">
        <f t="shared" si="21"/>
        <v>2926</v>
      </c>
      <c r="V36" s="37">
        <f t="shared" si="21"/>
        <v>1985</v>
      </c>
      <c r="W36" s="37">
        <f t="shared" si="21"/>
        <v>2926</v>
      </c>
      <c r="X36" s="37">
        <f t="shared" si="21"/>
        <v>1559</v>
      </c>
      <c r="Y36" s="37">
        <f t="shared" si="21"/>
        <v>5321</v>
      </c>
      <c r="Z36" s="37">
        <f t="shared" si="21"/>
        <v>1559</v>
      </c>
      <c r="AA36" s="37">
        <f t="shared" si="21"/>
        <v>2926</v>
      </c>
      <c r="AB36" s="37">
        <f t="shared" si="21"/>
        <v>1985</v>
      </c>
      <c r="AC36" s="37">
        <f t="shared" si="21"/>
        <v>2926</v>
      </c>
      <c r="AD36" s="37">
        <f t="shared" si="21"/>
        <v>1559</v>
      </c>
      <c r="AE36" s="37">
        <f t="shared" si="21"/>
        <v>5321</v>
      </c>
      <c r="AF36" s="37">
        <f t="shared" si="21"/>
        <v>1559</v>
      </c>
      <c r="AG36" s="37">
        <f t="shared" si="21"/>
        <v>2926</v>
      </c>
      <c r="AH36" s="37">
        <f t="shared" si="21"/>
        <v>1985</v>
      </c>
    </row>
    <row r="37" spans="1:34" ht="15" customHeight="1" x14ac:dyDescent="0.4">
      <c r="A37" s="39" t="s">
        <v>5</v>
      </c>
      <c r="B37" s="39" t="s">
        <v>6</v>
      </c>
      <c r="C37" s="40" t="s">
        <v>7</v>
      </c>
      <c r="D37" s="178" t="s">
        <v>8</v>
      </c>
      <c r="E37" s="42" t="s">
        <v>9</v>
      </c>
      <c r="F37" s="42" t="s">
        <v>10</v>
      </c>
      <c r="G37" s="42" t="s">
        <v>11</v>
      </c>
      <c r="H37" s="42" t="s">
        <v>12</v>
      </c>
      <c r="I37" s="42" t="s">
        <v>13</v>
      </c>
      <c r="J37" s="42" t="s">
        <v>14</v>
      </c>
      <c r="K37" s="42" t="s">
        <v>15</v>
      </c>
      <c r="L37" s="42" t="s">
        <v>16</v>
      </c>
      <c r="M37" s="42" t="s">
        <v>17</v>
      </c>
      <c r="N37" s="42" t="s">
        <v>18</v>
      </c>
      <c r="O37" s="42" t="s">
        <v>19</v>
      </c>
      <c r="P37" s="42" t="s">
        <v>20</v>
      </c>
      <c r="Q37" s="42" t="s">
        <v>21</v>
      </c>
      <c r="R37" s="42" t="s">
        <v>22</v>
      </c>
      <c r="S37" s="42" t="s">
        <v>23</v>
      </c>
      <c r="T37" s="42">
        <v>20000</v>
      </c>
      <c r="U37" s="42">
        <v>40000</v>
      </c>
      <c r="V37" s="42">
        <v>60000</v>
      </c>
      <c r="W37" s="42">
        <v>80000</v>
      </c>
      <c r="X37" s="42">
        <v>100000</v>
      </c>
      <c r="Y37" s="42">
        <v>120000</v>
      </c>
      <c r="Z37" s="42">
        <v>140000</v>
      </c>
      <c r="AA37" s="42">
        <v>1600000</v>
      </c>
      <c r="AB37" s="42">
        <v>180000</v>
      </c>
      <c r="AC37" s="42">
        <v>200000</v>
      </c>
      <c r="AD37" s="42">
        <f>AC37+20000</f>
        <v>220000</v>
      </c>
      <c r="AE37" s="42">
        <f>AD37+20000</f>
        <v>240000</v>
      </c>
      <c r="AF37" s="42">
        <f>AE37+20000</f>
        <v>260000</v>
      </c>
      <c r="AG37" s="42">
        <f>AF37+20000</f>
        <v>280000</v>
      </c>
      <c r="AH37" s="42">
        <f>AG37+20000</f>
        <v>300000</v>
      </c>
    </row>
    <row r="38" spans="1:34" ht="15" customHeight="1" x14ac:dyDescent="0.4">
      <c r="A38" s="46">
        <v>1</v>
      </c>
      <c r="B38" s="47" t="s">
        <v>130</v>
      </c>
      <c r="C38" s="179" t="s">
        <v>57</v>
      </c>
      <c r="D38" s="49">
        <f>VLOOKUP(C38,'[1]PREÇO ATUAL'!$A:$D,4,0)</f>
        <v>110.2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J38" s="50">
        <v>1</v>
      </c>
      <c r="K38" s="50">
        <v>1</v>
      </c>
      <c r="L38" s="50">
        <v>1</v>
      </c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  <c r="S38" s="50">
        <v>1</v>
      </c>
      <c r="T38" s="52">
        <f t="shared" ref="T38:AH45" si="22">$D38*E38</f>
        <v>110.2</v>
      </c>
      <c r="U38" s="52">
        <f t="shared" si="22"/>
        <v>110.2</v>
      </c>
      <c r="V38" s="52">
        <f t="shared" si="22"/>
        <v>110.2</v>
      </c>
      <c r="W38" s="52">
        <f t="shared" si="22"/>
        <v>110.2</v>
      </c>
      <c r="X38" s="52">
        <f t="shared" si="22"/>
        <v>110.2</v>
      </c>
      <c r="Y38" s="52">
        <f t="shared" si="22"/>
        <v>110.2</v>
      </c>
      <c r="Z38" s="52">
        <f t="shared" si="22"/>
        <v>110.2</v>
      </c>
      <c r="AA38" s="52">
        <f t="shared" si="22"/>
        <v>110.2</v>
      </c>
      <c r="AB38" s="52">
        <f t="shared" si="22"/>
        <v>110.2</v>
      </c>
      <c r="AC38" s="52">
        <f t="shared" si="22"/>
        <v>110.2</v>
      </c>
      <c r="AD38" s="52">
        <f t="shared" si="22"/>
        <v>110.2</v>
      </c>
      <c r="AE38" s="52">
        <f t="shared" si="22"/>
        <v>110.2</v>
      </c>
      <c r="AF38" s="52">
        <f t="shared" si="22"/>
        <v>110.2</v>
      </c>
      <c r="AG38" s="52">
        <f t="shared" si="22"/>
        <v>110.2</v>
      </c>
      <c r="AH38" s="52">
        <f t="shared" si="22"/>
        <v>110.2</v>
      </c>
    </row>
    <row r="39" spans="1:34" ht="15" customHeight="1" x14ac:dyDescent="0.4">
      <c r="A39" s="54">
        <v>2</v>
      </c>
      <c r="B39" s="55" t="s">
        <v>58</v>
      </c>
      <c r="C39" s="180" t="s">
        <v>308</v>
      </c>
      <c r="D39" s="57">
        <f>VLOOKUP(C39,'[1]PREÇO ATUAL'!$A:$D,4,0)</f>
        <v>489</v>
      </c>
      <c r="E39" s="58">
        <v>1</v>
      </c>
      <c r="F39" s="58">
        <v>1</v>
      </c>
      <c r="G39" s="58">
        <v>1</v>
      </c>
      <c r="H39" s="58">
        <v>1</v>
      </c>
      <c r="I39" s="58">
        <v>1</v>
      </c>
      <c r="J39" s="58">
        <v>1</v>
      </c>
      <c r="K39" s="58">
        <v>1</v>
      </c>
      <c r="L39" s="58">
        <v>1</v>
      </c>
      <c r="M39" s="58">
        <v>1</v>
      </c>
      <c r="N39" s="58">
        <v>1</v>
      </c>
      <c r="O39" s="58">
        <v>1</v>
      </c>
      <c r="P39" s="58">
        <v>1</v>
      </c>
      <c r="Q39" s="58">
        <v>1</v>
      </c>
      <c r="R39" s="58">
        <v>1</v>
      </c>
      <c r="S39" s="58">
        <v>1</v>
      </c>
      <c r="T39" s="60">
        <f t="shared" si="22"/>
        <v>489</v>
      </c>
      <c r="U39" s="60">
        <f t="shared" si="22"/>
        <v>489</v>
      </c>
      <c r="V39" s="60">
        <f t="shared" si="22"/>
        <v>489</v>
      </c>
      <c r="W39" s="60">
        <f t="shared" si="22"/>
        <v>489</v>
      </c>
      <c r="X39" s="60">
        <f t="shared" si="22"/>
        <v>489</v>
      </c>
      <c r="Y39" s="60">
        <f t="shared" si="22"/>
        <v>489</v>
      </c>
      <c r="Z39" s="60">
        <f t="shared" si="22"/>
        <v>489</v>
      </c>
      <c r="AA39" s="60">
        <f t="shared" si="22"/>
        <v>489</v>
      </c>
      <c r="AB39" s="60">
        <f t="shared" si="22"/>
        <v>489</v>
      </c>
      <c r="AC39" s="60">
        <f t="shared" si="22"/>
        <v>489</v>
      </c>
      <c r="AD39" s="60">
        <f t="shared" si="22"/>
        <v>489</v>
      </c>
      <c r="AE39" s="60">
        <f t="shared" si="22"/>
        <v>489</v>
      </c>
      <c r="AF39" s="60">
        <f t="shared" si="22"/>
        <v>489</v>
      </c>
      <c r="AG39" s="60">
        <f t="shared" si="22"/>
        <v>489</v>
      </c>
      <c r="AH39" s="60">
        <f t="shared" si="22"/>
        <v>489</v>
      </c>
    </row>
    <row r="40" spans="1:34" ht="15" customHeight="1" x14ac:dyDescent="0.4">
      <c r="A40" s="46">
        <v>3</v>
      </c>
      <c r="B40" s="47" t="s">
        <v>317</v>
      </c>
      <c r="C40" s="179" t="s">
        <v>318</v>
      </c>
      <c r="D40" s="76">
        <f>VLOOKUP(C40,'[1]PREÇO ATUAL'!$A:$D,4,0)</f>
        <v>668.44</v>
      </c>
      <c r="E40" s="50"/>
      <c r="F40" s="50">
        <v>1</v>
      </c>
      <c r="G40" s="50"/>
      <c r="H40" s="50">
        <v>1</v>
      </c>
      <c r="I40" s="50"/>
      <c r="J40" s="50">
        <v>1</v>
      </c>
      <c r="K40" s="50"/>
      <c r="L40" s="50">
        <v>1</v>
      </c>
      <c r="M40" s="50"/>
      <c r="N40" s="50">
        <v>1</v>
      </c>
      <c r="O40" s="50"/>
      <c r="P40" s="50">
        <v>1</v>
      </c>
      <c r="Q40" s="50"/>
      <c r="R40" s="50">
        <v>1</v>
      </c>
      <c r="S40" s="50"/>
      <c r="T40" s="52">
        <f t="shared" si="22"/>
        <v>0</v>
      </c>
      <c r="U40" s="52">
        <f t="shared" si="22"/>
        <v>668.44</v>
      </c>
      <c r="V40" s="52">
        <f t="shared" si="22"/>
        <v>0</v>
      </c>
      <c r="W40" s="52">
        <f t="shared" si="22"/>
        <v>668.44</v>
      </c>
      <c r="X40" s="52">
        <f t="shared" si="22"/>
        <v>0</v>
      </c>
      <c r="Y40" s="52">
        <f t="shared" si="22"/>
        <v>668.44</v>
      </c>
      <c r="Z40" s="52">
        <f t="shared" si="22"/>
        <v>0</v>
      </c>
      <c r="AA40" s="52">
        <f t="shared" si="22"/>
        <v>668.44</v>
      </c>
      <c r="AB40" s="52">
        <f t="shared" si="22"/>
        <v>0</v>
      </c>
      <c r="AC40" s="52">
        <f t="shared" si="22"/>
        <v>668.44</v>
      </c>
      <c r="AD40" s="52">
        <f t="shared" si="22"/>
        <v>0</v>
      </c>
      <c r="AE40" s="52">
        <f t="shared" si="22"/>
        <v>668.44</v>
      </c>
      <c r="AF40" s="52">
        <f t="shared" si="22"/>
        <v>0</v>
      </c>
      <c r="AG40" s="52">
        <f t="shared" si="22"/>
        <v>668.44</v>
      </c>
      <c r="AH40" s="52">
        <f t="shared" si="22"/>
        <v>0</v>
      </c>
    </row>
    <row r="41" spans="1:34" ht="23.25" customHeight="1" x14ac:dyDescent="0.4">
      <c r="A41" s="54">
        <v>4</v>
      </c>
      <c r="B41" s="67" t="s">
        <v>134</v>
      </c>
      <c r="C41" s="180" t="s">
        <v>63</v>
      </c>
      <c r="D41" s="57">
        <f>VLOOKUP(C41,'[1]PREÇO ATUAL'!$A:$D,4,0)</f>
        <v>289</v>
      </c>
      <c r="E41" s="58"/>
      <c r="F41" s="58"/>
      <c r="G41" s="58">
        <v>1</v>
      </c>
      <c r="H41" s="58"/>
      <c r="I41" s="58"/>
      <c r="J41" s="58">
        <v>1</v>
      </c>
      <c r="K41" s="58"/>
      <c r="L41" s="181"/>
      <c r="M41" s="181">
        <v>1</v>
      </c>
      <c r="N41" s="181"/>
      <c r="O41" s="181"/>
      <c r="P41" s="181">
        <v>1</v>
      </c>
      <c r="Q41" s="181"/>
      <c r="R41" s="181"/>
      <c r="S41" s="181">
        <v>1</v>
      </c>
      <c r="T41" s="60">
        <f t="shared" si="22"/>
        <v>0</v>
      </c>
      <c r="U41" s="60">
        <f t="shared" si="22"/>
        <v>0</v>
      </c>
      <c r="V41" s="60">
        <f t="shared" si="22"/>
        <v>289</v>
      </c>
      <c r="W41" s="60">
        <f t="shared" si="22"/>
        <v>0</v>
      </c>
      <c r="X41" s="60">
        <f t="shared" si="22"/>
        <v>0</v>
      </c>
      <c r="Y41" s="60">
        <f t="shared" si="22"/>
        <v>289</v>
      </c>
      <c r="Z41" s="60">
        <f t="shared" si="22"/>
        <v>0</v>
      </c>
      <c r="AA41" s="60">
        <f t="shared" si="22"/>
        <v>0</v>
      </c>
      <c r="AB41" s="60">
        <f t="shared" si="22"/>
        <v>289</v>
      </c>
      <c r="AC41" s="60">
        <f t="shared" si="22"/>
        <v>0</v>
      </c>
      <c r="AD41" s="60">
        <f t="shared" si="22"/>
        <v>0</v>
      </c>
      <c r="AE41" s="60">
        <f t="shared" si="22"/>
        <v>289</v>
      </c>
      <c r="AF41" s="60">
        <f t="shared" si="22"/>
        <v>0</v>
      </c>
      <c r="AG41" s="60">
        <f t="shared" si="22"/>
        <v>0</v>
      </c>
      <c r="AH41" s="60">
        <f t="shared" si="22"/>
        <v>289</v>
      </c>
    </row>
    <row r="42" spans="1:34" ht="23.25" customHeight="1" x14ac:dyDescent="0.4">
      <c r="A42" s="46">
        <v>5</v>
      </c>
      <c r="B42" s="66" t="s">
        <v>285</v>
      </c>
      <c r="C42" s="179" t="s">
        <v>65</v>
      </c>
      <c r="D42" s="49">
        <f>VLOOKUP(C42,'[1]PREÇO ATUAL'!$A:$D,4,0)</f>
        <v>567.54999999999995</v>
      </c>
      <c r="E42" s="50"/>
      <c r="F42" s="50"/>
      <c r="G42" s="50"/>
      <c r="H42" s="50"/>
      <c r="I42" s="50"/>
      <c r="J42" s="50">
        <v>1</v>
      </c>
      <c r="K42" s="50"/>
      <c r="L42" s="182"/>
      <c r="M42" s="182"/>
      <c r="N42" s="182"/>
      <c r="O42" s="182"/>
      <c r="P42" s="182">
        <v>1</v>
      </c>
      <c r="Q42" s="182"/>
      <c r="R42" s="182"/>
      <c r="S42" s="182"/>
      <c r="T42" s="52">
        <f t="shared" si="22"/>
        <v>0</v>
      </c>
      <c r="U42" s="52">
        <f t="shared" si="22"/>
        <v>0</v>
      </c>
      <c r="V42" s="52">
        <f t="shared" si="22"/>
        <v>0</v>
      </c>
      <c r="W42" s="52">
        <f t="shared" si="22"/>
        <v>0</v>
      </c>
      <c r="X42" s="52">
        <f t="shared" si="22"/>
        <v>0</v>
      </c>
      <c r="Y42" s="52">
        <f t="shared" si="22"/>
        <v>567.54999999999995</v>
      </c>
      <c r="Z42" s="52">
        <f t="shared" si="22"/>
        <v>0</v>
      </c>
      <c r="AA42" s="52">
        <f t="shared" si="22"/>
        <v>0</v>
      </c>
      <c r="AB42" s="52">
        <f t="shared" si="22"/>
        <v>0</v>
      </c>
      <c r="AC42" s="52">
        <f t="shared" si="22"/>
        <v>0</v>
      </c>
      <c r="AD42" s="52">
        <f t="shared" si="22"/>
        <v>0</v>
      </c>
      <c r="AE42" s="52">
        <f t="shared" si="22"/>
        <v>567.54999999999995</v>
      </c>
      <c r="AF42" s="52">
        <f t="shared" si="22"/>
        <v>0</v>
      </c>
      <c r="AG42" s="52">
        <f t="shared" si="22"/>
        <v>0</v>
      </c>
      <c r="AH42" s="52">
        <f t="shared" si="22"/>
        <v>0</v>
      </c>
    </row>
    <row r="43" spans="1:34" ht="15" customHeight="1" x14ac:dyDescent="0.4">
      <c r="A43" s="54">
        <v>6</v>
      </c>
      <c r="B43" s="67" t="s">
        <v>319</v>
      </c>
      <c r="C43" s="180" t="s">
        <v>67</v>
      </c>
      <c r="D43" s="57">
        <f>VLOOKUP(C43,'[1]PREÇO ATUAL'!$A:$D,4,0)</f>
        <v>580.29325200000005</v>
      </c>
      <c r="E43" s="105"/>
      <c r="F43" s="73">
        <v>0.85</v>
      </c>
      <c r="G43" s="58"/>
      <c r="H43" s="73">
        <v>0.85</v>
      </c>
      <c r="I43" s="58"/>
      <c r="J43" s="73">
        <v>0.85</v>
      </c>
      <c r="K43" s="58"/>
      <c r="L43" s="73">
        <v>0.85</v>
      </c>
      <c r="M43" s="181"/>
      <c r="N43" s="73">
        <v>0.85</v>
      </c>
      <c r="O43" s="73"/>
      <c r="P43" s="73">
        <v>0.85</v>
      </c>
      <c r="Q43" s="73"/>
      <c r="R43" s="73">
        <v>0.85</v>
      </c>
      <c r="S43" s="73"/>
      <c r="T43" s="60">
        <f t="shared" si="22"/>
        <v>0</v>
      </c>
      <c r="U43" s="60">
        <f t="shared" si="22"/>
        <v>493.24926420000003</v>
      </c>
      <c r="V43" s="60">
        <f t="shared" si="22"/>
        <v>0</v>
      </c>
      <c r="W43" s="60">
        <f t="shared" si="22"/>
        <v>493.24926420000003</v>
      </c>
      <c r="X43" s="60">
        <f t="shared" si="22"/>
        <v>0</v>
      </c>
      <c r="Y43" s="60">
        <f t="shared" si="22"/>
        <v>493.24926420000003</v>
      </c>
      <c r="Z43" s="60">
        <f t="shared" si="22"/>
        <v>0</v>
      </c>
      <c r="AA43" s="60">
        <f t="shared" si="22"/>
        <v>493.24926420000003</v>
      </c>
      <c r="AB43" s="60">
        <f t="shared" si="22"/>
        <v>0</v>
      </c>
      <c r="AC43" s="60">
        <f t="shared" si="22"/>
        <v>493.24926420000003</v>
      </c>
      <c r="AD43" s="60">
        <f t="shared" si="22"/>
        <v>0</v>
      </c>
      <c r="AE43" s="60">
        <f t="shared" si="22"/>
        <v>493.24926420000003</v>
      </c>
      <c r="AF43" s="60">
        <f t="shared" si="22"/>
        <v>0</v>
      </c>
      <c r="AG43" s="60">
        <f t="shared" si="22"/>
        <v>493.24926420000003</v>
      </c>
      <c r="AH43" s="60">
        <f t="shared" si="22"/>
        <v>0</v>
      </c>
    </row>
    <row r="44" spans="1:34" ht="15" customHeight="1" x14ac:dyDescent="0.4">
      <c r="A44" s="46">
        <v>7</v>
      </c>
      <c r="B44" s="47" t="s">
        <v>320</v>
      </c>
      <c r="C44" s="179" t="s">
        <v>71</v>
      </c>
      <c r="D44" s="49">
        <f>VLOOKUP(C44,'[1]PREÇO ATUAL'!$A:$D,4,0)</f>
        <v>91.54</v>
      </c>
      <c r="E44" s="92">
        <v>6</v>
      </c>
      <c r="F44" s="92">
        <v>6</v>
      </c>
      <c r="G44" s="92">
        <v>6</v>
      </c>
      <c r="H44" s="92">
        <v>6</v>
      </c>
      <c r="I44" s="92">
        <v>6</v>
      </c>
      <c r="J44" s="92">
        <v>6</v>
      </c>
      <c r="K44" s="92">
        <v>6</v>
      </c>
      <c r="L44" s="92">
        <v>6</v>
      </c>
      <c r="M44" s="92">
        <v>6</v>
      </c>
      <c r="N44" s="92">
        <v>6</v>
      </c>
      <c r="O44" s="92">
        <v>6</v>
      </c>
      <c r="P44" s="92">
        <v>6</v>
      </c>
      <c r="Q44" s="92">
        <v>6</v>
      </c>
      <c r="R44" s="92">
        <v>6</v>
      </c>
      <c r="S44" s="92">
        <v>6</v>
      </c>
      <c r="T44" s="52">
        <f t="shared" si="22"/>
        <v>549.24</v>
      </c>
      <c r="U44" s="52">
        <f t="shared" si="22"/>
        <v>549.24</v>
      </c>
      <c r="V44" s="52">
        <f t="shared" si="22"/>
        <v>549.24</v>
      </c>
      <c r="W44" s="52">
        <f t="shared" si="22"/>
        <v>549.24</v>
      </c>
      <c r="X44" s="52">
        <f t="shared" si="22"/>
        <v>549.24</v>
      </c>
      <c r="Y44" s="52">
        <f t="shared" si="22"/>
        <v>549.24</v>
      </c>
      <c r="Z44" s="52">
        <f t="shared" si="22"/>
        <v>549.24</v>
      </c>
      <c r="AA44" s="52">
        <f t="shared" si="22"/>
        <v>549.24</v>
      </c>
      <c r="AB44" s="52">
        <f t="shared" si="22"/>
        <v>549.24</v>
      </c>
      <c r="AC44" s="52">
        <f t="shared" si="22"/>
        <v>549.24</v>
      </c>
      <c r="AD44" s="52">
        <f t="shared" si="22"/>
        <v>549.24</v>
      </c>
      <c r="AE44" s="52">
        <f t="shared" si="22"/>
        <v>549.24</v>
      </c>
      <c r="AF44" s="52">
        <f t="shared" si="22"/>
        <v>549.24</v>
      </c>
      <c r="AG44" s="52">
        <f t="shared" si="22"/>
        <v>549.24</v>
      </c>
      <c r="AH44" s="52">
        <f t="shared" si="22"/>
        <v>549.24</v>
      </c>
    </row>
    <row r="45" spans="1:34" ht="15" customHeight="1" x14ac:dyDescent="0.4">
      <c r="A45" s="54">
        <v>8</v>
      </c>
      <c r="B45" s="55" t="s">
        <v>128</v>
      </c>
      <c r="C45" s="180" t="s">
        <v>54</v>
      </c>
      <c r="D45" s="57">
        <v>342</v>
      </c>
      <c r="E45" s="64">
        <v>1.2</v>
      </c>
      <c r="F45" s="64">
        <v>1.8</v>
      </c>
      <c r="G45" s="64">
        <v>1.6</v>
      </c>
      <c r="H45" s="64">
        <v>1.8</v>
      </c>
      <c r="I45" s="64">
        <v>1.2</v>
      </c>
      <c r="J45" s="64">
        <v>6.3</v>
      </c>
      <c r="K45" s="64">
        <v>1.2</v>
      </c>
      <c r="L45" s="184">
        <v>1.8</v>
      </c>
      <c r="M45" s="184">
        <v>1.6</v>
      </c>
      <c r="N45" s="184">
        <v>1.8</v>
      </c>
      <c r="O45" s="184">
        <v>1.2</v>
      </c>
      <c r="P45" s="184">
        <v>6.3</v>
      </c>
      <c r="Q45" s="184">
        <v>1.2</v>
      </c>
      <c r="R45" s="184">
        <v>1.8</v>
      </c>
      <c r="S45" s="184">
        <v>1.6</v>
      </c>
      <c r="T45" s="60">
        <f t="shared" si="22"/>
        <v>410.4</v>
      </c>
      <c r="U45" s="60">
        <f t="shared" si="22"/>
        <v>615.6</v>
      </c>
      <c r="V45" s="60">
        <f t="shared" si="22"/>
        <v>547.20000000000005</v>
      </c>
      <c r="W45" s="60">
        <f t="shared" si="22"/>
        <v>615.6</v>
      </c>
      <c r="X45" s="60">
        <f t="shared" si="22"/>
        <v>410.4</v>
      </c>
      <c r="Y45" s="60">
        <f t="shared" si="22"/>
        <v>2154.6</v>
      </c>
      <c r="Z45" s="60">
        <f t="shared" si="22"/>
        <v>410.4</v>
      </c>
      <c r="AA45" s="60">
        <f t="shared" si="22"/>
        <v>615.6</v>
      </c>
      <c r="AB45" s="60">
        <f t="shared" si="22"/>
        <v>547.20000000000005</v>
      </c>
      <c r="AC45" s="60">
        <f t="shared" si="22"/>
        <v>615.6</v>
      </c>
      <c r="AD45" s="60">
        <f t="shared" si="22"/>
        <v>410.4</v>
      </c>
      <c r="AE45" s="60">
        <f t="shared" si="22"/>
        <v>2154.6</v>
      </c>
      <c r="AF45" s="60">
        <f t="shared" si="22"/>
        <v>410.4</v>
      </c>
      <c r="AG45" s="60">
        <f t="shared" si="22"/>
        <v>615.6</v>
      </c>
      <c r="AH45" s="60">
        <f t="shared" si="22"/>
        <v>547.20000000000005</v>
      </c>
    </row>
    <row r="46" spans="1:34" ht="15.75" customHeight="1" x14ac:dyDescent="0.4"/>
    <row r="47" spans="1:34" ht="15.75" customHeight="1" x14ac:dyDescent="0.4"/>
    <row r="48" spans="1:34" ht="15.75" customHeight="1" x14ac:dyDescent="0.4"/>
    <row r="49" spans="3:4" ht="15.75" customHeight="1" x14ac:dyDescent="0.4">
      <c r="C49" s="186"/>
      <c r="D49" s="186"/>
    </row>
    <row r="51" spans="3:4" ht="30.75" customHeight="1" x14ac:dyDescent="0.4"/>
    <row r="58" spans="3:4" ht="15.75" customHeight="1" x14ac:dyDescent="0.4"/>
    <row r="59" spans="3:4" ht="15.75" customHeight="1" x14ac:dyDescent="0.4"/>
    <row r="60" spans="3:4" ht="15.75" customHeight="1" x14ac:dyDescent="0.4"/>
    <row r="61" spans="3:4" ht="15.75" customHeight="1" x14ac:dyDescent="0.4"/>
    <row r="62" spans="3:4" ht="15.75" customHeight="1" x14ac:dyDescent="0.4"/>
    <row r="63" spans="3:4" ht="15.75" customHeight="1" x14ac:dyDescent="0.4"/>
    <row r="64" spans="3: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</sheetData>
  <mergeCells count="9">
    <mergeCell ref="T35:AH35"/>
    <mergeCell ref="T20:AC20"/>
    <mergeCell ref="E35:S35"/>
    <mergeCell ref="A35:D36"/>
    <mergeCell ref="T1:AC1"/>
    <mergeCell ref="E20:S21"/>
    <mergeCell ref="A1:D2"/>
    <mergeCell ref="E1:S2"/>
    <mergeCell ref="A20:D21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FF00"/>
  </sheetPr>
  <dimension ref="A1:AM1011"/>
  <sheetViews>
    <sheetView showGridLines="0" tabSelected="1" topLeftCell="A9" zoomScaleNormal="100" workbookViewId="0">
      <pane xSplit="4" topLeftCell="E1" activePane="topRight" state="frozen"/>
      <selection activeCell="A9" sqref="A9"/>
      <selection pane="topRight" activeCell="F13" sqref="F13"/>
    </sheetView>
  </sheetViews>
  <sheetFormatPr defaultColWidth="14.4609375" defaultRowHeight="14.6" x14ac:dyDescent="0.4"/>
  <cols>
    <col min="1" max="1" width="4.84375" customWidth="1"/>
    <col min="2" max="2" width="52.69140625" customWidth="1"/>
    <col min="3" max="3" width="16" customWidth="1"/>
    <col min="4" max="4" width="8.53515625" customWidth="1"/>
    <col min="5" max="18" width="7" customWidth="1"/>
    <col min="19" max="19" width="5.4609375" customWidth="1"/>
    <col min="20" max="34" width="15.69140625" customWidth="1"/>
    <col min="36" max="36" width="15.53515625" customWidth="1"/>
  </cols>
  <sheetData>
    <row r="1" spans="1:39" ht="15" customHeight="1" x14ac:dyDescent="0.4">
      <c r="A1" s="210" t="s">
        <v>0</v>
      </c>
      <c r="B1" s="211"/>
      <c r="C1" s="211"/>
      <c r="D1" s="212"/>
      <c r="E1" s="218" t="s">
        <v>1</v>
      </c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22" t="s">
        <v>2</v>
      </c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1" t="s">
        <v>3</v>
      </c>
      <c r="AJ1" s="217"/>
      <c r="AK1" s="187" t="s">
        <v>4</v>
      </c>
    </row>
    <row r="2" spans="1:39" ht="15" customHeight="1" x14ac:dyDescent="0.4">
      <c r="A2" s="213"/>
      <c r="B2" s="214"/>
      <c r="C2" s="214"/>
      <c r="D2" s="215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e">
        <f t="shared" ref="T2:AH2" si="0">MROUND(SUM(T4:T17),1)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37" t="e">
        <f t="shared" si="0"/>
        <v>#N/A</v>
      </c>
      <c r="AE2" s="37" t="e">
        <f t="shared" si="0"/>
        <v>#N/A</v>
      </c>
      <c r="AF2" s="37" t="e">
        <f t="shared" si="0"/>
        <v>#N/A</v>
      </c>
      <c r="AG2" s="37" t="e">
        <f t="shared" si="0"/>
        <v>#N/A</v>
      </c>
      <c r="AH2" s="37" t="e">
        <f t="shared" si="0"/>
        <v>#N/A</v>
      </c>
      <c r="AI2" s="208" t="e">
        <f>SUM(T2:AC2)</f>
        <v>#N/A</v>
      </c>
      <c r="AJ2" s="209"/>
    </row>
    <row r="3" spans="1:39" ht="15" customHeight="1" x14ac:dyDescent="0.4">
      <c r="A3" s="39" t="s">
        <v>5</v>
      </c>
      <c r="B3" s="39" t="s">
        <v>6</v>
      </c>
      <c r="C3" s="40" t="s">
        <v>7</v>
      </c>
      <c r="D3" s="178" t="s">
        <v>8</v>
      </c>
      <c r="E3" s="42" t="s">
        <v>9</v>
      </c>
      <c r="F3" s="42" t="s">
        <v>10</v>
      </c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4" t="s">
        <v>19</v>
      </c>
      <c r="P3" s="42" t="s">
        <v>20</v>
      </c>
      <c r="Q3" s="42" t="s">
        <v>21</v>
      </c>
      <c r="R3" s="42" t="s">
        <v>22</v>
      </c>
      <c r="S3" s="42" t="s">
        <v>23</v>
      </c>
      <c r="T3" s="42">
        <v>20000</v>
      </c>
      <c r="U3" s="42">
        <v>40000</v>
      </c>
      <c r="V3" s="42">
        <v>60000</v>
      </c>
      <c r="W3" s="42">
        <v>80000</v>
      </c>
      <c r="X3" s="42">
        <v>100000</v>
      </c>
      <c r="Y3" s="42">
        <v>120000</v>
      </c>
      <c r="Z3" s="42">
        <v>140000</v>
      </c>
      <c r="AA3" s="42">
        <v>160000</v>
      </c>
      <c r="AB3" s="42">
        <v>180000</v>
      </c>
      <c r="AC3" s="42">
        <f t="shared" ref="AC3:AH3" si="1">AB3+20000</f>
        <v>200000</v>
      </c>
      <c r="AD3" s="42">
        <f t="shared" si="1"/>
        <v>220000</v>
      </c>
      <c r="AE3" s="42">
        <f t="shared" si="1"/>
        <v>240000</v>
      </c>
      <c r="AF3" s="42">
        <f t="shared" si="1"/>
        <v>260000</v>
      </c>
      <c r="AG3" s="42">
        <f t="shared" si="1"/>
        <v>280000</v>
      </c>
      <c r="AH3" s="42">
        <f t="shared" si="1"/>
        <v>300000</v>
      </c>
      <c r="AI3" s="45" t="s">
        <v>24</v>
      </c>
      <c r="AJ3" s="39" t="s">
        <v>25</v>
      </c>
      <c r="AL3">
        <v>1186</v>
      </c>
    </row>
    <row r="4" spans="1:39" ht="15" customHeight="1" x14ac:dyDescent="0.4">
      <c r="A4" s="46">
        <v>1</v>
      </c>
      <c r="B4" s="47" t="s">
        <v>26</v>
      </c>
      <c r="C4" s="179" t="s">
        <v>27</v>
      </c>
      <c r="D4" s="49">
        <f>VLOOKUP(C4,'[1]PREÇO ATUAL'!$A:$D,4,0)</f>
        <v>13.243691999999999</v>
      </c>
      <c r="E4" s="50">
        <v>1</v>
      </c>
      <c r="F4" s="50">
        <v>1</v>
      </c>
      <c r="G4" s="50">
        <v>1</v>
      </c>
      <c r="H4" s="50">
        <v>1</v>
      </c>
      <c r="I4" s="50">
        <v>1</v>
      </c>
      <c r="J4" s="50">
        <v>1</v>
      </c>
      <c r="K4" s="50">
        <v>1</v>
      </c>
      <c r="L4" s="50">
        <v>1</v>
      </c>
      <c r="M4" s="50">
        <v>1</v>
      </c>
      <c r="N4" s="50">
        <v>1</v>
      </c>
      <c r="O4" s="50"/>
      <c r="P4" s="50"/>
      <c r="Q4" s="50"/>
      <c r="R4" s="50"/>
      <c r="S4" s="50"/>
      <c r="T4" s="52">
        <f t="shared" ref="T4:AH4" si="2">$D$4*E4</f>
        <v>13.243691999999999</v>
      </c>
      <c r="U4" s="52">
        <f t="shared" si="2"/>
        <v>13.243691999999999</v>
      </c>
      <c r="V4" s="52">
        <f t="shared" si="2"/>
        <v>13.243691999999999</v>
      </c>
      <c r="W4" s="52">
        <f t="shared" si="2"/>
        <v>13.243691999999999</v>
      </c>
      <c r="X4" s="52">
        <f t="shared" si="2"/>
        <v>13.243691999999999</v>
      </c>
      <c r="Y4" s="52">
        <f t="shared" si="2"/>
        <v>13.243691999999999</v>
      </c>
      <c r="Z4" s="52">
        <f t="shared" si="2"/>
        <v>13.243691999999999</v>
      </c>
      <c r="AA4" s="52">
        <f t="shared" si="2"/>
        <v>13.243691999999999</v>
      </c>
      <c r="AB4" s="52">
        <f t="shared" si="2"/>
        <v>13.243691999999999</v>
      </c>
      <c r="AC4" s="52">
        <f t="shared" si="2"/>
        <v>13.243691999999999</v>
      </c>
      <c r="AD4" s="52">
        <f t="shared" si="2"/>
        <v>0</v>
      </c>
      <c r="AE4" s="52">
        <f t="shared" si="2"/>
        <v>0</v>
      </c>
      <c r="AF4" s="52">
        <f t="shared" si="2"/>
        <v>0</v>
      </c>
      <c r="AG4" s="52">
        <f t="shared" si="2"/>
        <v>0</v>
      </c>
      <c r="AH4" s="52">
        <f t="shared" si="2"/>
        <v>0</v>
      </c>
      <c r="AI4" s="82" t="e">
        <f t="shared" ref="AI4:AI17" si="3">AJ4/$AI$2</f>
        <v>#N/A</v>
      </c>
      <c r="AJ4" s="52">
        <f t="shared" ref="AJ4:AJ17" si="4">SUM(T4:AC4)</f>
        <v>132.43691999999999</v>
      </c>
      <c r="AL4">
        <v>820</v>
      </c>
      <c r="AM4">
        <f>AL4/AL3</f>
        <v>0.69139966273187181</v>
      </c>
    </row>
    <row r="5" spans="1:39" ht="15" customHeight="1" x14ac:dyDescent="0.4">
      <c r="A5" s="54">
        <v>2</v>
      </c>
      <c r="B5" s="55" t="s">
        <v>28</v>
      </c>
      <c r="C5" s="180" t="s">
        <v>29</v>
      </c>
      <c r="D5" s="57">
        <f>VLOOKUP(C5,'[1]PREÇO ATUAL'!$A:$D,4,0)</f>
        <v>101.44</v>
      </c>
      <c r="E5" s="58">
        <v>1</v>
      </c>
      <c r="F5" s="58">
        <v>1</v>
      </c>
      <c r="G5" s="58">
        <v>1</v>
      </c>
      <c r="H5" s="58">
        <v>1</v>
      </c>
      <c r="I5" s="58">
        <v>1</v>
      </c>
      <c r="J5" s="58">
        <v>1</v>
      </c>
      <c r="K5" s="58">
        <v>1</v>
      </c>
      <c r="L5" s="58">
        <v>1</v>
      </c>
      <c r="M5" s="58">
        <v>1</v>
      </c>
      <c r="N5" s="58">
        <v>1</v>
      </c>
      <c r="O5" s="58"/>
      <c r="P5" s="58"/>
      <c r="Q5" s="58"/>
      <c r="R5" s="58"/>
      <c r="S5" s="58"/>
      <c r="T5" s="60">
        <f t="shared" ref="T5:AH5" si="5">$D$5*E5</f>
        <v>101.44</v>
      </c>
      <c r="U5" s="60">
        <f t="shared" si="5"/>
        <v>101.44</v>
      </c>
      <c r="V5" s="60">
        <f t="shared" si="5"/>
        <v>101.44</v>
      </c>
      <c r="W5" s="60">
        <f t="shared" si="5"/>
        <v>101.44</v>
      </c>
      <c r="X5" s="60">
        <f t="shared" si="5"/>
        <v>101.44</v>
      </c>
      <c r="Y5" s="60">
        <f t="shared" si="5"/>
        <v>101.44</v>
      </c>
      <c r="Z5" s="60">
        <f t="shared" si="5"/>
        <v>101.44</v>
      </c>
      <c r="AA5" s="60">
        <f t="shared" si="5"/>
        <v>101.44</v>
      </c>
      <c r="AB5" s="60">
        <f t="shared" si="5"/>
        <v>101.44</v>
      </c>
      <c r="AC5" s="60">
        <f t="shared" si="5"/>
        <v>101.44</v>
      </c>
      <c r="AD5" s="60">
        <f t="shared" si="5"/>
        <v>0</v>
      </c>
      <c r="AE5" s="60">
        <f t="shared" si="5"/>
        <v>0</v>
      </c>
      <c r="AF5" s="60">
        <f t="shared" si="5"/>
        <v>0</v>
      </c>
      <c r="AG5" s="60">
        <f t="shared" si="5"/>
        <v>0</v>
      </c>
      <c r="AH5" s="60">
        <f t="shared" si="5"/>
        <v>0</v>
      </c>
      <c r="AI5" s="83" t="e">
        <f t="shared" si="3"/>
        <v>#N/A</v>
      </c>
      <c r="AJ5" s="60">
        <f t="shared" si="4"/>
        <v>1014.4000000000001</v>
      </c>
      <c r="AL5">
        <f>AL3-AL4</f>
        <v>366</v>
      </c>
      <c r="AM5">
        <f>AL5/AL3</f>
        <v>0.30860033726812819</v>
      </c>
    </row>
    <row r="6" spans="1:39" ht="15" customHeight="1" x14ac:dyDescent="0.4">
      <c r="A6" s="46">
        <v>3</v>
      </c>
      <c r="B6" s="47" t="s">
        <v>30</v>
      </c>
      <c r="C6" s="179" t="s">
        <v>31</v>
      </c>
      <c r="D6" s="49">
        <f>VLOOKUP(C6,'[1]PREÇO ATUAL'!$A:$D,4,0)</f>
        <v>374.14</v>
      </c>
      <c r="E6" s="50">
        <v>1</v>
      </c>
      <c r="F6" s="50">
        <v>1</v>
      </c>
      <c r="G6" s="50">
        <v>1</v>
      </c>
      <c r="H6" s="50">
        <v>1</v>
      </c>
      <c r="I6" s="50">
        <v>1</v>
      </c>
      <c r="J6" s="50">
        <v>1</v>
      </c>
      <c r="K6" s="50">
        <v>1</v>
      </c>
      <c r="L6" s="50">
        <v>1</v>
      </c>
      <c r="M6" s="50">
        <v>1</v>
      </c>
      <c r="N6" s="50">
        <v>1</v>
      </c>
      <c r="O6" s="50"/>
      <c r="P6" s="50"/>
      <c r="Q6" s="50"/>
      <c r="R6" s="50"/>
      <c r="S6" s="50"/>
      <c r="T6" s="52">
        <f>D6*E6</f>
        <v>374.14</v>
      </c>
      <c r="U6" s="52">
        <f t="shared" ref="U6:AH6" si="6">$D$6*F6</f>
        <v>374.14</v>
      </c>
      <c r="V6" s="52">
        <f t="shared" si="6"/>
        <v>374.14</v>
      </c>
      <c r="W6" s="52">
        <f t="shared" si="6"/>
        <v>374.14</v>
      </c>
      <c r="X6" s="52">
        <f t="shared" si="6"/>
        <v>374.14</v>
      </c>
      <c r="Y6" s="52">
        <f t="shared" si="6"/>
        <v>374.14</v>
      </c>
      <c r="Z6" s="52">
        <f t="shared" si="6"/>
        <v>374.14</v>
      </c>
      <c r="AA6" s="52">
        <f t="shared" si="6"/>
        <v>374.14</v>
      </c>
      <c r="AB6" s="52">
        <f t="shared" si="6"/>
        <v>374.14</v>
      </c>
      <c r="AC6" s="52">
        <f t="shared" si="6"/>
        <v>374.14</v>
      </c>
      <c r="AD6" s="52">
        <f t="shared" si="6"/>
        <v>0</v>
      </c>
      <c r="AE6" s="52">
        <f t="shared" si="6"/>
        <v>0</v>
      </c>
      <c r="AF6" s="52">
        <f t="shared" si="6"/>
        <v>0</v>
      </c>
      <c r="AG6" s="52">
        <f t="shared" si="6"/>
        <v>0</v>
      </c>
      <c r="AH6" s="52">
        <f t="shared" si="6"/>
        <v>0</v>
      </c>
      <c r="AI6" s="82" t="e">
        <f t="shared" si="3"/>
        <v>#N/A</v>
      </c>
      <c r="AJ6" s="52">
        <f t="shared" si="4"/>
        <v>3741.3999999999992</v>
      </c>
    </row>
    <row r="7" spans="1:39" ht="15" customHeight="1" x14ac:dyDescent="0.4">
      <c r="A7" s="54">
        <v>4</v>
      </c>
      <c r="B7" s="55" t="s">
        <v>32</v>
      </c>
      <c r="C7" s="180" t="s">
        <v>33</v>
      </c>
      <c r="D7" s="57">
        <f>VLOOKUP(C7,'[1]PREÇO ATUAL'!$A:$D,4,0)</f>
        <v>133.51</v>
      </c>
      <c r="E7" s="58">
        <v>1</v>
      </c>
      <c r="F7" s="58">
        <v>1</v>
      </c>
      <c r="G7" s="58">
        <v>1</v>
      </c>
      <c r="H7" s="58">
        <v>1</v>
      </c>
      <c r="I7" s="58">
        <v>1</v>
      </c>
      <c r="J7" s="58">
        <v>1</v>
      </c>
      <c r="K7" s="58">
        <v>1</v>
      </c>
      <c r="L7" s="58">
        <v>1</v>
      </c>
      <c r="M7" s="58">
        <v>1</v>
      </c>
      <c r="N7" s="58">
        <v>1</v>
      </c>
      <c r="O7" s="58"/>
      <c r="P7" s="58"/>
      <c r="Q7" s="58"/>
      <c r="R7" s="58"/>
      <c r="S7" s="58"/>
      <c r="T7" s="60">
        <f>D7*E7</f>
        <v>133.51</v>
      </c>
      <c r="U7" s="60">
        <f t="shared" ref="U7:AH7" si="7">$D$7*F7</f>
        <v>133.51</v>
      </c>
      <c r="V7" s="60">
        <f t="shared" si="7"/>
        <v>133.51</v>
      </c>
      <c r="W7" s="60">
        <f t="shared" si="7"/>
        <v>133.51</v>
      </c>
      <c r="X7" s="60">
        <f t="shared" si="7"/>
        <v>133.51</v>
      </c>
      <c r="Y7" s="60">
        <f t="shared" si="7"/>
        <v>133.51</v>
      </c>
      <c r="Z7" s="60">
        <f t="shared" si="7"/>
        <v>133.51</v>
      </c>
      <c r="AA7" s="60">
        <f t="shared" si="7"/>
        <v>133.51</v>
      </c>
      <c r="AB7" s="60">
        <f t="shared" si="7"/>
        <v>133.51</v>
      </c>
      <c r="AC7" s="60">
        <f t="shared" si="7"/>
        <v>133.51</v>
      </c>
      <c r="AD7" s="60">
        <f t="shared" si="7"/>
        <v>0</v>
      </c>
      <c r="AE7" s="60">
        <f t="shared" si="7"/>
        <v>0</v>
      </c>
      <c r="AF7" s="60">
        <f t="shared" si="7"/>
        <v>0</v>
      </c>
      <c r="AG7" s="60">
        <f t="shared" si="7"/>
        <v>0</v>
      </c>
      <c r="AH7" s="60">
        <f t="shared" si="7"/>
        <v>0</v>
      </c>
      <c r="AI7" s="83" t="e">
        <f t="shared" si="3"/>
        <v>#N/A</v>
      </c>
      <c r="AJ7" s="60">
        <f t="shared" si="4"/>
        <v>1335.1</v>
      </c>
    </row>
    <row r="8" spans="1:39" ht="15" customHeight="1" x14ac:dyDescent="0.4">
      <c r="A8" s="46">
        <v>5</v>
      </c>
      <c r="B8" s="47" t="s">
        <v>34</v>
      </c>
      <c r="C8" s="179" t="s">
        <v>35</v>
      </c>
      <c r="D8" s="49">
        <f>VLOOKUP(C8,'[1]PREÇO ATUAL'!$A:$D,4,0)</f>
        <v>158.84</v>
      </c>
      <c r="E8" s="50">
        <v>1</v>
      </c>
      <c r="F8" s="50">
        <v>1</v>
      </c>
      <c r="G8" s="50">
        <v>1</v>
      </c>
      <c r="H8" s="50">
        <v>1</v>
      </c>
      <c r="I8" s="50">
        <v>1</v>
      </c>
      <c r="J8" s="50">
        <v>1</v>
      </c>
      <c r="K8" s="50">
        <v>1</v>
      </c>
      <c r="L8" s="50">
        <v>1</v>
      </c>
      <c r="M8" s="50">
        <v>1</v>
      </c>
      <c r="N8" s="50">
        <v>1</v>
      </c>
      <c r="O8" s="50"/>
      <c r="P8" s="50"/>
      <c r="Q8" s="50"/>
      <c r="R8" s="50"/>
      <c r="S8" s="50"/>
      <c r="T8" s="52">
        <f>D8*E8</f>
        <v>158.84</v>
      </c>
      <c r="U8" s="52">
        <f t="shared" ref="U8:AH8" si="8">$D$8*F8</f>
        <v>158.84</v>
      </c>
      <c r="V8" s="52">
        <f t="shared" si="8"/>
        <v>158.84</v>
      </c>
      <c r="W8" s="52">
        <f t="shared" si="8"/>
        <v>158.84</v>
      </c>
      <c r="X8" s="52">
        <f t="shared" si="8"/>
        <v>158.84</v>
      </c>
      <c r="Y8" s="52">
        <f t="shared" si="8"/>
        <v>158.84</v>
      </c>
      <c r="Z8" s="52">
        <f t="shared" si="8"/>
        <v>158.84</v>
      </c>
      <c r="AA8" s="52">
        <f t="shared" si="8"/>
        <v>158.84</v>
      </c>
      <c r="AB8" s="52">
        <f t="shared" si="8"/>
        <v>158.84</v>
      </c>
      <c r="AC8" s="52">
        <f t="shared" si="8"/>
        <v>158.84</v>
      </c>
      <c r="AD8" s="52">
        <f t="shared" si="8"/>
        <v>0</v>
      </c>
      <c r="AE8" s="52">
        <f t="shared" si="8"/>
        <v>0</v>
      </c>
      <c r="AF8" s="52">
        <f t="shared" si="8"/>
        <v>0</v>
      </c>
      <c r="AG8" s="52">
        <f t="shared" si="8"/>
        <v>0</v>
      </c>
      <c r="AH8" s="52">
        <f t="shared" si="8"/>
        <v>0</v>
      </c>
      <c r="AI8" s="82" t="e">
        <f t="shared" si="3"/>
        <v>#N/A</v>
      </c>
      <c r="AJ8" s="52">
        <f t="shared" si="4"/>
        <v>1588.3999999999999</v>
      </c>
    </row>
    <row r="9" spans="1:39" ht="15" customHeight="1" x14ac:dyDescent="0.4">
      <c r="A9" s="54">
        <v>6</v>
      </c>
      <c r="B9" s="55" t="s">
        <v>36</v>
      </c>
      <c r="C9" s="180" t="s">
        <v>37</v>
      </c>
      <c r="D9" s="57">
        <f>VLOOKUP(C9,'[1]PREÇO ATUAL'!$A:$D,4,0)</f>
        <v>376.45</v>
      </c>
      <c r="E9" s="105"/>
      <c r="F9" s="105"/>
      <c r="G9" s="58">
        <v>1</v>
      </c>
      <c r="H9" s="58"/>
      <c r="I9" s="105"/>
      <c r="J9" s="58">
        <v>1</v>
      </c>
      <c r="K9" s="105"/>
      <c r="L9" s="58"/>
      <c r="M9" s="58">
        <v>1</v>
      </c>
      <c r="N9" s="105"/>
      <c r="O9" s="105"/>
      <c r="P9" s="105"/>
      <c r="Q9" s="105"/>
      <c r="R9" s="105"/>
      <c r="S9" s="105"/>
      <c r="T9" s="60">
        <f t="shared" ref="T9:AH9" si="9">$D$9*E9</f>
        <v>0</v>
      </c>
      <c r="U9" s="60">
        <f t="shared" si="9"/>
        <v>0</v>
      </c>
      <c r="V9" s="60">
        <f t="shared" si="9"/>
        <v>376.45</v>
      </c>
      <c r="W9" s="60">
        <f t="shared" si="9"/>
        <v>0</v>
      </c>
      <c r="X9" s="60">
        <f t="shared" si="9"/>
        <v>0</v>
      </c>
      <c r="Y9" s="60">
        <f t="shared" si="9"/>
        <v>376.45</v>
      </c>
      <c r="Z9" s="60">
        <f t="shared" si="9"/>
        <v>0</v>
      </c>
      <c r="AA9" s="60">
        <f t="shared" si="9"/>
        <v>0</v>
      </c>
      <c r="AB9" s="60">
        <f t="shared" si="9"/>
        <v>376.45</v>
      </c>
      <c r="AC9" s="60">
        <f t="shared" si="9"/>
        <v>0</v>
      </c>
      <c r="AD9" s="60">
        <f t="shared" si="9"/>
        <v>0</v>
      </c>
      <c r="AE9" s="60">
        <f t="shared" si="9"/>
        <v>0</v>
      </c>
      <c r="AF9" s="60">
        <f t="shared" si="9"/>
        <v>0</v>
      </c>
      <c r="AG9" s="60">
        <f t="shared" si="9"/>
        <v>0</v>
      </c>
      <c r="AH9" s="60">
        <f t="shared" si="9"/>
        <v>0</v>
      </c>
      <c r="AI9" s="83" t="e">
        <f t="shared" si="3"/>
        <v>#N/A</v>
      </c>
      <c r="AJ9" s="60">
        <f t="shared" si="4"/>
        <v>1129.3499999999999</v>
      </c>
    </row>
    <row r="10" spans="1:39" ht="15" customHeight="1" x14ac:dyDescent="0.4">
      <c r="A10" s="46">
        <v>7</v>
      </c>
      <c r="B10" s="47" t="s">
        <v>38</v>
      </c>
      <c r="C10" s="179" t="s">
        <v>39</v>
      </c>
      <c r="D10" s="49">
        <f>VLOOKUP(C10,'[1]PREÇO ATUAL'!$A:$D,4,0)</f>
        <v>381.11</v>
      </c>
      <c r="E10" s="50"/>
      <c r="F10" s="50"/>
      <c r="G10" s="50"/>
      <c r="H10" s="50"/>
      <c r="I10" s="50"/>
      <c r="J10" s="50">
        <v>1</v>
      </c>
      <c r="K10" s="50"/>
      <c r="L10" s="50"/>
      <c r="M10" s="50"/>
      <c r="N10" s="50"/>
      <c r="O10" s="50"/>
      <c r="P10" s="50"/>
      <c r="Q10" s="50"/>
      <c r="R10" s="50"/>
      <c r="S10" s="50"/>
      <c r="T10" s="52">
        <f t="shared" ref="T10:AH10" si="10">$D$10*E10</f>
        <v>0</v>
      </c>
      <c r="U10" s="52">
        <f t="shared" si="10"/>
        <v>0</v>
      </c>
      <c r="V10" s="52">
        <f t="shared" si="10"/>
        <v>0</v>
      </c>
      <c r="W10" s="52">
        <f t="shared" si="10"/>
        <v>0</v>
      </c>
      <c r="X10" s="52">
        <f t="shared" si="10"/>
        <v>0</v>
      </c>
      <c r="Y10" s="52">
        <f t="shared" si="10"/>
        <v>381.11</v>
      </c>
      <c r="Z10" s="52">
        <f t="shared" si="10"/>
        <v>0</v>
      </c>
      <c r="AA10" s="52">
        <f t="shared" si="10"/>
        <v>0</v>
      </c>
      <c r="AB10" s="52">
        <f t="shared" si="10"/>
        <v>0</v>
      </c>
      <c r="AC10" s="52">
        <f t="shared" si="10"/>
        <v>0</v>
      </c>
      <c r="AD10" s="52">
        <f t="shared" si="10"/>
        <v>0</v>
      </c>
      <c r="AE10" s="52">
        <f t="shared" si="10"/>
        <v>0</v>
      </c>
      <c r="AF10" s="52">
        <f t="shared" si="10"/>
        <v>0</v>
      </c>
      <c r="AG10" s="52">
        <f t="shared" si="10"/>
        <v>0</v>
      </c>
      <c r="AH10" s="52">
        <f t="shared" si="10"/>
        <v>0</v>
      </c>
      <c r="AI10" s="82" t="e">
        <f t="shared" si="3"/>
        <v>#N/A</v>
      </c>
      <c r="AJ10" s="52">
        <f t="shared" si="4"/>
        <v>381.11</v>
      </c>
    </row>
    <row r="11" spans="1:39" ht="15" customHeight="1" x14ac:dyDescent="0.4">
      <c r="A11" s="54">
        <v>8</v>
      </c>
      <c r="B11" s="55" t="s">
        <v>40</v>
      </c>
      <c r="C11" s="180" t="s">
        <v>41</v>
      </c>
      <c r="D11" s="57">
        <f>VLOOKUP(C11,'[1]PREÇO ATUAL'!$A:$D,4,0)</f>
        <v>1612.9759799999999</v>
      </c>
      <c r="E11" s="105"/>
      <c r="F11" s="105"/>
      <c r="G11" s="58"/>
      <c r="H11" s="58"/>
      <c r="I11" s="105"/>
      <c r="J11" s="58">
        <v>1</v>
      </c>
      <c r="K11" s="105"/>
      <c r="L11" s="58"/>
      <c r="M11" s="58"/>
      <c r="N11" s="105"/>
      <c r="O11" s="105"/>
      <c r="P11" s="105"/>
      <c r="Q11" s="105"/>
      <c r="R11" s="105"/>
      <c r="S11" s="105"/>
      <c r="T11" s="60">
        <f t="shared" ref="T11:AH11" si="11">$D$11*E11</f>
        <v>0</v>
      </c>
      <c r="U11" s="60">
        <f t="shared" si="11"/>
        <v>0</v>
      </c>
      <c r="V11" s="60">
        <f t="shared" si="11"/>
        <v>0</v>
      </c>
      <c r="W11" s="60">
        <f t="shared" si="11"/>
        <v>0</v>
      </c>
      <c r="X11" s="60">
        <f t="shared" si="11"/>
        <v>0</v>
      </c>
      <c r="Y11" s="60">
        <f t="shared" si="11"/>
        <v>1612.9759799999999</v>
      </c>
      <c r="Z11" s="60">
        <f t="shared" si="11"/>
        <v>0</v>
      </c>
      <c r="AA11" s="60">
        <f t="shared" si="11"/>
        <v>0</v>
      </c>
      <c r="AB11" s="60">
        <f t="shared" si="11"/>
        <v>0</v>
      </c>
      <c r="AC11" s="60">
        <f t="shared" si="11"/>
        <v>0</v>
      </c>
      <c r="AD11" s="60">
        <f t="shared" si="11"/>
        <v>0</v>
      </c>
      <c r="AE11" s="60">
        <f t="shared" si="11"/>
        <v>0</v>
      </c>
      <c r="AF11" s="60">
        <f t="shared" si="11"/>
        <v>0</v>
      </c>
      <c r="AG11" s="60">
        <f t="shared" si="11"/>
        <v>0</v>
      </c>
      <c r="AH11" s="60">
        <f t="shared" si="11"/>
        <v>0</v>
      </c>
      <c r="AI11" s="83" t="e">
        <f t="shared" si="3"/>
        <v>#N/A</v>
      </c>
      <c r="AJ11" s="60">
        <f t="shared" si="4"/>
        <v>1612.9759799999999</v>
      </c>
    </row>
    <row r="12" spans="1:39" ht="15" customHeight="1" x14ac:dyDescent="0.4">
      <c r="A12" s="46">
        <v>9</v>
      </c>
      <c r="B12" s="47" t="s">
        <v>42</v>
      </c>
      <c r="C12" s="179" t="s">
        <v>43</v>
      </c>
      <c r="D12" s="49">
        <f>VLOOKUP(C12,'[1]PREÇO ATUAL'!$A:$D,4,0)</f>
        <v>205.93</v>
      </c>
      <c r="E12" s="50"/>
      <c r="F12" s="50"/>
      <c r="G12" s="50"/>
      <c r="H12" s="50"/>
      <c r="I12" s="50"/>
      <c r="J12" s="50">
        <v>1</v>
      </c>
      <c r="K12" s="50"/>
      <c r="L12" s="50"/>
      <c r="M12" s="50"/>
      <c r="N12" s="50"/>
      <c r="O12" s="50"/>
      <c r="P12" s="50"/>
      <c r="Q12" s="50"/>
      <c r="R12" s="50"/>
      <c r="S12" s="50"/>
      <c r="T12" s="52">
        <f t="shared" ref="T12:AH12" si="12">$D$12*E12</f>
        <v>0</v>
      </c>
      <c r="U12" s="52">
        <f t="shared" si="12"/>
        <v>0</v>
      </c>
      <c r="V12" s="52">
        <f t="shared" si="12"/>
        <v>0</v>
      </c>
      <c r="W12" s="52">
        <f t="shared" si="12"/>
        <v>0</v>
      </c>
      <c r="X12" s="52">
        <f t="shared" si="12"/>
        <v>0</v>
      </c>
      <c r="Y12" s="52">
        <f t="shared" si="12"/>
        <v>205.93</v>
      </c>
      <c r="Z12" s="52">
        <f t="shared" si="12"/>
        <v>0</v>
      </c>
      <c r="AA12" s="52">
        <f t="shared" si="12"/>
        <v>0</v>
      </c>
      <c r="AB12" s="52">
        <f t="shared" si="12"/>
        <v>0</v>
      </c>
      <c r="AC12" s="52">
        <f t="shared" si="12"/>
        <v>0</v>
      </c>
      <c r="AD12" s="52">
        <f t="shared" si="12"/>
        <v>0</v>
      </c>
      <c r="AE12" s="52">
        <f t="shared" si="12"/>
        <v>0</v>
      </c>
      <c r="AF12" s="52">
        <f t="shared" si="12"/>
        <v>0</v>
      </c>
      <c r="AG12" s="52">
        <f t="shared" si="12"/>
        <v>0</v>
      </c>
      <c r="AH12" s="52">
        <f t="shared" si="12"/>
        <v>0</v>
      </c>
      <c r="AI12" s="82" t="e">
        <f t="shared" si="3"/>
        <v>#N/A</v>
      </c>
      <c r="AJ12" s="52">
        <f t="shared" si="4"/>
        <v>205.93</v>
      </c>
    </row>
    <row r="13" spans="1:39" ht="15" customHeight="1" x14ac:dyDescent="0.4">
      <c r="A13" s="54">
        <v>10</v>
      </c>
      <c r="B13" s="55" t="s">
        <v>44</v>
      </c>
      <c r="C13" s="180" t="s">
        <v>45</v>
      </c>
      <c r="D13" s="57">
        <f>VLOOKUP(C13,'[1]PREÇO ATUAL'!$A:$D,4,0)</f>
        <v>559</v>
      </c>
      <c r="E13" s="105"/>
      <c r="F13" s="105"/>
      <c r="G13" s="58"/>
      <c r="H13" s="58"/>
      <c r="I13" s="105"/>
      <c r="J13" s="58">
        <v>1</v>
      </c>
      <c r="K13" s="105"/>
      <c r="L13" s="58"/>
      <c r="M13" s="58"/>
      <c r="N13" s="105"/>
      <c r="O13" s="105"/>
      <c r="P13" s="105"/>
      <c r="Q13" s="105"/>
      <c r="R13" s="105"/>
      <c r="S13" s="105"/>
      <c r="T13" s="60">
        <f t="shared" ref="T13:AH13" si="13">$D$13*E13</f>
        <v>0</v>
      </c>
      <c r="U13" s="60">
        <f t="shared" si="13"/>
        <v>0</v>
      </c>
      <c r="V13" s="60">
        <f t="shared" si="13"/>
        <v>0</v>
      </c>
      <c r="W13" s="60">
        <f t="shared" si="13"/>
        <v>0</v>
      </c>
      <c r="X13" s="60">
        <f t="shared" si="13"/>
        <v>0</v>
      </c>
      <c r="Y13" s="60">
        <f t="shared" si="13"/>
        <v>559</v>
      </c>
      <c r="Z13" s="60">
        <f t="shared" si="13"/>
        <v>0</v>
      </c>
      <c r="AA13" s="60">
        <f t="shared" si="13"/>
        <v>0</v>
      </c>
      <c r="AB13" s="60">
        <f t="shared" si="13"/>
        <v>0</v>
      </c>
      <c r="AC13" s="60">
        <f t="shared" si="13"/>
        <v>0</v>
      </c>
      <c r="AD13" s="60">
        <f t="shared" si="13"/>
        <v>0</v>
      </c>
      <c r="AE13" s="60">
        <f t="shared" si="13"/>
        <v>0</v>
      </c>
      <c r="AF13" s="60">
        <f t="shared" si="13"/>
        <v>0</v>
      </c>
      <c r="AG13" s="60">
        <f t="shared" si="13"/>
        <v>0</v>
      </c>
      <c r="AH13" s="60">
        <f t="shared" si="13"/>
        <v>0</v>
      </c>
      <c r="AI13" s="83" t="e">
        <f t="shared" si="3"/>
        <v>#N/A</v>
      </c>
      <c r="AJ13" s="60">
        <f t="shared" si="4"/>
        <v>559</v>
      </c>
    </row>
    <row r="14" spans="1:39" ht="15" customHeight="1" x14ac:dyDescent="0.4">
      <c r="A14" s="46">
        <v>11</v>
      </c>
      <c r="B14" s="47" t="s">
        <v>46</v>
      </c>
      <c r="C14" s="179" t="s">
        <v>47</v>
      </c>
      <c r="D14" s="49">
        <f>VLOOKUP(C14,'[1]PREÇO ATUAL'!$A:$D,4,0)</f>
        <v>32.698362814548403</v>
      </c>
      <c r="E14" s="92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52">
        <f t="shared" ref="T14:AH14" si="14">$D$14*E14</f>
        <v>0</v>
      </c>
      <c r="U14" s="52">
        <f t="shared" si="14"/>
        <v>0</v>
      </c>
      <c r="V14" s="52">
        <f t="shared" si="14"/>
        <v>0</v>
      </c>
      <c r="W14" s="52">
        <f t="shared" si="14"/>
        <v>0</v>
      </c>
      <c r="X14" s="52">
        <f t="shared" si="14"/>
        <v>0</v>
      </c>
      <c r="Y14" s="52">
        <f t="shared" si="14"/>
        <v>0</v>
      </c>
      <c r="Z14" s="52">
        <f t="shared" si="14"/>
        <v>0</v>
      </c>
      <c r="AA14" s="52">
        <f t="shared" si="14"/>
        <v>0</v>
      </c>
      <c r="AB14" s="52">
        <f t="shared" si="14"/>
        <v>0</v>
      </c>
      <c r="AC14" s="52">
        <f t="shared" si="14"/>
        <v>0</v>
      </c>
      <c r="AD14" s="52">
        <f t="shared" si="14"/>
        <v>0</v>
      </c>
      <c r="AE14" s="52">
        <f t="shared" si="14"/>
        <v>0</v>
      </c>
      <c r="AF14" s="52">
        <f t="shared" si="14"/>
        <v>0</v>
      </c>
      <c r="AG14" s="52">
        <f t="shared" si="14"/>
        <v>0</v>
      </c>
      <c r="AH14" s="52">
        <f t="shared" si="14"/>
        <v>0</v>
      </c>
      <c r="AI14" s="82" t="e">
        <f t="shared" si="3"/>
        <v>#N/A</v>
      </c>
      <c r="AJ14" s="52">
        <f t="shared" si="4"/>
        <v>0</v>
      </c>
    </row>
    <row r="15" spans="1:39" ht="18" customHeight="1" x14ac:dyDescent="0.4">
      <c r="A15" s="54">
        <v>12</v>
      </c>
      <c r="B15" s="55" t="s">
        <v>48</v>
      </c>
      <c r="C15" s="180" t="s">
        <v>49</v>
      </c>
      <c r="D15" s="57">
        <f>VLOOKUP(C15,'[1]PREÇO ATUAL'!$A:$D,4,0)</f>
        <v>61.98</v>
      </c>
      <c r="E15" s="224" t="s">
        <v>50</v>
      </c>
      <c r="F15" s="223"/>
      <c r="G15" s="223"/>
      <c r="H15" s="223"/>
      <c r="I15" s="223"/>
      <c r="J15" s="223"/>
      <c r="K15" s="223"/>
      <c r="L15" s="223"/>
      <c r="M15" s="223"/>
      <c r="N15" s="223"/>
      <c r="O15" s="189"/>
      <c r="P15" s="189"/>
      <c r="Q15" s="189"/>
      <c r="R15" s="189"/>
      <c r="S15" s="189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83" t="e">
        <f t="shared" si="3"/>
        <v>#N/A</v>
      </c>
      <c r="AJ15" s="60">
        <f t="shared" si="4"/>
        <v>0</v>
      </c>
    </row>
    <row r="16" spans="1:39" ht="15" customHeight="1" x14ac:dyDescent="0.4">
      <c r="A16" s="46">
        <v>13</v>
      </c>
      <c r="B16" s="47" t="s">
        <v>51</v>
      </c>
      <c r="C16" s="179" t="s">
        <v>52</v>
      </c>
      <c r="D16" s="49">
        <f>VLOOKUP(C16,'[1]PREÇO ATUAL'!$A:$D,4,0)</f>
        <v>98.473564967525803</v>
      </c>
      <c r="E16" s="161">
        <v>5.75</v>
      </c>
      <c r="F16" s="161">
        <v>5.75</v>
      </c>
      <c r="G16" s="161">
        <v>5.75</v>
      </c>
      <c r="H16" s="63">
        <v>5.75</v>
      </c>
      <c r="I16" s="63">
        <v>5.75</v>
      </c>
      <c r="J16" s="63">
        <v>5.75</v>
      </c>
      <c r="K16" s="63">
        <v>5.75</v>
      </c>
      <c r="L16" s="63">
        <v>5.75</v>
      </c>
      <c r="M16" s="63">
        <v>5.75</v>
      </c>
      <c r="N16" s="63">
        <v>5.75</v>
      </c>
      <c r="O16" s="63"/>
      <c r="P16" s="63"/>
      <c r="Q16" s="63"/>
      <c r="R16" s="63"/>
      <c r="S16" s="63"/>
      <c r="T16" s="52">
        <f t="shared" ref="T16:AH16" si="15">$D$16*E16</f>
        <v>566.22299856327334</v>
      </c>
      <c r="U16" s="52">
        <f t="shared" si="15"/>
        <v>566.22299856327334</v>
      </c>
      <c r="V16" s="52">
        <f t="shared" si="15"/>
        <v>566.22299856327334</v>
      </c>
      <c r="W16" s="52">
        <f t="shared" si="15"/>
        <v>566.22299856327334</v>
      </c>
      <c r="X16" s="52">
        <f t="shared" si="15"/>
        <v>566.22299856327334</v>
      </c>
      <c r="Y16" s="52">
        <f t="shared" si="15"/>
        <v>566.22299856327334</v>
      </c>
      <c r="Z16" s="52">
        <f t="shared" si="15"/>
        <v>566.22299856327334</v>
      </c>
      <c r="AA16" s="52">
        <f t="shared" si="15"/>
        <v>566.22299856327334</v>
      </c>
      <c r="AB16" s="52">
        <f t="shared" si="15"/>
        <v>566.22299856327334</v>
      </c>
      <c r="AC16" s="52">
        <f t="shared" si="15"/>
        <v>566.22299856327334</v>
      </c>
      <c r="AD16" s="52">
        <f t="shared" si="15"/>
        <v>0</v>
      </c>
      <c r="AE16" s="52">
        <f t="shared" si="15"/>
        <v>0</v>
      </c>
      <c r="AF16" s="52">
        <f t="shared" si="15"/>
        <v>0</v>
      </c>
      <c r="AG16" s="52">
        <f t="shared" si="15"/>
        <v>0</v>
      </c>
      <c r="AH16" s="52">
        <f t="shared" si="15"/>
        <v>0</v>
      </c>
      <c r="AI16" s="82" t="e">
        <f t="shared" si="3"/>
        <v>#N/A</v>
      </c>
      <c r="AJ16" s="52">
        <f t="shared" si="4"/>
        <v>5662.2299856327327</v>
      </c>
    </row>
    <row r="17" spans="1:36" ht="15" customHeight="1" x14ac:dyDescent="0.4">
      <c r="A17" s="54">
        <v>14</v>
      </c>
      <c r="B17" s="55" t="s">
        <v>53</v>
      </c>
      <c r="C17" s="180" t="s">
        <v>54</v>
      </c>
      <c r="D17" s="57" t="e">
        <f>VLOOKUP(C17,'[1]PREÇO ATUAL'!$A:$D,4,0)</f>
        <v>#N/A</v>
      </c>
      <c r="E17" s="64">
        <v>2</v>
      </c>
      <c r="F17" s="64">
        <v>2.1</v>
      </c>
      <c r="G17" s="64">
        <v>4</v>
      </c>
      <c r="H17" s="64">
        <v>2.6</v>
      </c>
      <c r="I17" s="64">
        <v>2</v>
      </c>
      <c r="J17" s="64">
        <v>4.3</v>
      </c>
      <c r="K17" s="64">
        <v>2</v>
      </c>
      <c r="L17" s="64">
        <v>2.1</v>
      </c>
      <c r="M17" s="64">
        <v>4</v>
      </c>
      <c r="N17" s="64">
        <v>1.6</v>
      </c>
      <c r="O17" s="64"/>
      <c r="P17" s="64"/>
      <c r="Q17" s="64"/>
      <c r="R17" s="64"/>
      <c r="S17" s="64"/>
      <c r="T17" s="60" t="e">
        <f t="shared" ref="T17:AH17" si="16">$D$17*E17</f>
        <v>#N/A</v>
      </c>
      <c r="U17" s="60" t="e">
        <f t="shared" si="16"/>
        <v>#N/A</v>
      </c>
      <c r="V17" s="60" t="e">
        <f t="shared" si="16"/>
        <v>#N/A</v>
      </c>
      <c r="W17" s="60" t="e">
        <f t="shared" si="16"/>
        <v>#N/A</v>
      </c>
      <c r="X17" s="60" t="e">
        <f t="shared" si="16"/>
        <v>#N/A</v>
      </c>
      <c r="Y17" s="60" t="e">
        <f t="shared" si="16"/>
        <v>#N/A</v>
      </c>
      <c r="Z17" s="60" t="e">
        <f t="shared" si="16"/>
        <v>#N/A</v>
      </c>
      <c r="AA17" s="60" t="e">
        <f t="shared" si="16"/>
        <v>#N/A</v>
      </c>
      <c r="AB17" s="60" t="e">
        <f t="shared" si="16"/>
        <v>#N/A</v>
      </c>
      <c r="AC17" s="60" t="e">
        <f t="shared" si="16"/>
        <v>#N/A</v>
      </c>
      <c r="AD17" s="60" t="e">
        <f t="shared" si="16"/>
        <v>#N/A</v>
      </c>
      <c r="AE17" s="60" t="e">
        <f t="shared" si="16"/>
        <v>#N/A</v>
      </c>
      <c r="AF17" s="60" t="e">
        <f t="shared" si="16"/>
        <v>#N/A</v>
      </c>
      <c r="AG17" s="60" t="e">
        <f t="shared" si="16"/>
        <v>#N/A</v>
      </c>
      <c r="AH17" s="60" t="e">
        <f t="shared" si="16"/>
        <v>#N/A</v>
      </c>
      <c r="AI17" s="83" t="e">
        <f t="shared" si="3"/>
        <v>#N/A</v>
      </c>
      <c r="AJ17" s="60" t="e">
        <f t="shared" si="4"/>
        <v>#N/A</v>
      </c>
    </row>
    <row r="19" spans="1:36" ht="15" customHeight="1" x14ac:dyDescent="0.4">
      <c r="A19" s="210" t="s">
        <v>55</v>
      </c>
      <c r="B19" s="211"/>
      <c r="C19" s="211"/>
      <c r="D19" s="212"/>
      <c r="E19" s="218" t="s">
        <v>1</v>
      </c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22" t="s">
        <v>2</v>
      </c>
      <c r="U19" s="223"/>
      <c r="V19" s="223"/>
      <c r="W19" s="223"/>
      <c r="X19" s="223"/>
      <c r="Y19" s="223"/>
      <c r="Z19" s="223"/>
      <c r="AA19" s="223"/>
      <c r="AB19" s="223"/>
      <c r="AC19" s="223"/>
      <c r="AD19" s="223"/>
      <c r="AE19" s="223"/>
      <c r="AF19" s="223"/>
      <c r="AG19" s="223"/>
      <c r="AH19" s="223"/>
      <c r="AI19" s="221" t="s">
        <v>3</v>
      </c>
      <c r="AJ19" s="217"/>
    </row>
    <row r="20" spans="1:36" ht="15" customHeight="1" x14ac:dyDescent="0.4">
      <c r="A20" s="213"/>
      <c r="B20" s="214"/>
      <c r="C20" s="214"/>
      <c r="D20" s="215"/>
      <c r="E20" s="35"/>
      <c r="F20" s="36"/>
      <c r="G20" s="36"/>
      <c r="H20" s="36"/>
      <c r="I20" s="36"/>
      <c r="J20" s="36"/>
      <c r="K20" s="36"/>
      <c r="L20" s="36"/>
      <c r="M20" s="36"/>
      <c r="N20" s="185"/>
      <c r="O20" s="36"/>
      <c r="P20" s="36"/>
      <c r="Q20" s="36"/>
      <c r="R20" s="36"/>
      <c r="S20" s="36"/>
      <c r="T20" s="37" t="e">
        <f t="shared" ref="T20:AH20" si="17">MROUND(SUM(T22:T30),1)</f>
        <v>#N/A</v>
      </c>
      <c r="U20" s="37" t="e">
        <f t="shared" si="17"/>
        <v>#N/A</v>
      </c>
      <c r="V20" s="37" t="e">
        <f t="shared" si="17"/>
        <v>#N/A</v>
      </c>
      <c r="W20" s="37" t="e">
        <f t="shared" si="17"/>
        <v>#N/A</v>
      </c>
      <c r="X20" s="37" t="e">
        <f t="shared" si="17"/>
        <v>#N/A</v>
      </c>
      <c r="Y20" s="37" t="e">
        <f t="shared" si="17"/>
        <v>#N/A</v>
      </c>
      <c r="Z20" s="37" t="e">
        <f t="shared" si="17"/>
        <v>#N/A</v>
      </c>
      <c r="AA20" s="37" t="e">
        <f t="shared" si="17"/>
        <v>#N/A</v>
      </c>
      <c r="AB20" s="37" t="e">
        <f t="shared" si="17"/>
        <v>#N/A</v>
      </c>
      <c r="AC20" s="37" t="e">
        <f t="shared" si="17"/>
        <v>#N/A</v>
      </c>
      <c r="AD20" s="37" t="e">
        <f t="shared" si="17"/>
        <v>#N/A</v>
      </c>
      <c r="AE20" s="37" t="e">
        <f t="shared" si="17"/>
        <v>#N/A</v>
      </c>
      <c r="AF20" s="37" t="e">
        <f t="shared" si="17"/>
        <v>#N/A</v>
      </c>
      <c r="AG20" s="37" t="e">
        <f t="shared" si="17"/>
        <v>#N/A</v>
      </c>
      <c r="AH20" s="37" t="e">
        <f t="shared" si="17"/>
        <v>#N/A</v>
      </c>
      <c r="AI20" s="208" t="e">
        <f>SUM(T20:AH20)</f>
        <v>#N/A</v>
      </c>
      <c r="AJ20" s="209"/>
    </row>
    <row r="21" spans="1:36" ht="15" customHeight="1" x14ac:dyDescent="0.4">
      <c r="A21" s="39" t="s">
        <v>5</v>
      </c>
      <c r="B21" s="39" t="s">
        <v>6</v>
      </c>
      <c r="C21" s="40" t="s">
        <v>7</v>
      </c>
      <c r="D21" s="178" t="s">
        <v>8</v>
      </c>
      <c r="E21" s="42" t="s">
        <v>9</v>
      </c>
      <c r="F21" s="42" t="s">
        <v>10</v>
      </c>
      <c r="G21" s="42" t="s">
        <v>11</v>
      </c>
      <c r="H21" s="42" t="s">
        <v>12</v>
      </c>
      <c r="I21" s="42" t="s">
        <v>13</v>
      </c>
      <c r="J21" s="42" t="s">
        <v>14</v>
      </c>
      <c r="K21" s="42" t="s">
        <v>15</v>
      </c>
      <c r="L21" s="42" t="s">
        <v>16</v>
      </c>
      <c r="M21" s="42" t="s">
        <v>17</v>
      </c>
      <c r="N21" s="42" t="s">
        <v>18</v>
      </c>
      <c r="O21" s="44" t="s">
        <v>19</v>
      </c>
      <c r="P21" s="42" t="s">
        <v>20</v>
      </c>
      <c r="Q21" s="42" t="s">
        <v>21</v>
      </c>
      <c r="R21" s="42" t="s">
        <v>22</v>
      </c>
      <c r="S21" s="42" t="s">
        <v>23</v>
      </c>
      <c r="T21" s="42">
        <v>20000</v>
      </c>
      <c r="U21" s="42">
        <v>40000</v>
      </c>
      <c r="V21" s="42">
        <v>60000</v>
      </c>
      <c r="W21" s="42">
        <v>80000</v>
      </c>
      <c r="X21" s="42">
        <v>100000</v>
      </c>
      <c r="Y21" s="42">
        <v>120000</v>
      </c>
      <c r="Z21" s="42">
        <v>140000</v>
      </c>
      <c r="AA21" s="42">
        <v>160000</v>
      </c>
      <c r="AB21" s="42">
        <v>180000</v>
      </c>
      <c r="AC21" s="42">
        <f t="shared" ref="AC21:AH21" si="18">AB21+20000</f>
        <v>200000</v>
      </c>
      <c r="AD21" s="42">
        <f t="shared" si="18"/>
        <v>220000</v>
      </c>
      <c r="AE21" s="42">
        <f t="shared" si="18"/>
        <v>240000</v>
      </c>
      <c r="AF21" s="42">
        <f t="shared" si="18"/>
        <v>260000</v>
      </c>
      <c r="AG21" s="42">
        <f t="shared" si="18"/>
        <v>280000</v>
      </c>
      <c r="AH21" s="42">
        <f t="shared" si="18"/>
        <v>300000</v>
      </c>
      <c r="AI21" s="45" t="s">
        <v>24</v>
      </c>
      <c r="AJ21" s="39" t="s">
        <v>25</v>
      </c>
    </row>
    <row r="22" spans="1:36" ht="15" customHeight="1" x14ac:dyDescent="0.4">
      <c r="A22" s="46">
        <v>1</v>
      </c>
      <c r="B22" s="47" t="s">
        <v>56</v>
      </c>
      <c r="C22" s="179" t="s">
        <v>57</v>
      </c>
      <c r="D22" s="49">
        <f>VLOOKUP(C22,'[1]PREÇO ATUAL'!$A:$D,4,0)</f>
        <v>110.2</v>
      </c>
      <c r="E22" s="50">
        <v>1</v>
      </c>
      <c r="F22" s="50">
        <v>1</v>
      </c>
      <c r="G22" s="50">
        <v>1</v>
      </c>
      <c r="H22" s="50">
        <v>1</v>
      </c>
      <c r="I22" s="50">
        <v>1</v>
      </c>
      <c r="J22" s="50">
        <v>1</v>
      </c>
      <c r="K22" s="50">
        <v>1</v>
      </c>
      <c r="L22" s="50">
        <v>1</v>
      </c>
      <c r="M22" s="50">
        <v>1</v>
      </c>
      <c r="N22" s="50">
        <v>1</v>
      </c>
      <c r="O22" s="50">
        <v>1</v>
      </c>
      <c r="P22" s="50">
        <v>1</v>
      </c>
      <c r="Q22" s="50">
        <v>1</v>
      </c>
      <c r="R22" s="50">
        <v>1</v>
      </c>
      <c r="S22" s="50">
        <v>1</v>
      </c>
      <c r="T22" s="52">
        <f t="shared" ref="T22:T30" si="19">$D22*E22</f>
        <v>110.2</v>
      </c>
      <c r="U22" s="52">
        <f t="shared" ref="U22:U30" si="20">$D22*F22</f>
        <v>110.2</v>
      </c>
      <c r="V22" s="52">
        <f t="shared" ref="V22:V30" si="21">$D22*G22</f>
        <v>110.2</v>
      </c>
      <c r="W22" s="52">
        <f t="shared" ref="W22:W30" si="22">$D22*H22</f>
        <v>110.2</v>
      </c>
      <c r="X22" s="52">
        <f t="shared" ref="X22:X30" si="23">$D22*I22</f>
        <v>110.2</v>
      </c>
      <c r="Y22" s="52">
        <f t="shared" ref="Y22:Y30" si="24">$D22*J22</f>
        <v>110.2</v>
      </c>
      <c r="Z22" s="52">
        <f t="shared" ref="Z22:Z30" si="25">$D22*K22</f>
        <v>110.2</v>
      </c>
      <c r="AA22" s="52">
        <f t="shared" ref="AA22:AA30" si="26">$D22*L22</f>
        <v>110.2</v>
      </c>
      <c r="AB22" s="52">
        <f t="shared" ref="AB22:AB30" si="27">$D22*M22</f>
        <v>110.2</v>
      </c>
      <c r="AC22" s="52">
        <f t="shared" ref="AC22:AC30" si="28">$D22*N22</f>
        <v>110.2</v>
      </c>
      <c r="AD22" s="52">
        <f t="shared" ref="AD22:AD30" si="29">$D22*O22</f>
        <v>110.2</v>
      </c>
      <c r="AE22" s="52">
        <f t="shared" ref="AE22:AE30" si="30">$D22*P22</f>
        <v>110.2</v>
      </c>
      <c r="AF22" s="52">
        <f t="shared" ref="AF22:AF30" si="31">$D22*Q22</f>
        <v>110.2</v>
      </c>
      <c r="AG22" s="52">
        <f t="shared" ref="AG22:AG30" si="32">$D22*R22</f>
        <v>110.2</v>
      </c>
      <c r="AH22" s="52">
        <f t="shared" ref="AH22:AH30" si="33">$D22*S22</f>
        <v>110.2</v>
      </c>
      <c r="AI22" s="82" t="e">
        <f t="shared" ref="AI22:AI27" si="34">AJ22/$AI$2</f>
        <v>#N/A</v>
      </c>
      <c r="AJ22" s="52">
        <f t="shared" ref="AJ22:AJ30" si="35">SUM(T22:AH22)</f>
        <v>1653.0000000000005</v>
      </c>
    </row>
    <row r="23" spans="1:36" ht="15" customHeight="1" x14ac:dyDescent="0.4">
      <c r="A23" s="54">
        <v>2</v>
      </c>
      <c r="B23" s="55" t="s">
        <v>58</v>
      </c>
      <c r="C23" s="180" t="s">
        <v>59</v>
      </c>
      <c r="D23" s="57">
        <f>VLOOKUP(C23,'[1]PREÇO ATUAL'!$A:$D,4,0)</f>
        <v>490</v>
      </c>
      <c r="E23" s="58">
        <v>1</v>
      </c>
      <c r="F23" s="58">
        <v>1</v>
      </c>
      <c r="G23" s="58">
        <v>1</v>
      </c>
      <c r="H23" s="58">
        <v>1</v>
      </c>
      <c r="I23" s="58">
        <v>1</v>
      </c>
      <c r="J23" s="58">
        <v>1</v>
      </c>
      <c r="K23" s="58">
        <v>1</v>
      </c>
      <c r="L23" s="58">
        <v>1</v>
      </c>
      <c r="M23" s="58">
        <v>1</v>
      </c>
      <c r="N23" s="58">
        <v>1</v>
      </c>
      <c r="O23" s="58">
        <v>1</v>
      </c>
      <c r="P23" s="58">
        <v>1</v>
      </c>
      <c r="Q23" s="58">
        <v>1</v>
      </c>
      <c r="R23" s="58">
        <v>1</v>
      </c>
      <c r="S23" s="58">
        <v>1</v>
      </c>
      <c r="T23" s="60">
        <f t="shared" si="19"/>
        <v>490</v>
      </c>
      <c r="U23" s="60">
        <f t="shared" si="20"/>
        <v>490</v>
      </c>
      <c r="V23" s="60">
        <f t="shared" si="21"/>
        <v>490</v>
      </c>
      <c r="W23" s="60">
        <f t="shared" si="22"/>
        <v>490</v>
      </c>
      <c r="X23" s="60">
        <f t="shared" si="23"/>
        <v>490</v>
      </c>
      <c r="Y23" s="60">
        <f t="shared" si="24"/>
        <v>490</v>
      </c>
      <c r="Z23" s="60">
        <f t="shared" si="25"/>
        <v>490</v>
      </c>
      <c r="AA23" s="60">
        <f t="shared" si="26"/>
        <v>490</v>
      </c>
      <c r="AB23" s="60">
        <f t="shared" si="27"/>
        <v>490</v>
      </c>
      <c r="AC23" s="60">
        <f t="shared" si="28"/>
        <v>490</v>
      </c>
      <c r="AD23" s="60">
        <f t="shared" si="29"/>
        <v>490</v>
      </c>
      <c r="AE23" s="60">
        <f t="shared" si="30"/>
        <v>490</v>
      </c>
      <c r="AF23" s="60">
        <f t="shared" si="31"/>
        <v>490</v>
      </c>
      <c r="AG23" s="60">
        <f t="shared" si="32"/>
        <v>490</v>
      </c>
      <c r="AH23" s="60">
        <f t="shared" si="33"/>
        <v>490</v>
      </c>
      <c r="AI23" s="83" t="e">
        <f t="shared" si="34"/>
        <v>#N/A</v>
      </c>
      <c r="AJ23" s="60">
        <f t="shared" si="35"/>
        <v>7350</v>
      </c>
    </row>
    <row r="24" spans="1:36" ht="15" customHeight="1" x14ac:dyDescent="0.4">
      <c r="A24" s="46">
        <v>3</v>
      </c>
      <c r="B24" s="47" t="s">
        <v>60</v>
      </c>
      <c r="C24" s="179" t="s">
        <v>61</v>
      </c>
      <c r="D24" s="49">
        <f>VLOOKUP(C24,'[1]PREÇO ATUAL'!$A:$D,4,0)</f>
        <v>168.9</v>
      </c>
      <c r="E24" s="50">
        <v>1</v>
      </c>
      <c r="F24" s="50">
        <v>1</v>
      </c>
      <c r="G24" s="50">
        <v>1</v>
      </c>
      <c r="H24" s="50">
        <v>1</v>
      </c>
      <c r="I24" s="50">
        <v>1</v>
      </c>
      <c r="J24" s="50">
        <v>1</v>
      </c>
      <c r="K24" s="50">
        <v>1</v>
      </c>
      <c r="L24" s="50">
        <v>1</v>
      </c>
      <c r="M24" s="50">
        <v>1</v>
      </c>
      <c r="N24" s="50">
        <v>1</v>
      </c>
      <c r="O24" s="50">
        <v>1</v>
      </c>
      <c r="P24" s="50">
        <v>1</v>
      </c>
      <c r="Q24" s="50">
        <v>1</v>
      </c>
      <c r="R24" s="50">
        <v>1</v>
      </c>
      <c r="S24" s="50">
        <v>1</v>
      </c>
      <c r="T24" s="52">
        <f t="shared" si="19"/>
        <v>168.9</v>
      </c>
      <c r="U24" s="52">
        <f t="shared" si="20"/>
        <v>168.9</v>
      </c>
      <c r="V24" s="52">
        <f t="shared" si="21"/>
        <v>168.9</v>
      </c>
      <c r="W24" s="52">
        <f t="shared" si="22"/>
        <v>168.9</v>
      </c>
      <c r="X24" s="52">
        <f t="shared" si="23"/>
        <v>168.9</v>
      </c>
      <c r="Y24" s="52">
        <f t="shared" si="24"/>
        <v>168.9</v>
      </c>
      <c r="Z24" s="52">
        <f t="shared" si="25"/>
        <v>168.9</v>
      </c>
      <c r="AA24" s="52">
        <f t="shared" si="26"/>
        <v>168.9</v>
      </c>
      <c r="AB24" s="52">
        <f t="shared" si="27"/>
        <v>168.9</v>
      </c>
      <c r="AC24" s="52">
        <f t="shared" si="28"/>
        <v>168.9</v>
      </c>
      <c r="AD24" s="52">
        <f t="shared" si="29"/>
        <v>168.9</v>
      </c>
      <c r="AE24" s="52">
        <f t="shared" si="30"/>
        <v>168.9</v>
      </c>
      <c r="AF24" s="52">
        <f t="shared" si="31"/>
        <v>168.9</v>
      </c>
      <c r="AG24" s="52">
        <f t="shared" si="32"/>
        <v>168.9</v>
      </c>
      <c r="AH24" s="52">
        <f t="shared" si="33"/>
        <v>168.9</v>
      </c>
      <c r="AI24" s="82" t="e">
        <f t="shared" si="34"/>
        <v>#N/A</v>
      </c>
      <c r="AJ24" s="52">
        <f t="shared" si="35"/>
        <v>2533.5000000000005</v>
      </c>
    </row>
    <row r="25" spans="1:36" ht="23.25" customHeight="1" x14ac:dyDescent="0.4">
      <c r="A25" s="54">
        <v>4</v>
      </c>
      <c r="B25" s="67" t="s">
        <v>62</v>
      </c>
      <c r="C25" s="180" t="s">
        <v>63</v>
      </c>
      <c r="D25" s="57">
        <f>VLOOKUP(C25,'[1]PREÇO ATUAL'!$A:$D,4,0)</f>
        <v>289</v>
      </c>
      <c r="E25" s="58"/>
      <c r="F25" s="58"/>
      <c r="G25" s="58">
        <v>1</v>
      </c>
      <c r="H25" s="58"/>
      <c r="I25" s="58"/>
      <c r="J25" s="58">
        <v>1</v>
      </c>
      <c r="K25" s="58"/>
      <c r="L25" s="58"/>
      <c r="M25" s="58">
        <v>1</v>
      </c>
      <c r="N25" s="58"/>
      <c r="O25" s="58"/>
      <c r="P25" s="58">
        <v>1</v>
      </c>
      <c r="Q25" s="58"/>
      <c r="R25" s="58"/>
      <c r="S25" s="58">
        <v>1</v>
      </c>
      <c r="T25" s="60">
        <f t="shared" si="19"/>
        <v>0</v>
      </c>
      <c r="U25" s="60">
        <f t="shared" si="20"/>
        <v>0</v>
      </c>
      <c r="V25" s="60">
        <f t="shared" si="21"/>
        <v>289</v>
      </c>
      <c r="W25" s="60">
        <f t="shared" si="22"/>
        <v>0</v>
      </c>
      <c r="X25" s="60">
        <f t="shared" si="23"/>
        <v>0</v>
      </c>
      <c r="Y25" s="60">
        <f t="shared" si="24"/>
        <v>289</v>
      </c>
      <c r="Z25" s="60">
        <f t="shared" si="25"/>
        <v>0</v>
      </c>
      <c r="AA25" s="60">
        <f t="shared" si="26"/>
        <v>0</v>
      </c>
      <c r="AB25" s="60">
        <f t="shared" si="27"/>
        <v>289</v>
      </c>
      <c r="AC25" s="60">
        <f t="shared" si="28"/>
        <v>0</v>
      </c>
      <c r="AD25" s="60">
        <f t="shared" si="29"/>
        <v>0</v>
      </c>
      <c r="AE25" s="60">
        <f t="shared" si="30"/>
        <v>289</v>
      </c>
      <c r="AF25" s="60">
        <f t="shared" si="31"/>
        <v>0</v>
      </c>
      <c r="AG25" s="60">
        <f t="shared" si="32"/>
        <v>0</v>
      </c>
      <c r="AH25" s="60">
        <f t="shared" si="33"/>
        <v>289</v>
      </c>
      <c r="AI25" s="83" t="e">
        <f t="shared" si="34"/>
        <v>#N/A</v>
      </c>
      <c r="AJ25" s="60">
        <f t="shared" si="35"/>
        <v>1445</v>
      </c>
    </row>
    <row r="26" spans="1:36" ht="27" customHeight="1" x14ac:dyDescent="0.4">
      <c r="A26" s="46">
        <v>5</v>
      </c>
      <c r="B26" s="66" t="s">
        <v>64</v>
      </c>
      <c r="C26" s="179" t="s">
        <v>65</v>
      </c>
      <c r="D26" s="49">
        <f>VLOOKUP(C26,'[1]PREÇO ATUAL'!$A:$D,4,0)</f>
        <v>567.54999999999995</v>
      </c>
      <c r="E26" s="50"/>
      <c r="F26" s="50"/>
      <c r="G26" s="50"/>
      <c r="H26" s="50"/>
      <c r="I26" s="50"/>
      <c r="J26" s="50">
        <v>1</v>
      </c>
      <c r="K26" s="50"/>
      <c r="L26" s="50"/>
      <c r="M26" s="50"/>
      <c r="N26" s="50"/>
      <c r="O26" s="50"/>
      <c r="P26" s="50">
        <v>1</v>
      </c>
      <c r="Q26" s="50"/>
      <c r="R26" s="50"/>
      <c r="S26" s="50"/>
      <c r="T26" s="52">
        <f t="shared" si="19"/>
        <v>0</v>
      </c>
      <c r="U26" s="52">
        <f t="shared" si="20"/>
        <v>0</v>
      </c>
      <c r="V26" s="52">
        <f t="shared" si="21"/>
        <v>0</v>
      </c>
      <c r="W26" s="52">
        <f t="shared" si="22"/>
        <v>0</v>
      </c>
      <c r="X26" s="52">
        <f t="shared" si="23"/>
        <v>0</v>
      </c>
      <c r="Y26" s="52">
        <f t="shared" si="24"/>
        <v>567.54999999999995</v>
      </c>
      <c r="Z26" s="52">
        <f t="shared" si="25"/>
        <v>0</v>
      </c>
      <c r="AA26" s="52">
        <f t="shared" si="26"/>
        <v>0</v>
      </c>
      <c r="AB26" s="52">
        <f t="shared" si="27"/>
        <v>0</v>
      </c>
      <c r="AC26" s="52">
        <f t="shared" si="28"/>
        <v>0</v>
      </c>
      <c r="AD26" s="52">
        <f t="shared" si="29"/>
        <v>0</v>
      </c>
      <c r="AE26" s="52">
        <f t="shared" si="30"/>
        <v>567.54999999999995</v>
      </c>
      <c r="AF26" s="52">
        <f t="shared" si="31"/>
        <v>0</v>
      </c>
      <c r="AG26" s="52">
        <f t="shared" si="32"/>
        <v>0</v>
      </c>
      <c r="AH26" s="52">
        <f t="shared" si="33"/>
        <v>0</v>
      </c>
      <c r="AI26" s="82" t="e">
        <f t="shared" si="34"/>
        <v>#N/A</v>
      </c>
      <c r="AJ26" s="52">
        <f t="shared" si="35"/>
        <v>1135.0999999999999</v>
      </c>
    </row>
    <row r="27" spans="1:36" ht="23.25" customHeight="1" x14ac:dyDescent="0.4">
      <c r="A27" s="54">
        <v>6</v>
      </c>
      <c r="B27" s="67" t="s">
        <v>66</v>
      </c>
      <c r="C27" s="180" t="s">
        <v>67</v>
      </c>
      <c r="D27" s="57">
        <f>VLOOKUP(C27,'[1]PREÇO ATUAL'!$A:$D,4,0)</f>
        <v>580.29325200000005</v>
      </c>
      <c r="E27" s="105"/>
      <c r="F27" s="105">
        <v>0.7</v>
      </c>
      <c r="G27" s="58"/>
      <c r="H27" s="105">
        <v>0.7</v>
      </c>
      <c r="I27" s="105"/>
      <c r="J27" s="105">
        <v>0.7</v>
      </c>
      <c r="K27" s="105"/>
      <c r="L27" s="105">
        <v>0.7</v>
      </c>
      <c r="M27" s="58"/>
      <c r="N27" s="105">
        <v>0.7</v>
      </c>
      <c r="O27" s="105"/>
      <c r="P27" s="105">
        <v>0.7</v>
      </c>
      <c r="Q27" s="105"/>
      <c r="R27" s="105">
        <v>0.7</v>
      </c>
      <c r="S27" s="105"/>
      <c r="T27" s="60">
        <f t="shared" si="19"/>
        <v>0</v>
      </c>
      <c r="U27" s="60">
        <f t="shared" si="20"/>
        <v>406.2052764</v>
      </c>
      <c r="V27" s="60">
        <f t="shared" si="21"/>
        <v>0</v>
      </c>
      <c r="W27" s="60">
        <f t="shared" si="22"/>
        <v>406.2052764</v>
      </c>
      <c r="X27" s="60">
        <f t="shared" si="23"/>
        <v>0</v>
      </c>
      <c r="Y27" s="60">
        <f t="shared" si="24"/>
        <v>406.2052764</v>
      </c>
      <c r="Z27" s="60">
        <f t="shared" si="25"/>
        <v>0</v>
      </c>
      <c r="AA27" s="60">
        <f t="shared" si="26"/>
        <v>406.2052764</v>
      </c>
      <c r="AB27" s="60">
        <f t="shared" si="27"/>
        <v>0</v>
      </c>
      <c r="AC27" s="60">
        <f t="shared" si="28"/>
        <v>406.2052764</v>
      </c>
      <c r="AD27" s="60">
        <f t="shared" si="29"/>
        <v>0</v>
      </c>
      <c r="AE27" s="60">
        <f t="shared" si="30"/>
        <v>406.2052764</v>
      </c>
      <c r="AF27" s="60">
        <f t="shared" si="31"/>
        <v>0</v>
      </c>
      <c r="AG27" s="60">
        <f t="shared" si="32"/>
        <v>406.2052764</v>
      </c>
      <c r="AH27" s="60">
        <f t="shared" si="33"/>
        <v>0</v>
      </c>
      <c r="AI27" s="83" t="e">
        <f t="shared" si="34"/>
        <v>#N/A</v>
      </c>
      <c r="AJ27" s="60">
        <f t="shared" si="35"/>
        <v>2843.4369348</v>
      </c>
    </row>
    <row r="28" spans="1:36" ht="27" customHeight="1" x14ac:dyDescent="0.4">
      <c r="A28" s="46">
        <v>7</v>
      </c>
      <c r="B28" s="66" t="s">
        <v>68</v>
      </c>
      <c r="C28" s="179" t="s">
        <v>69</v>
      </c>
      <c r="D28" s="49">
        <f>VLOOKUP(C28,'[1]PREÇO ATUAL'!$A:$D,4,0)</f>
        <v>0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2">
        <f t="shared" si="19"/>
        <v>0</v>
      </c>
      <c r="U28" s="52">
        <f t="shared" si="20"/>
        <v>0</v>
      </c>
      <c r="V28" s="52">
        <f t="shared" si="21"/>
        <v>0</v>
      </c>
      <c r="W28" s="52">
        <f t="shared" si="22"/>
        <v>0</v>
      </c>
      <c r="X28" s="52">
        <f t="shared" si="23"/>
        <v>0</v>
      </c>
      <c r="Y28" s="52">
        <f t="shared" si="24"/>
        <v>0</v>
      </c>
      <c r="Z28" s="52">
        <f t="shared" si="25"/>
        <v>0</v>
      </c>
      <c r="AA28" s="52">
        <f t="shared" si="26"/>
        <v>0</v>
      </c>
      <c r="AB28" s="52">
        <f t="shared" si="27"/>
        <v>0</v>
      </c>
      <c r="AC28" s="52">
        <f t="shared" si="28"/>
        <v>0</v>
      </c>
      <c r="AD28" s="52">
        <f t="shared" si="29"/>
        <v>0</v>
      </c>
      <c r="AE28" s="52">
        <f t="shared" si="30"/>
        <v>0</v>
      </c>
      <c r="AF28" s="52">
        <f t="shared" si="31"/>
        <v>0</v>
      </c>
      <c r="AG28" s="52">
        <f t="shared" si="32"/>
        <v>0</v>
      </c>
      <c r="AH28" s="52">
        <f t="shared" si="33"/>
        <v>0</v>
      </c>
      <c r="AI28" s="82"/>
      <c r="AJ28" s="52">
        <f t="shared" si="35"/>
        <v>0</v>
      </c>
    </row>
    <row r="29" spans="1:36" ht="13.85" customHeight="1" x14ac:dyDescent="0.4">
      <c r="A29" s="54">
        <v>8</v>
      </c>
      <c r="B29" s="67" t="s">
        <v>70</v>
      </c>
      <c r="C29" s="180" t="s">
        <v>71</v>
      </c>
      <c r="D29" s="57">
        <f>VLOOKUP(C29,'[1]PREÇO ATUAL'!$A:$D,4,0)</f>
        <v>91.54</v>
      </c>
      <c r="E29" s="190">
        <v>5.2</v>
      </c>
      <c r="F29" s="190">
        <v>5.2</v>
      </c>
      <c r="G29" s="190">
        <v>5.2</v>
      </c>
      <c r="H29" s="190">
        <v>5.2</v>
      </c>
      <c r="I29" s="190">
        <v>5.2</v>
      </c>
      <c r="J29" s="190">
        <v>5.2</v>
      </c>
      <c r="K29" s="190">
        <v>5.2</v>
      </c>
      <c r="L29" s="190">
        <v>5.2</v>
      </c>
      <c r="M29" s="190">
        <v>5.2</v>
      </c>
      <c r="N29" s="190">
        <v>5.2</v>
      </c>
      <c r="O29" s="190">
        <v>5.2</v>
      </c>
      <c r="P29" s="190">
        <v>5.2</v>
      </c>
      <c r="Q29" s="190">
        <v>5.2</v>
      </c>
      <c r="R29" s="190">
        <v>5.2</v>
      </c>
      <c r="S29" s="190">
        <v>6</v>
      </c>
      <c r="T29" s="60">
        <f t="shared" si="19"/>
        <v>476.00800000000004</v>
      </c>
      <c r="U29" s="60">
        <f t="shared" si="20"/>
        <v>476.00800000000004</v>
      </c>
      <c r="V29" s="60">
        <f t="shared" si="21"/>
        <v>476.00800000000004</v>
      </c>
      <c r="W29" s="60">
        <f t="shared" si="22"/>
        <v>476.00800000000004</v>
      </c>
      <c r="X29" s="60">
        <f t="shared" si="23"/>
        <v>476.00800000000004</v>
      </c>
      <c r="Y29" s="60">
        <f t="shared" si="24"/>
        <v>476.00800000000004</v>
      </c>
      <c r="Z29" s="60">
        <f t="shared" si="25"/>
        <v>476.00800000000004</v>
      </c>
      <c r="AA29" s="60">
        <f t="shared" si="26"/>
        <v>476.00800000000004</v>
      </c>
      <c r="AB29" s="60">
        <f t="shared" si="27"/>
        <v>476.00800000000004</v>
      </c>
      <c r="AC29" s="60">
        <f t="shared" si="28"/>
        <v>476.00800000000004</v>
      </c>
      <c r="AD29" s="60">
        <f t="shared" si="29"/>
        <v>476.00800000000004</v>
      </c>
      <c r="AE29" s="60">
        <f t="shared" si="30"/>
        <v>476.00800000000004</v>
      </c>
      <c r="AF29" s="60">
        <f t="shared" si="31"/>
        <v>476.00800000000004</v>
      </c>
      <c r="AG29" s="60">
        <f t="shared" si="32"/>
        <v>476.00800000000004</v>
      </c>
      <c r="AH29" s="60">
        <f t="shared" si="33"/>
        <v>549.24</v>
      </c>
      <c r="AI29" s="83" t="e">
        <f>AJ29/$AI$2</f>
        <v>#N/A</v>
      </c>
      <c r="AJ29" s="60">
        <f t="shared" si="35"/>
        <v>7213.351999999998</v>
      </c>
    </row>
    <row r="30" spans="1:36" ht="15" customHeight="1" x14ac:dyDescent="0.4">
      <c r="A30" s="46">
        <v>9</v>
      </c>
      <c r="B30" s="66" t="s">
        <v>53</v>
      </c>
      <c r="C30" s="179" t="s">
        <v>54</v>
      </c>
      <c r="D30" s="49" t="e">
        <f>VLOOKUP(C30,'[1]PREÇO ATUAL'!$A:$D,4,0)</f>
        <v>#N/A</v>
      </c>
      <c r="E30" s="191">
        <v>1.5</v>
      </c>
      <c r="F30" s="191">
        <v>2.4</v>
      </c>
      <c r="G30" s="191">
        <v>1.7</v>
      </c>
      <c r="H30" s="191">
        <v>2.4</v>
      </c>
      <c r="I30" s="191">
        <v>1.5</v>
      </c>
      <c r="J30" s="191">
        <v>5.8</v>
      </c>
      <c r="K30" s="191">
        <v>1.5</v>
      </c>
      <c r="L30" s="191">
        <v>2.4</v>
      </c>
      <c r="M30" s="191">
        <v>1.7</v>
      </c>
      <c r="N30" s="191">
        <v>2.4</v>
      </c>
      <c r="O30" s="191">
        <v>1.5</v>
      </c>
      <c r="P30" s="191">
        <v>5.8</v>
      </c>
      <c r="Q30" s="191">
        <v>1.5</v>
      </c>
      <c r="R30" s="191">
        <v>2.4</v>
      </c>
      <c r="S30" s="191">
        <v>1.7</v>
      </c>
      <c r="T30" s="52" t="e">
        <f t="shared" si="19"/>
        <v>#N/A</v>
      </c>
      <c r="U30" s="52" t="e">
        <f t="shared" si="20"/>
        <v>#N/A</v>
      </c>
      <c r="V30" s="52" t="e">
        <f t="shared" si="21"/>
        <v>#N/A</v>
      </c>
      <c r="W30" s="52" t="e">
        <f t="shared" si="22"/>
        <v>#N/A</v>
      </c>
      <c r="X30" s="52" t="e">
        <f t="shared" si="23"/>
        <v>#N/A</v>
      </c>
      <c r="Y30" s="52" t="e">
        <f t="shared" si="24"/>
        <v>#N/A</v>
      </c>
      <c r="Z30" s="52" t="e">
        <f t="shared" si="25"/>
        <v>#N/A</v>
      </c>
      <c r="AA30" s="52" t="e">
        <f t="shared" si="26"/>
        <v>#N/A</v>
      </c>
      <c r="AB30" s="52" t="e">
        <f t="shared" si="27"/>
        <v>#N/A</v>
      </c>
      <c r="AC30" s="52" t="e">
        <f t="shared" si="28"/>
        <v>#N/A</v>
      </c>
      <c r="AD30" s="52" t="e">
        <f t="shared" si="29"/>
        <v>#N/A</v>
      </c>
      <c r="AE30" s="52" t="e">
        <f t="shared" si="30"/>
        <v>#N/A</v>
      </c>
      <c r="AF30" s="52" t="e">
        <f t="shared" si="31"/>
        <v>#N/A</v>
      </c>
      <c r="AG30" s="52" t="e">
        <f t="shared" si="32"/>
        <v>#N/A</v>
      </c>
      <c r="AH30" s="52" t="e">
        <f t="shared" si="33"/>
        <v>#N/A</v>
      </c>
      <c r="AI30" s="82" t="e">
        <f>AJ30/$AI$2</f>
        <v>#N/A</v>
      </c>
      <c r="AJ30" s="52" t="e">
        <f t="shared" si="35"/>
        <v>#N/A</v>
      </c>
    </row>
    <row r="31" spans="1:36" ht="15" customHeight="1" x14ac:dyDescent="0.4">
      <c r="F31" s="65"/>
      <c r="H31" s="65"/>
      <c r="J31" s="65"/>
      <c r="L31" s="65"/>
      <c r="N31" s="65"/>
      <c r="O31" s="65"/>
      <c r="P31" s="65"/>
      <c r="Q31" s="65"/>
      <c r="R31" s="65"/>
      <c r="S31" s="65"/>
    </row>
    <row r="32" spans="1:36" ht="15" customHeight="1" x14ac:dyDescent="0.4">
      <c r="A32" s="210" t="s">
        <v>72</v>
      </c>
      <c r="B32" s="211"/>
      <c r="C32" s="211"/>
      <c r="D32" s="212"/>
      <c r="E32" s="219" t="s">
        <v>1</v>
      </c>
      <c r="F32" s="214"/>
      <c r="G32" s="214"/>
      <c r="H32" s="214"/>
      <c r="I32" s="214"/>
      <c r="J32" s="214"/>
      <c r="K32" s="214"/>
      <c r="L32" s="214"/>
      <c r="M32" s="214"/>
      <c r="N32" s="214"/>
      <c r="O32" s="192"/>
      <c r="P32" s="192"/>
      <c r="Q32" s="192"/>
      <c r="R32" s="192"/>
      <c r="S32" s="192"/>
      <c r="T32" s="216" t="s">
        <v>2</v>
      </c>
      <c r="U32" s="217"/>
      <c r="V32" s="217"/>
      <c r="W32" s="217"/>
      <c r="X32" s="217"/>
      <c r="Y32" s="217"/>
      <c r="Z32" s="217"/>
      <c r="AA32" s="217"/>
      <c r="AB32" s="217"/>
      <c r="AC32" s="217"/>
      <c r="AD32" s="193"/>
      <c r="AE32" s="193"/>
      <c r="AF32" s="193"/>
      <c r="AG32" s="193"/>
      <c r="AH32" s="193"/>
      <c r="AI32" s="221" t="s">
        <v>3</v>
      </c>
      <c r="AJ32" s="217"/>
    </row>
    <row r="33" spans="1:36" ht="15" customHeight="1" x14ac:dyDescent="0.4">
      <c r="A33" s="213"/>
      <c r="B33" s="214"/>
      <c r="C33" s="214"/>
      <c r="D33" s="215"/>
      <c r="E33" s="220"/>
      <c r="F33" s="217"/>
      <c r="G33" s="217"/>
      <c r="H33" s="217"/>
      <c r="I33" s="217"/>
      <c r="J33" s="217"/>
      <c r="K33" s="217"/>
      <c r="L33" s="217"/>
      <c r="M33" s="217"/>
      <c r="N33" s="217"/>
      <c r="O33" s="69"/>
      <c r="P33" s="69"/>
      <c r="Q33" s="69"/>
      <c r="R33" s="69"/>
      <c r="S33" s="69"/>
      <c r="T33" s="37" t="e">
        <f t="shared" ref="T33:AH33" si="36">MROUND(SUM(T35:T37),1)</f>
        <v>#N/A</v>
      </c>
      <c r="U33" s="37" t="e">
        <f t="shared" si="36"/>
        <v>#N/A</v>
      </c>
      <c r="V33" s="37" t="e">
        <f t="shared" si="36"/>
        <v>#N/A</v>
      </c>
      <c r="W33" s="37" t="e">
        <f t="shared" si="36"/>
        <v>#N/A</v>
      </c>
      <c r="X33" s="37" t="e">
        <f t="shared" si="36"/>
        <v>#N/A</v>
      </c>
      <c r="Y33" s="37" t="e">
        <f t="shared" si="36"/>
        <v>#N/A</v>
      </c>
      <c r="Z33" s="37" t="e">
        <f t="shared" si="36"/>
        <v>#N/A</v>
      </c>
      <c r="AA33" s="37" t="e">
        <f t="shared" si="36"/>
        <v>#N/A</v>
      </c>
      <c r="AB33" s="37" t="e">
        <f t="shared" si="36"/>
        <v>#N/A</v>
      </c>
      <c r="AC33" s="37" t="e">
        <f t="shared" si="36"/>
        <v>#N/A</v>
      </c>
      <c r="AD33" s="37" t="e">
        <f t="shared" si="36"/>
        <v>#N/A</v>
      </c>
      <c r="AE33" s="37" t="e">
        <f t="shared" si="36"/>
        <v>#N/A</v>
      </c>
      <c r="AF33" s="37" t="e">
        <f t="shared" si="36"/>
        <v>#N/A</v>
      </c>
      <c r="AG33" s="37" t="e">
        <f t="shared" si="36"/>
        <v>#N/A</v>
      </c>
      <c r="AH33" s="37" t="e">
        <f t="shared" si="36"/>
        <v>#N/A</v>
      </c>
      <c r="AI33" s="208" t="e">
        <f>SUM(T33:AC33)</f>
        <v>#N/A</v>
      </c>
      <c r="AJ33" s="209"/>
    </row>
    <row r="34" spans="1:36" ht="15" customHeight="1" x14ac:dyDescent="0.4">
      <c r="A34" s="39" t="s">
        <v>5</v>
      </c>
      <c r="B34" s="39" t="s">
        <v>6</v>
      </c>
      <c r="C34" s="40" t="s">
        <v>7</v>
      </c>
      <c r="D34" s="178" t="s">
        <v>8</v>
      </c>
      <c r="E34" s="42" t="s">
        <v>9</v>
      </c>
      <c r="F34" s="42" t="s">
        <v>10</v>
      </c>
      <c r="G34" s="42" t="s">
        <v>11</v>
      </c>
      <c r="H34" s="42" t="s">
        <v>12</v>
      </c>
      <c r="I34" s="42" t="s">
        <v>13</v>
      </c>
      <c r="J34" s="42" t="s">
        <v>14</v>
      </c>
      <c r="K34" s="42" t="s">
        <v>15</v>
      </c>
      <c r="L34" s="42" t="s">
        <v>16</v>
      </c>
      <c r="M34" s="42" t="s">
        <v>17</v>
      </c>
      <c r="N34" s="42" t="s">
        <v>18</v>
      </c>
      <c r="O34" s="44" t="s">
        <v>19</v>
      </c>
      <c r="P34" s="42" t="s">
        <v>20</v>
      </c>
      <c r="Q34" s="42" t="s">
        <v>21</v>
      </c>
      <c r="R34" s="42" t="s">
        <v>22</v>
      </c>
      <c r="S34" s="42" t="s">
        <v>23</v>
      </c>
      <c r="T34" s="42">
        <v>20000</v>
      </c>
      <c r="U34" s="42">
        <v>40000</v>
      </c>
      <c r="V34" s="42">
        <v>60000</v>
      </c>
      <c r="W34" s="42">
        <v>80000</v>
      </c>
      <c r="X34" s="42">
        <v>100000</v>
      </c>
      <c r="Y34" s="44">
        <v>120000</v>
      </c>
      <c r="Z34" s="44">
        <v>140000</v>
      </c>
      <c r="AA34" s="44">
        <v>160000</v>
      </c>
      <c r="AB34" s="44">
        <v>180000</v>
      </c>
      <c r="AC34" s="44">
        <f t="shared" ref="AC34:AH34" si="37">AB34+20000</f>
        <v>200000</v>
      </c>
      <c r="AD34" s="44">
        <f t="shared" si="37"/>
        <v>220000</v>
      </c>
      <c r="AE34" s="44">
        <f t="shared" si="37"/>
        <v>240000</v>
      </c>
      <c r="AF34" s="44">
        <f t="shared" si="37"/>
        <v>260000</v>
      </c>
      <c r="AG34" s="44">
        <f t="shared" si="37"/>
        <v>280000</v>
      </c>
      <c r="AH34" s="44">
        <f t="shared" si="37"/>
        <v>300000</v>
      </c>
      <c r="AI34" s="45" t="s">
        <v>24</v>
      </c>
      <c r="AJ34" s="39" t="s">
        <v>25</v>
      </c>
    </row>
    <row r="35" spans="1:36" ht="15" customHeight="1" x14ac:dyDescent="0.4">
      <c r="A35" s="46">
        <v>1</v>
      </c>
      <c r="B35" s="47" t="s">
        <v>34</v>
      </c>
      <c r="C35" s="179" t="s">
        <v>35</v>
      </c>
      <c r="D35" s="49">
        <f>VLOOKUP(C35,'[1]PREÇO ATUAL'!$A:$D,4,0)</f>
        <v>158.84</v>
      </c>
      <c r="E35" s="50">
        <v>1</v>
      </c>
      <c r="F35" s="50">
        <v>1</v>
      </c>
      <c r="G35" s="50">
        <v>1</v>
      </c>
      <c r="H35" s="50">
        <v>1</v>
      </c>
      <c r="I35" s="50">
        <v>1</v>
      </c>
      <c r="J35" s="50">
        <v>1</v>
      </c>
      <c r="K35" s="50">
        <v>1</v>
      </c>
      <c r="L35" s="50">
        <v>1</v>
      </c>
      <c r="M35" s="50">
        <v>1</v>
      </c>
      <c r="N35" s="50">
        <v>1</v>
      </c>
      <c r="O35" s="50"/>
      <c r="P35" s="50"/>
      <c r="Q35" s="50"/>
      <c r="R35" s="50"/>
      <c r="S35" s="50"/>
      <c r="T35" s="52">
        <f t="shared" ref="T35:AH35" si="38">$D$35*E35</f>
        <v>158.84</v>
      </c>
      <c r="U35" s="52">
        <f t="shared" si="38"/>
        <v>158.84</v>
      </c>
      <c r="V35" s="52">
        <f t="shared" si="38"/>
        <v>158.84</v>
      </c>
      <c r="W35" s="52">
        <f t="shared" si="38"/>
        <v>158.84</v>
      </c>
      <c r="X35" s="52">
        <f t="shared" si="38"/>
        <v>158.84</v>
      </c>
      <c r="Y35" s="103">
        <f t="shared" si="38"/>
        <v>158.84</v>
      </c>
      <c r="Z35" s="103">
        <f t="shared" si="38"/>
        <v>158.84</v>
      </c>
      <c r="AA35" s="103">
        <f t="shared" si="38"/>
        <v>158.84</v>
      </c>
      <c r="AB35" s="103">
        <f t="shared" si="38"/>
        <v>158.84</v>
      </c>
      <c r="AC35" s="103">
        <f t="shared" si="38"/>
        <v>158.84</v>
      </c>
      <c r="AD35" s="103">
        <f t="shared" si="38"/>
        <v>0</v>
      </c>
      <c r="AE35" s="103">
        <f t="shared" si="38"/>
        <v>0</v>
      </c>
      <c r="AF35" s="103">
        <f t="shared" si="38"/>
        <v>0</v>
      </c>
      <c r="AG35" s="103">
        <f t="shared" si="38"/>
        <v>0</v>
      </c>
      <c r="AH35" s="103">
        <f t="shared" si="38"/>
        <v>0</v>
      </c>
      <c r="AI35" s="82" t="e">
        <f>AJ35/$AI$33</f>
        <v>#N/A</v>
      </c>
      <c r="AJ35" s="52">
        <f>SUM(T35:AC35)</f>
        <v>1588.3999999999999</v>
      </c>
    </row>
    <row r="36" spans="1:36" ht="15" customHeight="1" x14ac:dyDescent="0.4">
      <c r="A36" s="54">
        <v>2</v>
      </c>
      <c r="B36" s="55" t="s">
        <v>48</v>
      </c>
      <c r="C36" s="180" t="s">
        <v>49</v>
      </c>
      <c r="D36" s="57">
        <f>VLOOKUP(C36,'[1]PREÇO ATUAL'!$A:$D,4,0)</f>
        <v>61.98</v>
      </c>
      <c r="E36" s="105"/>
      <c r="F36" s="105"/>
      <c r="G36" s="105"/>
      <c r="H36" s="58">
        <v>10</v>
      </c>
      <c r="I36" s="58"/>
      <c r="J36" s="58"/>
      <c r="K36" s="58"/>
      <c r="L36" s="58">
        <v>10</v>
      </c>
      <c r="M36" s="58"/>
      <c r="N36" s="58"/>
      <c r="O36" s="58"/>
      <c r="P36" s="58"/>
      <c r="Q36" s="58"/>
      <c r="R36" s="58"/>
      <c r="S36" s="58"/>
      <c r="T36" s="60">
        <f t="shared" ref="T36:AH36" si="39">$D$36*E36</f>
        <v>0</v>
      </c>
      <c r="U36" s="60">
        <f t="shared" si="39"/>
        <v>0</v>
      </c>
      <c r="V36" s="60">
        <f t="shared" si="39"/>
        <v>0</v>
      </c>
      <c r="W36" s="60">
        <f t="shared" si="39"/>
        <v>619.79999999999995</v>
      </c>
      <c r="X36" s="60">
        <f t="shared" si="39"/>
        <v>0</v>
      </c>
      <c r="Y36" s="104">
        <f t="shared" si="39"/>
        <v>0</v>
      </c>
      <c r="Z36" s="104">
        <f t="shared" si="39"/>
        <v>0</v>
      </c>
      <c r="AA36" s="104">
        <f t="shared" si="39"/>
        <v>619.79999999999995</v>
      </c>
      <c r="AB36" s="104">
        <f t="shared" si="39"/>
        <v>0</v>
      </c>
      <c r="AC36" s="104">
        <f t="shared" si="39"/>
        <v>0</v>
      </c>
      <c r="AD36" s="104">
        <f t="shared" si="39"/>
        <v>0</v>
      </c>
      <c r="AE36" s="104">
        <f t="shared" si="39"/>
        <v>0</v>
      </c>
      <c r="AF36" s="104">
        <f t="shared" si="39"/>
        <v>0</v>
      </c>
      <c r="AG36" s="104">
        <f t="shared" si="39"/>
        <v>0</v>
      </c>
      <c r="AH36" s="104">
        <f t="shared" si="39"/>
        <v>0</v>
      </c>
      <c r="AI36" s="83" t="e">
        <f>AJ36/$AI$33</f>
        <v>#N/A</v>
      </c>
      <c r="AJ36" s="60">
        <f>SUM(T36:AC36)</f>
        <v>1239.5999999999999</v>
      </c>
    </row>
    <row r="37" spans="1:36" ht="15" customHeight="1" x14ac:dyDescent="0.4">
      <c r="A37" s="46">
        <v>3</v>
      </c>
      <c r="B37" s="47" t="s">
        <v>53</v>
      </c>
      <c r="C37" s="179" t="s">
        <v>54</v>
      </c>
      <c r="D37" s="49" t="e">
        <f>VLOOKUP(C37,'[1]PREÇO ATUAL'!$A:$D,4,0)</f>
        <v>#N/A</v>
      </c>
      <c r="E37" s="75">
        <v>1.6</v>
      </c>
      <c r="F37" s="75">
        <v>1.6</v>
      </c>
      <c r="G37" s="75">
        <v>1.6</v>
      </c>
      <c r="H37" s="75">
        <v>2.1</v>
      </c>
      <c r="I37" s="75">
        <v>1.6</v>
      </c>
      <c r="J37" s="75">
        <v>1.6</v>
      </c>
      <c r="K37" s="75">
        <v>1.6</v>
      </c>
      <c r="L37" s="75">
        <v>2.1</v>
      </c>
      <c r="M37" s="75">
        <v>1.6</v>
      </c>
      <c r="N37" s="75">
        <v>1.6</v>
      </c>
      <c r="O37" s="75"/>
      <c r="P37" s="75"/>
      <c r="Q37" s="75"/>
      <c r="R37" s="75"/>
      <c r="S37" s="75"/>
      <c r="T37" s="52" t="e">
        <f t="shared" ref="T37:AH37" si="40">$D$37*E37</f>
        <v>#N/A</v>
      </c>
      <c r="U37" s="52" t="e">
        <f t="shared" si="40"/>
        <v>#N/A</v>
      </c>
      <c r="V37" s="52" t="e">
        <f t="shared" si="40"/>
        <v>#N/A</v>
      </c>
      <c r="W37" s="52" t="e">
        <f t="shared" si="40"/>
        <v>#N/A</v>
      </c>
      <c r="X37" s="52" t="e">
        <f t="shared" si="40"/>
        <v>#N/A</v>
      </c>
      <c r="Y37" s="103" t="e">
        <f t="shared" si="40"/>
        <v>#N/A</v>
      </c>
      <c r="Z37" s="103" t="e">
        <f t="shared" si="40"/>
        <v>#N/A</v>
      </c>
      <c r="AA37" s="103" t="e">
        <f t="shared" si="40"/>
        <v>#N/A</v>
      </c>
      <c r="AB37" s="103" t="e">
        <f t="shared" si="40"/>
        <v>#N/A</v>
      </c>
      <c r="AC37" s="103" t="e">
        <f t="shared" si="40"/>
        <v>#N/A</v>
      </c>
      <c r="AD37" s="103" t="e">
        <f t="shared" si="40"/>
        <v>#N/A</v>
      </c>
      <c r="AE37" s="103" t="e">
        <f t="shared" si="40"/>
        <v>#N/A</v>
      </c>
      <c r="AF37" s="103" t="e">
        <f t="shared" si="40"/>
        <v>#N/A</v>
      </c>
      <c r="AG37" s="103" t="e">
        <f t="shared" si="40"/>
        <v>#N/A</v>
      </c>
      <c r="AH37" s="103" t="e">
        <f t="shared" si="40"/>
        <v>#N/A</v>
      </c>
      <c r="AI37" s="82" t="e">
        <f>AJ37/$AI$33</f>
        <v>#N/A</v>
      </c>
      <c r="AJ37" s="52" t="e">
        <f>SUM(T37:AC37)</f>
        <v>#N/A</v>
      </c>
    </row>
    <row r="38" spans="1:36" ht="15.75" customHeight="1" x14ac:dyDescent="0.4"/>
    <row r="39" spans="1:36" ht="15.75" customHeight="1" x14ac:dyDescent="0.4"/>
    <row r="40" spans="1:36" ht="15.75" customHeight="1" x14ac:dyDescent="0.4"/>
    <row r="41" spans="1:36" ht="15.75" customHeight="1" x14ac:dyDescent="0.4"/>
    <row r="42" spans="1:36" ht="15.75" customHeight="1" x14ac:dyDescent="0.4"/>
    <row r="43" spans="1:36" ht="15.75" customHeight="1" x14ac:dyDescent="0.4">
      <c r="B43" s="194"/>
    </row>
    <row r="44" spans="1:36" ht="15.75" customHeight="1" x14ac:dyDescent="0.4"/>
    <row r="45" spans="1:36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</sheetData>
  <mergeCells count="16">
    <mergeCell ref="AI20:AJ20"/>
    <mergeCell ref="A1:D2"/>
    <mergeCell ref="T32:AC32"/>
    <mergeCell ref="E1:S1"/>
    <mergeCell ref="E32:N33"/>
    <mergeCell ref="AI1:AJ1"/>
    <mergeCell ref="T1:AH1"/>
    <mergeCell ref="AI2:AJ2"/>
    <mergeCell ref="E19:S19"/>
    <mergeCell ref="T19:AH19"/>
    <mergeCell ref="AI32:AJ32"/>
    <mergeCell ref="E15:N15"/>
    <mergeCell ref="AI33:AJ33"/>
    <mergeCell ref="AI19:AJ19"/>
    <mergeCell ref="A19:D20"/>
    <mergeCell ref="A32:D33"/>
  </mergeCells>
  <hyperlinks>
    <hyperlink ref="AK1" location="'PREÇO NACIONAL'!A1" display="Voltar Capa" xr:uid="{00000000-0004-0000-1F00-000000000000}"/>
  </hyperlink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FF00"/>
  </sheetPr>
  <dimension ref="A1:Z994"/>
  <sheetViews>
    <sheetView showGridLines="0" zoomScaleNormal="100" workbookViewId="0">
      <pane xSplit="4" topLeftCell="E1" activePane="topRight" state="frozen"/>
      <selection pane="topRight" activeCell="K20" sqref="K20"/>
    </sheetView>
  </sheetViews>
  <sheetFormatPr defaultColWidth="14.4609375" defaultRowHeight="14.6" x14ac:dyDescent="0.4"/>
  <cols>
    <col min="1" max="1" width="3.69140625" customWidth="1"/>
    <col min="2" max="2" width="44.84375" customWidth="1"/>
    <col min="3" max="3" width="14" customWidth="1"/>
    <col min="4" max="4" width="8.69140625" customWidth="1"/>
    <col min="5" max="5" width="7" customWidth="1"/>
    <col min="6" max="6" width="5.4609375" customWidth="1"/>
    <col min="7" max="9" width="6.15234375" customWidth="1"/>
    <col min="10" max="10" width="7.3828125" customWidth="1"/>
    <col min="11" max="13" width="6.15234375" customWidth="1"/>
    <col min="14" max="14" width="7.3828125" customWidth="1"/>
    <col min="15" max="15" width="13.69140625" customWidth="1"/>
    <col min="16" max="19" width="13.4609375" customWidth="1"/>
    <col min="20" max="20" width="15.69140625" customWidth="1"/>
    <col min="21" max="25" width="13.69140625" customWidth="1"/>
    <col min="26" max="26" width="15.53515625" customWidth="1"/>
  </cols>
  <sheetData>
    <row r="1" spans="1:26" ht="15" customHeight="1" x14ac:dyDescent="0.4">
      <c r="A1" s="233" t="s">
        <v>321</v>
      </c>
      <c r="B1" s="211"/>
      <c r="C1" s="211"/>
      <c r="D1" s="211"/>
      <c r="E1" s="237" t="s">
        <v>1</v>
      </c>
      <c r="F1" s="211"/>
      <c r="G1" s="211"/>
      <c r="H1" s="211"/>
      <c r="I1" s="211"/>
      <c r="J1" s="211"/>
      <c r="K1" s="211"/>
      <c r="L1" s="211"/>
      <c r="M1" s="211"/>
      <c r="N1" s="212"/>
      <c r="O1" s="240" t="s">
        <v>2</v>
      </c>
      <c r="P1" s="223"/>
      <c r="Q1" s="223"/>
      <c r="R1" s="223"/>
      <c r="S1" s="223"/>
      <c r="T1" s="223"/>
      <c r="U1" s="223"/>
      <c r="V1" s="223"/>
      <c r="W1" s="223"/>
      <c r="X1" s="241"/>
      <c r="Y1" s="232" t="s">
        <v>3</v>
      </c>
      <c r="Z1" s="209"/>
    </row>
    <row r="2" spans="1:26" ht="15" customHeight="1" x14ac:dyDescent="0.4">
      <c r="A2" s="234"/>
      <c r="B2" s="217"/>
      <c r="C2" s="217"/>
      <c r="D2" s="217"/>
      <c r="E2" s="220"/>
      <c r="F2" s="217"/>
      <c r="G2" s="217"/>
      <c r="H2" s="217"/>
      <c r="I2" s="217"/>
      <c r="J2" s="217"/>
      <c r="K2" s="217"/>
      <c r="L2" s="217"/>
      <c r="M2" s="217"/>
      <c r="N2" s="238"/>
      <c r="O2" s="37" t="e">
        <f t="shared" ref="O2:X2" si="0">MROUND(SUM(O4:O6),1)</f>
        <v>#N/A</v>
      </c>
      <c r="P2" s="37" t="e">
        <f t="shared" si="0"/>
        <v>#N/A</v>
      </c>
      <c r="Q2" s="37" t="e">
        <f t="shared" si="0"/>
        <v>#N/A</v>
      </c>
      <c r="R2" s="37" t="e">
        <f t="shared" si="0"/>
        <v>#N/A</v>
      </c>
      <c r="S2" s="37" t="e">
        <f t="shared" si="0"/>
        <v>#N/A</v>
      </c>
      <c r="T2" s="37" t="e">
        <f t="shared" si="0"/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208" t="e">
        <f>SUM(O2:X2)</f>
        <v>#N/A</v>
      </c>
      <c r="Z2" s="209"/>
    </row>
    <row r="3" spans="1:26" ht="15" customHeight="1" x14ac:dyDescent="0.4">
      <c r="A3" s="39" t="s">
        <v>5</v>
      </c>
      <c r="B3" s="39" t="s">
        <v>6</v>
      </c>
      <c r="C3" s="39" t="s">
        <v>7</v>
      </c>
      <c r="D3" s="41" t="s">
        <v>8</v>
      </c>
      <c r="E3" s="42" t="s">
        <v>102</v>
      </c>
      <c r="F3" s="42" t="s">
        <v>103</v>
      </c>
      <c r="G3" s="42" t="s">
        <v>104</v>
      </c>
      <c r="H3" s="42" t="s">
        <v>105</v>
      </c>
      <c r="I3" s="42" t="s">
        <v>106</v>
      </c>
      <c r="J3" s="42" t="s">
        <v>107</v>
      </c>
      <c r="K3" s="42" t="s">
        <v>108</v>
      </c>
      <c r="L3" s="42" t="s">
        <v>109</v>
      </c>
      <c r="M3" s="42" t="s">
        <v>110</v>
      </c>
      <c r="N3" s="42" t="s">
        <v>111</v>
      </c>
      <c r="O3" s="42">
        <v>15000</v>
      </c>
      <c r="P3" s="42">
        <v>30000</v>
      </c>
      <c r="Q3" s="42">
        <v>45000</v>
      </c>
      <c r="R3" s="42">
        <v>60000</v>
      </c>
      <c r="S3" s="42">
        <v>75000</v>
      </c>
      <c r="T3" s="42">
        <v>90000</v>
      </c>
      <c r="U3" s="42">
        <v>105000</v>
      </c>
      <c r="V3" s="42">
        <v>120000</v>
      </c>
      <c r="W3" s="42">
        <v>135000</v>
      </c>
      <c r="X3" s="42">
        <v>150000</v>
      </c>
      <c r="Y3" s="45" t="s">
        <v>24</v>
      </c>
      <c r="Z3" s="39" t="s">
        <v>25</v>
      </c>
    </row>
    <row r="4" spans="1:26" ht="15" customHeight="1" x14ac:dyDescent="0.4">
      <c r="A4" s="54">
        <v>1</v>
      </c>
      <c r="B4" s="55" t="s">
        <v>322</v>
      </c>
      <c r="C4" s="56" t="s">
        <v>323</v>
      </c>
      <c r="D4" s="57">
        <f>VLOOKUP(C4,'[1]PREÇO ATUAL'!$A:$D,4,0)</f>
        <v>154.6</v>
      </c>
      <c r="E4" s="195"/>
      <c r="F4" s="58">
        <v>1</v>
      </c>
      <c r="G4" s="58"/>
      <c r="H4" s="58">
        <v>1</v>
      </c>
      <c r="I4" s="59"/>
      <c r="J4" s="59">
        <v>1</v>
      </c>
      <c r="K4" s="59"/>
      <c r="L4" s="59">
        <v>1</v>
      </c>
      <c r="M4" s="59"/>
      <c r="N4" s="85">
        <v>1</v>
      </c>
      <c r="O4" s="196">
        <f t="shared" ref="O4:X5" si="1">$D4*E4</f>
        <v>0</v>
      </c>
      <c r="P4" s="60">
        <f t="shared" si="1"/>
        <v>154.6</v>
      </c>
      <c r="Q4" s="60">
        <f t="shared" si="1"/>
        <v>0</v>
      </c>
      <c r="R4" s="60">
        <f t="shared" si="1"/>
        <v>154.6</v>
      </c>
      <c r="S4" s="60">
        <f t="shared" si="1"/>
        <v>0</v>
      </c>
      <c r="T4" s="60">
        <f t="shared" si="1"/>
        <v>154.6</v>
      </c>
      <c r="U4" s="60">
        <f t="shared" si="1"/>
        <v>0</v>
      </c>
      <c r="V4" s="60">
        <f t="shared" si="1"/>
        <v>154.6</v>
      </c>
      <c r="W4" s="60">
        <f t="shared" si="1"/>
        <v>0</v>
      </c>
      <c r="X4" s="80">
        <f t="shared" si="1"/>
        <v>154.6</v>
      </c>
      <c r="Y4" s="83" t="e">
        <f>Z4/$Y$2</f>
        <v>#N/A</v>
      </c>
      <c r="Z4" s="60">
        <f>SUM(O4:X4)</f>
        <v>773</v>
      </c>
    </row>
    <row r="5" spans="1:26" ht="15" customHeight="1" x14ac:dyDescent="0.4">
      <c r="A5" s="46">
        <v>2</v>
      </c>
      <c r="B5" s="47" t="s">
        <v>324</v>
      </c>
      <c r="C5" s="48" t="s">
        <v>325</v>
      </c>
      <c r="D5" s="49">
        <f>VLOOKUP(C5,'[1]PREÇO ATUAL'!$A:$D,4,0)</f>
        <v>61.791375360000004</v>
      </c>
      <c r="E5" s="50"/>
      <c r="F5" s="50">
        <v>2</v>
      </c>
      <c r="G5" s="50"/>
      <c r="H5" s="50">
        <v>2</v>
      </c>
      <c r="I5" s="51"/>
      <c r="J5" s="51">
        <v>2</v>
      </c>
      <c r="K5" s="51"/>
      <c r="L5" s="51">
        <v>2</v>
      </c>
      <c r="M5" s="51"/>
      <c r="N5" s="84">
        <v>2</v>
      </c>
      <c r="O5" s="52">
        <f t="shared" si="1"/>
        <v>0</v>
      </c>
      <c r="P5" s="52">
        <f t="shared" si="1"/>
        <v>123.58275072000001</v>
      </c>
      <c r="Q5" s="52">
        <f t="shared" si="1"/>
        <v>0</v>
      </c>
      <c r="R5" s="52">
        <f t="shared" si="1"/>
        <v>123.58275072000001</v>
      </c>
      <c r="S5" s="52">
        <f t="shared" si="1"/>
        <v>0</v>
      </c>
      <c r="T5" s="52">
        <f t="shared" si="1"/>
        <v>123.58275072000001</v>
      </c>
      <c r="U5" s="52">
        <f t="shared" si="1"/>
        <v>0</v>
      </c>
      <c r="V5" s="52">
        <f t="shared" si="1"/>
        <v>123.58275072000001</v>
      </c>
      <c r="W5" s="52">
        <f t="shared" si="1"/>
        <v>0</v>
      </c>
      <c r="X5" s="79">
        <f t="shared" si="1"/>
        <v>123.58275072000001</v>
      </c>
      <c r="Y5" s="82" t="e">
        <f>Z5/$Y$2</f>
        <v>#N/A</v>
      </c>
      <c r="Z5" s="52">
        <f>SUM(O5:X5)</f>
        <v>617.91375360000006</v>
      </c>
    </row>
    <row r="6" spans="1:26" ht="15" customHeight="1" x14ac:dyDescent="0.4">
      <c r="A6" s="54">
        <v>3</v>
      </c>
      <c r="B6" s="55" t="s">
        <v>128</v>
      </c>
      <c r="C6" s="56" t="s">
        <v>54</v>
      </c>
      <c r="D6" s="57" t="e">
        <f>VLOOKUP(C6,'[1]PREÇO ATUAL'!$A:$D,4,0)</f>
        <v>#N/A</v>
      </c>
      <c r="E6" s="197">
        <v>0.8</v>
      </c>
      <c r="F6" s="73">
        <v>1.05</v>
      </c>
      <c r="G6" s="73">
        <v>0.8</v>
      </c>
      <c r="H6" s="73">
        <v>1.05</v>
      </c>
      <c r="I6" s="74">
        <v>0.8</v>
      </c>
      <c r="J6" s="74">
        <v>1.05</v>
      </c>
      <c r="K6" s="74">
        <v>0.8</v>
      </c>
      <c r="L6" s="74">
        <v>1.05</v>
      </c>
      <c r="M6" s="74">
        <v>0.8</v>
      </c>
      <c r="N6" s="108">
        <v>1.05</v>
      </c>
      <c r="O6" s="196" t="e">
        <f>D6*E6</f>
        <v>#N/A</v>
      </c>
      <c r="P6" s="60" t="e">
        <f t="shared" ref="P6:X6" si="2">$D6*F6</f>
        <v>#N/A</v>
      </c>
      <c r="Q6" s="60" t="e">
        <f t="shared" si="2"/>
        <v>#N/A</v>
      </c>
      <c r="R6" s="60" t="e">
        <f t="shared" si="2"/>
        <v>#N/A</v>
      </c>
      <c r="S6" s="60" t="e">
        <f t="shared" si="2"/>
        <v>#N/A</v>
      </c>
      <c r="T6" s="60" t="e">
        <f t="shared" si="2"/>
        <v>#N/A</v>
      </c>
      <c r="U6" s="60" t="e">
        <f t="shared" si="2"/>
        <v>#N/A</v>
      </c>
      <c r="V6" s="60" t="e">
        <f t="shared" si="2"/>
        <v>#N/A</v>
      </c>
      <c r="W6" s="60" t="e">
        <f t="shared" si="2"/>
        <v>#N/A</v>
      </c>
      <c r="X6" s="80" t="e">
        <f t="shared" si="2"/>
        <v>#N/A</v>
      </c>
      <c r="Y6" s="83" t="e">
        <f>Z6/$Y$2</f>
        <v>#N/A</v>
      </c>
      <c r="Z6" s="60" t="e">
        <f>SUM(O6:X6)</f>
        <v>#N/A</v>
      </c>
    </row>
    <row r="7" spans="1:26" ht="15" customHeight="1" x14ac:dyDescent="0.4">
      <c r="B7" t="s">
        <v>326</v>
      </c>
    </row>
    <row r="15" spans="1:26" ht="15.75" customHeight="1" x14ac:dyDescent="0.4"/>
    <row r="16" spans="1:26" ht="15.75" customHeight="1" x14ac:dyDescent="0.4"/>
    <row r="17" ht="15.75" customHeight="1" x14ac:dyDescent="0.4"/>
    <row r="18" ht="15.75" customHeight="1" x14ac:dyDescent="0.4"/>
    <row r="19" ht="15.75" customHeight="1" x14ac:dyDescent="0.4"/>
    <row r="20" ht="15.75" customHeight="1" x14ac:dyDescent="0.4"/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</sheetData>
  <mergeCells count="5">
    <mergeCell ref="A1:D2"/>
    <mergeCell ref="Y2:Z2"/>
    <mergeCell ref="Y1:Z1"/>
    <mergeCell ref="E1:N2"/>
    <mergeCell ref="O1:X1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FF00"/>
  </sheetPr>
  <dimension ref="A1:AM990"/>
  <sheetViews>
    <sheetView showGridLines="0" topLeftCell="A41" zoomScaleNormal="100" workbookViewId="0">
      <pane xSplit="4" topLeftCell="E1" activePane="topRight" state="frozen"/>
      <selection activeCell="A41" sqref="A41"/>
      <selection pane="topRight" activeCell="T65" sqref="T65"/>
    </sheetView>
  </sheetViews>
  <sheetFormatPr defaultColWidth="14.4609375" defaultRowHeight="14.6" x14ac:dyDescent="0.4"/>
  <cols>
    <col min="1" max="1" width="3.3046875" customWidth="1"/>
    <col min="2" max="2" width="81.69140625" customWidth="1"/>
    <col min="3" max="3" width="16.84375" customWidth="1"/>
    <col min="4" max="4" width="7.84375" customWidth="1"/>
    <col min="5" max="7" width="5.3046875" customWidth="1"/>
    <col min="8" max="19" width="5.15234375" customWidth="1"/>
    <col min="20" max="34" width="15.69140625" customWidth="1"/>
    <col min="35" max="35" width="7" customWidth="1"/>
    <col min="36" max="36" width="15.53515625" customWidth="1"/>
  </cols>
  <sheetData>
    <row r="1" spans="1:39" ht="15" customHeight="1" x14ac:dyDescent="0.4">
      <c r="A1" s="210" t="s">
        <v>86</v>
      </c>
      <c r="B1" s="211"/>
      <c r="C1" s="211"/>
      <c r="D1" s="212"/>
      <c r="E1" s="251" t="s">
        <v>1</v>
      </c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52" t="s">
        <v>2</v>
      </c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21" t="s">
        <v>3</v>
      </c>
      <c r="AJ1" s="217"/>
    </row>
    <row r="2" spans="1:39" ht="15" customHeight="1" x14ac:dyDescent="0.4">
      <c r="A2" s="213"/>
      <c r="B2" s="214"/>
      <c r="C2" s="214"/>
      <c r="D2" s="215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 t="e">
        <f t="shared" ref="T2:AC2" si="0">MROUND(SUM(T4:T14),1)</f>
        <v>#N/A</v>
      </c>
      <c r="U2" s="37" t="e">
        <f t="shared" si="0"/>
        <v>#N/A</v>
      </c>
      <c r="V2" s="37" t="e">
        <f t="shared" si="0"/>
        <v>#N/A</v>
      </c>
      <c r="W2" s="37" t="e">
        <f t="shared" si="0"/>
        <v>#N/A</v>
      </c>
      <c r="X2" s="37" t="e">
        <f t="shared" si="0"/>
        <v>#N/A</v>
      </c>
      <c r="Y2" s="37" t="e">
        <f t="shared" si="0"/>
        <v>#N/A</v>
      </c>
      <c r="Z2" s="37" t="e">
        <f t="shared" si="0"/>
        <v>#N/A</v>
      </c>
      <c r="AA2" s="37" t="e">
        <f t="shared" si="0"/>
        <v>#N/A</v>
      </c>
      <c r="AB2" s="37" t="e">
        <f t="shared" si="0"/>
        <v>#N/A</v>
      </c>
      <c r="AC2" s="37" t="e">
        <f t="shared" si="0"/>
        <v>#N/A</v>
      </c>
      <c r="AD2" s="198"/>
      <c r="AE2" s="198"/>
      <c r="AF2" s="198"/>
      <c r="AG2" s="198"/>
      <c r="AH2" s="198"/>
      <c r="AI2" s="208" t="e">
        <f>SUM(T2:AC2)</f>
        <v>#N/A</v>
      </c>
      <c r="AJ2" s="209"/>
    </row>
    <row r="3" spans="1:39" ht="15" customHeight="1" x14ac:dyDescent="0.4">
      <c r="A3" s="39" t="s">
        <v>5</v>
      </c>
      <c r="B3" s="39" t="s">
        <v>6</v>
      </c>
      <c r="C3" s="39" t="s">
        <v>7</v>
      </c>
      <c r="D3" s="178" t="s">
        <v>8</v>
      </c>
      <c r="E3" s="42" t="s">
        <v>9</v>
      </c>
      <c r="F3" s="42" t="s">
        <v>10</v>
      </c>
      <c r="G3" s="42" t="s">
        <v>11</v>
      </c>
      <c r="H3" s="42" t="s">
        <v>12</v>
      </c>
      <c r="I3" s="42" t="s">
        <v>13</v>
      </c>
      <c r="J3" s="42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2"/>
      <c r="P3" s="42"/>
      <c r="Q3" s="42"/>
      <c r="R3" s="42"/>
      <c r="S3" s="42"/>
      <c r="T3" s="42">
        <v>10000</v>
      </c>
      <c r="U3" s="42">
        <v>20000</v>
      </c>
      <c r="V3" s="42">
        <v>30000</v>
      </c>
      <c r="W3" s="42">
        <v>40000</v>
      </c>
      <c r="X3" s="42">
        <v>50000</v>
      </c>
      <c r="Y3" s="42">
        <v>60000</v>
      </c>
      <c r="Z3" s="42">
        <v>70000</v>
      </c>
      <c r="AA3" s="42">
        <v>80000</v>
      </c>
      <c r="AB3" s="42">
        <v>90000</v>
      </c>
      <c r="AC3" s="42">
        <v>100000</v>
      </c>
      <c r="AD3" s="44"/>
      <c r="AE3" s="44"/>
      <c r="AF3" s="44"/>
      <c r="AG3" s="44"/>
      <c r="AH3" s="44"/>
      <c r="AI3" s="45" t="s">
        <v>24</v>
      </c>
      <c r="AJ3" s="39" t="s">
        <v>25</v>
      </c>
      <c r="AL3">
        <v>1186</v>
      </c>
    </row>
    <row r="4" spans="1:39" ht="15" customHeight="1" x14ac:dyDescent="0.4">
      <c r="A4" s="46">
        <v>1</v>
      </c>
      <c r="B4" s="47" t="s">
        <v>28</v>
      </c>
      <c r="C4" s="179" t="s">
        <v>288</v>
      </c>
      <c r="D4" s="49">
        <f>VLOOKUP(C4,'[1]PREÇO ATUAL'!$A:$D,4,0)</f>
        <v>115.4</v>
      </c>
      <c r="E4" s="50">
        <v>1</v>
      </c>
      <c r="F4" s="50">
        <v>1</v>
      </c>
      <c r="G4" s="50">
        <v>1</v>
      </c>
      <c r="H4" s="50">
        <v>1</v>
      </c>
      <c r="I4" s="50">
        <v>1</v>
      </c>
      <c r="J4" s="50">
        <v>1</v>
      </c>
      <c r="K4" s="50">
        <v>1</v>
      </c>
      <c r="L4" s="50">
        <v>1</v>
      </c>
      <c r="M4" s="50">
        <v>1</v>
      </c>
      <c r="N4" s="50">
        <v>1</v>
      </c>
      <c r="O4" s="50"/>
      <c r="P4" s="50"/>
      <c r="Q4" s="50"/>
      <c r="R4" s="50"/>
      <c r="S4" s="50"/>
      <c r="T4" s="52">
        <f t="shared" ref="T4:AC4" si="1">$D$4*E4</f>
        <v>115.4</v>
      </c>
      <c r="U4" s="52">
        <f t="shared" si="1"/>
        <v>115.4</v>
      </c>
      <c r="V4" s="52">
        <f t="shared" si="1"/>
        <v>115.4</v>
      </c>
      <c r="W4" s="52">
        <f t="shared" si="1"/>
        <v>115.4</v>
      </c>
      <c r="X4" s="52">
        <f t="shared" si="1"/>
        <v>115.4</v>
      </c>
      <c r="Y4" s="52">
        <f t="shared" si="1"/>
        <v>115.4</v>
      </c>
      <c r="Z4" s="52">
        <f t="shared" si="1"/>
        <v>115.4</v>
      </c>
      <c r="AA4" s="52">
        <f t="shared" si="1"/>
        <v>115.4</v>
      </c>
      <c r="AB4" s="52">
        <f t="shared" si="1"/>
        <v>115.4</v>
      </c>
      <c r="AC4" s="52">
        <f t="shared" si="1"/>
        <v>115.4</v>
      </c>
      <c r="AD4" s="103"/>
      <c r="AE4" s="103"/>
      <c r="AF4" s="103"/>
      <c r="AG4" s="103"/>
      <c r="AH4" s="103"/>
      <c r="AI4" s="82" t="e">
        <f t="shared" ref="AI4:AI14" si="2">AJ4/$AI$2</f>
        <v>#N/A</v>
      </c>
      <c r="AJ4" s="52">
        <f t="shared" ref="AJ4:AJ14" si="3">SUM(T4:AC4)</f>
        <v>1154</v>
      </c>
      <c r="AL4">
        <v>820</v>
      </c>
      <c r="AM4">
        <f>AL4/AL3</f>
        <v>0.69139966273187181</v>
      </c>
    </row>
    <row r="5" spans="1:39" ht="15" customHeight="1" x14ac:dyDescent="0.4">
      <c r="A5" s="54">
        <v>2</v>
      </c>
      <c r="B5" s="55" t="s">
        <v>26</v>
      </c>
      <c r="C5" s="180" t="s">
        <v>327</v>
      </c>
      <c r="D5" s="57">
        <f>VLOOKUP(C5,'[1]PREÇO ATUAL'!$A:$D,4,0)</f>
        <v>12.867623999999999</v>
      </c>
      <c r="E5" s="58">
        <v>1</v>
      </c>
      <c r="F5" s="58">
        <v>1</v>
      </c>
      <c r="G5" s="58">
        <v>1</v>
      </c>
      <c r="H5" s="58">
        <v>1</v>
      </c>
      <c r="I5" s="58">
        <v>1</v>
      </c>
      <c r="J5" s="58">
        <v>1</v>
      </c>
      <c r="K5" s="58">
        <v>1</v>
      </c>
      <c r="L5" s="58">
        <v>1</v>
      </c>
      <c r="M5" s="58">
        <v>1</v>
      </c>
      <c r="N5" s="58">
        <v>1</v>
      </c>
      <c r="O5" s="58"/>
      <c r="P5" s="58"/>
      <c r="Q5" s="58"/>
      <c r="R5" s="58"/>
      <c r="S5" s="58"/>
      <c r="T5" s="60">
        <f t="shared" ref="T5:AC5" si="4">$D$5*E5</f>
        <v>12.867623999999999</v>
      </c>
      <c r="U5" s="60">
        <f t="shared" si="4"/>
        <v>12.867623999999999</v>
      </c>
      <c r="V5" s="60">
        <f t="shared" si="4"/>
        <v>12.867623999999999</v>
      </c>
      <c r="W5" s="60">
        <f t="shared" si="4"/>
        <v>12.867623999999999</v>
      </c>
      <c r="X5" s="60">
        <f t="shared" si="4"/>
        <v>12.867623999999999</v>
      </c>
      <c r="Y5" s="60">
        <f t="shared" si="4"/>
        <v>12.867623999999999</v>
      </c>
      <c r="Z5" s="60">
        <f t="shared" si="4"/>
        <v>12.867623999999999</v>
      </c>
      <c r="AA5" s="60">
        <f t="shared" si="4"/>
        <v>12.867623999999999</v>
      </c>
      <c r="AB5" s="60">
        <f t="shared" si="4"/>
        <v>12.867623999999999</v>
      </c>
      <c r="AC5" s="60">
        <f t="shared" si="4"/>
        <v>12.867623999999999</v>
      </c>
      <c r="AD5" s="104"/>
      <c r="AE5" s="104"/>
      <c r="AF5" s="104"/>
      <c r="AG5" s="104"/>
      <c r="AH5" s="104"/>
      <c r="AI5" s="83" t="e">
        <f t="shared" si="2"/>
        <v>#N/A</v>
      </c>
      <c r="AJ5" s="60">
        <f t="shared" si="3"/>
        <v>128.67624000000004</v>
      </c>
      <c r="AL5">
        <f>AL3-AL4</f>
        <v>366</v>
      </c>
      <c r="AM5">
        <f>AL5/AL3</f>
        <v>0.30860033726812819</v>
      </c>
    </row>
    <row r="6" spans="1:39" ht="15" customHeight="1" x14ac:dyDescent="0.4">
      <c r="A6" s="46">
        <v>3</v>
      </c>
      <c r="B6" s="47" t="s">
        <v>328</v>
      </c>
      <c r="C6" s="179" t="s">
        <v>329</v>
      </c>
      <c r="D6" s="49">
        <f>VLOOKUP(C6,'[1]PREÇO ATUAL'!$A:$D,4,0)</f>
        <v>305</v>
      </c>
      <c r="E6" s="50">
        <v>1</v>
      </c>
      <c r="F6" s="50">
        <v>1</v>
      </c>
      <c r="G6" s="50">
        <v>1</v>
      </c>
      <c r="H6" s="50">
        <v>1</v>
      </c>
      <c r="I6" s="50">
        <v>1</v>
      </c>
      <c r="J6" s="50">
        <v>1</v>
      </c>
      <c r="K6" s="50">
        <v>1</v>
      </c>
      <c r="L6" s="50">
        <v>1</v>
      </c>
      <c r="M6" s="50">
        <v>1</v>
      </c>
      <c r="N6" s="50">
        <v>1</v>
      </c>
      <c r="O6" s="50"/>
      <c r="P6" s="50"/>
      <c r="Q6" s="50"/>
      <c r="R6" s="50"/>
      <c r="S6" s="50"/>
      <c r="T6" s="52">
        <f>D6*E6</f>
        <v>305</v>
      </c>
      <c r="U6" s="52">
        <f t="shared" ref="U6:AC6" si="5">$D$6*F6</f>
        <v>305</v>
      </c>
      <c r="V6" s="52">
        <f t="shared" si="5"/>
        <v>305</v>
      </c>
      <c r="W6" s="52">
        <f t="shared" si="5"/>
        <v>305</v>
      </c>
      <c r="X6" s="52">
        <f t="shared" si="5"/>
        <v>305</v>
      </c>
      <c r="Y6" s="52">
        <f t="shared" si="5"/>
        <v>305</v>
      </c>
      <c r="Z6" s="52">
        <f t="shared" si="5"/>
        <v>305</v>
      </c>
      <c r="AA6" s="52">
        <f t="shared" si="5"/>
        <v>305</v>
      </c>
      <c r="AB6" s="52">
        <f t="shared" si="5"/>
        <v>305</v>
      </c>
      <c r="AC6" s="52">
        <f t="shared" si="5"/>
        <v>305</v>
      </c>
      <c r="AD6" s="103"/>
      <c r="AE6" s="103"/>
      <c r="AF6" s="103"/>
      <c r="AG6" s="103"/>
      <c r="AH6" s="103"/>
      <c r="AI6" s="82" t="e">
        <f t="shared" si="2"/>
        <v>#N/A</v>
      </c>
      <c r="AJ6" s="52">
        <f t="shared" si="3"/>
        <v>3050</v>
      </c>
    </row>
    <row r="7" spans="1:39" ht="15" customHeight="1" x14ac:dyDescent="0.4">
      <c r="A7" s="54">
        <v>4</v>
      </c>
      <c r="B7" s="55" t="s">
        <v>330</v>
      </c>
      <c r="C7" s="180" t="s">
        <v>331</v>
      </c>
      <c r="D7" s="57">
        <f>VLOOKUP(C7,'[1]PREÇO ATUAL'!$A:$D,4,0)</f>
        <v>304.39</v>
      </c>
      <c r="E7" s="58"/>
      <c r="F7" s="58">
        <v>1</v>
      </c>
      <c r="G7" s="58"/>
      <c r="H7" s="58">
        <v>1</v>
      </c>
      <c r="I7" s="58"/>
      <c r="J7" s="58">
        <v>1</v>
      </c>
      <c r="K7" s="58"/>
      <c r="L7" s="58">
        <v>1</v>
      </c>
      <c r="M7" s="58"/>
      <c r="N7" s="58">
        <v>1</v>
      </c>
      <c r="O7" s="58"/>
      <c r="P7" s="58"/>
      <c r="Q7" s="58"/>
      <c r="R7" s="58"/>
      <c r="S7" s="58"/>
      <c r="T7" s="60">
        <f>D7*E7</f>
        <v>0</v>
      </c>
      <c r="U7" s="60">
        <f t="shared" ref="U7:AC7" si="6">$D$7*F7</f>
        <v>304.39</v>
      </c>
      <c r="V7" s="60">
        <f t="shared" si="6"/>
        <v>0</v>
      </c>
      <c r="W7" s="60">
        <f t="shared" si="6"/>
        <v>304.39</v>
      </c>
      <c r="X7" s="60">
        <f t="shared" si="6"/>
        <v>0</v>
      </c>
      <c r="Y7" s="60">
        <f t="shared" si="6"/>
        <v>304.39</v>
      </c>
      <c r="Z7" s="60">
        <f t="shared" si="6"/>
        <v>0</v>
      </c>
      <c r="AA7" s="60">
        <f t="shared" si="6"/>
        <v>304.39</v>
      </c>
      <c r="AB7" s="60">
        <f t="shared" si="6"/>
        <v>0</v>
      </c>
      <c r="AC7" s="60">
        <f t="shared" si="6"/>
        <v>304.39</v>
      </c>
      <c r="AD7" s="104"/>
      <c r="AE7" s="104"/>
      <c r="AF7" s="104"/>
      <c r="AG7" s="104"/>
      <c r="AH7" s="104"/>
      <c r="AI7" s="83" t="e">
        <f t="shared" si="2"/>
        <v>#N/A</v>
      </c>
      <c r="AJ7" s="60">
        <f t="shared" si="3"/>
        <v>1521.9499999999998</v>
      </c>
    </row>
    <row r="8" spans="1:39" ht="15" customHeight="1" x14ac:dyDescent="0.4">
      <c r="A8" s="46">
        <v>5</v>
      </c>
      <c r="B8" s="47" t="s">
        <v>332</v>
      </c>
      <c r="C8" s="179" t="s">
        <v>295</v>
      </c>
      <c r="D8" s="49">
        <f>VLOOKUP(C8,'[1]PREÇO ATUAL'!$A:$D,4,0)</f>
        <v>581.33000000000004</v>
      </c>
      <c r="E8" s="50"/>
      <c r="F8" s="50"/>
      <c r="G8" s="50"/>
      <c r="H8" s="50"/>
      <c r="I8" s="50"/>
      <c r="J8" s="50"/>
      <c r="K8" s="50"/>
      <c r="L8" s="50">
        <v>1</v>
      </c>
      <c r="M8" s="50"/>
      <c r="N8" s="50"/>
      <c r="O8" s="50"/>
      <c r="P8" s="50"/>
      <c r="Q8" s="50"/>
      <c r="R8" s="50"/>
      <c r="S8" s="50"/>
      <c r="T8" s="52">
        <f>D8*E8</f>
        <v>0</v>
      </c>
      <c r="U8" s="52">
        <f t="shared" ref="U8:AC8" si="7">$D$8*F8</f>
        <v>0</v>
      </c>
      <c r="V8" s="52">
        <f t="shared" si="7"/>
        <v>0</v>
      </c>
      <c r="W8" s="52">
        <f t="shared" si="7"/>
        <v>0</v>
      </c>
      <c r="X8" s="52">
        <f t="shared" si="7"/>
        <v>0</v>
      </c>
      <c r="Y8" s="52">
        <f t="shared" si="7"/>
        <v>0</v>
      </c>
      <c r="Z8" s="52">
        <f t="shared" si="7"/>
        <v>0</v>
      </c>
      <c r="AA8" s="52">
        <f t="shared" si="7"/>
        <v>581.33000000000004</v>
      </c>
      <c r="AB8" s="52">
        <f t="shared" si="7"/>
        <v>0</v>
      </c>
      <c r="AC8" s="52">
        <f t="shared" si="7"/>
        <v>0</v>
      </c>
      <c r="AD8" s="103"/>
      <c r="AE8" s="103"/>
      <c r="AF8" s="103"/>
      <c r="AG8" s="103"/>
      <c r="AH8" s="103"/>
      <c r="AI8" s="82" t="e">
        <f t="shared" si="2"/>
        <v>#N/A</v>
      </c>
      <c r="AJ8" s="52">
        <f t="shared" si="3"/>
        <v>581.33000000000004</v>
      </c>
    </row>
    <row r="9" spans="1:39" ht="25.5" customHeight="1" x14ac:dyDescent="0.4">
      <c r="A9" s="54">
        <v>6</v>
      </c>
      <c r="B9" s="67" t="s">
        <v>333</v>
      </c>
      <c r="C9" s="180" t="s">
        <v>334</v>
      </c>
      <c r="D9" s="57">
        <f>VLOOKUP(C9,'[1]PREÇO ATUAL'!$A:$D,4,0)</f>
        <v>602.5</v>
      </c>
      <c r="E9" s="105"/>
      <c r="F9" s="105"/>
      <c r="G9" s="58"/>
      <c r="H9" s="58"/>
      <c r="I9" s="105"/>
      <c r="J9" s="58"/>
      <c r="K9" s="105"/>
      <c r="L9" s="58">
        <v>1</v>
      </c>
      <c r="M9" s="58"/>
      <c r="N9" s="105"/>
      <c r="O9" s="105"/>
      <c r="P9" s="105"/>
      <c r="Q9" s="105"/>
      <c r="R9" s="105"/>
      <c r="S9" s="105"/>
      <c r="T9" s="60">
        <f t="shared" ref="T9:AC9" si="8">$D$9*E9</f>
        <v>0</v>
      </c>
      <c r="U9" s="60">
        <f t="shared" si="8"/>
        <v>0</v>
      </c>
      <c r="V9" s="60">
        <f t="shared" si="8"/>
        <v>0</v>
      </c>
      <c r="W9" s="60">
        <f t="shared" si="8"/>
        <v>0</v>
      </c>
      <c r="X9" s="60">
        <f t="shared" si="8"/>
        <v>0</v>
      </c>
      <c r="Y9" s="60">
        <f t="shared" si="8"/>
        <v>0</v>
      </c>
      <c r="Z9" s="60">
        <f t="shared" si="8"/>
        <v>0</v>
      </c>
      <c r="AA9" s="60">
        <f t="shared" si="8"/>
        <v>602.5</v>
      </c>
      <c r="AB9" s="60">
        <f t="shared" si="8"/>
        <v>0</v>
      </c>
      <c r="AC9" s="60">
        <f t="shared" si="8"/>
        <v>0</v>
      </c>
      <c r="AD9" s="104"/>
      <c r="AE9" s="104"/>
      <c r="AF9" s="104"/>
      <c r="AG9" s="104"/>
      <c r="AH9" s="104"/>
      <c r="AI9" s="83" t="e">
        <f t="shared" si="2"/>
        <v>#N/A</v>
      </c>
      <c r="AJ9" s="60">
        <f t="shared" si="3"/>
        <v>602.5</v>
      </c>
    </row>
    <row r="10" spans="1:39" ht="15" customHeight="1" x14ac:dyDescent="0.4">
      <c r="A10" s="112">
        <v>7</v>
      </c>
      <c r="B10" s="113" t="s">
        <v>335</v>
      </c>
      <c r="C10" s="199" t="s">
        <v>336</v>
      </c>
      <c r="D10" s="115">
        <f>VLOOKUP(C10,'[1]PREÇO ATUAL'!$A:$D,4,0)</f>
        <v>96.367999999999995</v>
      </c>
      <c r="E10" s="116">
        <v>2.2000000000000002</v>
      </c>
      <c r="F10" s="200"/>
      <c r="G10" s="117"/>
      <c r="H10" s="117"/>
      <c r="I10" s="116">
        <v>2.2000000000000002</v>
      </c>
      <c r="J10" s="117"/>
      <c r="K10" s="200"/>
      <c r="L10" s="117"/>
      <c r="M10" s="116">
        <v>2.2000000000000002</v>
      </c>
      <c r="N10" s="200"/>
      <c r="O10" s="200"/>
      <c r="P10" s="200"/>
      <c r="Q10" s="200"/>
      <c r="R10" s="200"/>
      <c r="S10" s="200"/>
      <c r="T10" s="121">
        <f t="shared" ref="T10:AC10" si="9">$D$10*E10</f>
        <v>212.00960000000001</v>
      </c>
      <c r="U10" s="121">
        <f t="shared" si="9"/>
        <v>0</v>
      </c>
      <c r="V10" s="121">
        <f t="shared" si="9"/>
        <v>0</v>
      </c>
      <c r="W10" s="121">
        <f t="shared" si="9"/>
        <v>0</v>
      </c>
      <c r="X10" s="121">
        <f t="shared" si="9"/>
        <v>212.00960000000001</v>
      </c>
      <c r="Y10" s="121">
        <f t="shared" si="9"/>
        <v>0</v>
      </c>
      <c r="Z10" s="121">
        <f t="shared" si="9"/>
        <v>0</v>
      </c>
      <c r="AA10" s="121">
        <f t="shared" si="9"/>
        <v>0</v>
      </c>
      <c r="AB10" s="121">
        <f t="shared" si="9"/>
        <v>212.00960000000001</v>
      </c>
      <c r="AC10" s="121">
        <f t="shared" si="9"/>
        <v>0</v>
      </c>
      <c r="AD10" s="201"/>
      <c r="AE10" s="201"/>
      <c r="AF10" s="201"/>
      <c r="AG10" s="201"/>
      <c r="AH10" s="201"/>
      <c r="AI10" s="123" t="e">
        <f t="shared" si="2"/>
        <v>#N/A</v>
      </c>
      <c r="AJ10" s="121">
        <f t="shared" si="3"/>
        <v>636.02880000000005</v>
      </c>
    </row>
    <row r="11" spans="1:39" ht="15" customHeight="1" x14ac:dyDescent="0.4">
      <c r="A11" s="124">
        <v>8</v>
      </c>
      <c r="B11" s="125" t="s">
        <v>337</v>
      </c>
      <c r="C11" s="202" t="s">
        <v>336</v>
      </c>
      <c r="D11" s="127">
        <f>VLOOKUP(C11,'[1]PREÇO ATUAL'!$A:$D,4,0)</f>
        <v>96.367999999999995</v>
      </c>
      <c r="E11" s="160"/>
      <c r="F11" s="203"/>
      <c r="G11" s="203"/>
      <c r="H11" s="203"/>
      <c r="I11" s="128">
        <v>1.5</v>
      </c>
      <c r="J11" s="203"/>
      <c r="K11" s="203"/>
      <c r="L11" s="203"/>
      <c r="M11" s="203"/>
      <c r="N11" s="128">
        <v>1.5</v>
      </c>
      <c r="O11" s="128"/>
      <c r="P11" s="128"/>
      <c r="Q11" s="128"/>
      <c r="R11" s="128"/>
      <c r="S11" s="128"/>
      <c r="T11" s="129">
        <f t="shared" ref="T11:AC11" si="10">$D$11*E11</f>
        <v>0</v>
      </c>
      <c r="U11" s="129">
        <f t="shared" si="10"/>
        <v>0</v>
      </c>
      <c r="V11" s="129">
        <f t="shared" si="10"/>
        <v>0</v>
      </c>
      <c r="W11" s="129">
        <f t="shared" si="10"/>
        <v>0</v>
      </c>
      <c r="X11" s="129">
        <f t="shared" si="10"/>
        <v>144.55199999999999</v>
      </c>
      <c r="Y11" s="129">
        <f t="shared" si="10"/>
        <v>0</v>
      </c>
      <c r="Z11" s="129">
        <f t="shared" si="10"/>
        <v>0</v>
      </c>
      <c r="AA11" s="129">
        <f t="shared" si="10"/>
        <v>0</v>
      </c>
      <c r="AB11" s="129">
        <f t="shared" si="10"/>
        <v>0</v>
      </c>
      <c r="AC11" s="129">
        <f t="shared" si="10"/>
        <v>144.55199999999999</v>
      </c>
      <c r="AD11" s="204"/>
      <c r="AE11" s="204"/>
      <c r="AF11" s="204"/>
      <c r="AG11" s="204"/>
      <c r="AH11" s="204"/>
      <c r="AI11" s="131" t="e">
        <f t="shared" si="2"/>
        <v>#N/A</v>
      </c>
      <c r="AJ11" s="129">
        <f t="shared" si="3"/>
        <v>289.10399999999998</v>
      </c>
    </row>
    <row r="12" spans="1:39" ht="15" customHeight="1" x14ac:dyDescent="0.4">
      <c r="A12" s="112">
        <v>9</v>
      </c>
      <c r="B12" s="113" t="s">
        <v>338</v>
      </c>
      <c r="C12" s="199" t="s">
        <v>47</v>
      </c>
      <c r="D12" s="115">
        <f>VLOOKUP(C12,'[1]PREÇO ATUAL'!$A:$D,4,0)</f>
        <v>32.698362814548403</v>
      </c>
      <c r="E12" s="116"/>
      <c r="F12" s="200"/>
      <c r="G12" s="117"/>
      <c r="H12" s="117"/>
      <c r="I12" s="116"/>
      <c r="J12" s="117"/>
      <c r="K12" s="200"/>
      <c r="L12" s="117"/>
      <c r="M12" s="116"/>
      <c r="N12" s="200"/>
      <c r="O12" s="200"/>
      <c r="P12" s="200"/>
      <c r="Q12" s="200"/>
      <c r="R12" s="200"/>
      <c r="S12" s="200"/>
      <c r="T12" s="121">
        <f t="shared" ref="T12:AC12" si="11">$D$12*E12</f>
        <v>0</v>
      </c>
      <c r="U12" s="121">
        <f t="shared" si="11"/>
        <v>0</v>
      </c>
      <c r="V12" s="121">
        <f t="shared" si="11"/>
        <v>0</v>
      </c>
      <c r="W12" s="121">
        <f t="shared" si="11"/>
        <v>0</v>
      </c>
      <c r="X12" s="121">
        <f t="shared" si="11"/>
        <v>0</v>
      </c>
      <c r="Y12" s="121">
        <f t="shared" si="11"/>
        <v>0</v>
      </c>
      <c r="Z12" s="121">
        <f t="shared" si="11"/>
        <v>0</v>
      </c>
      <c r="AA12" s="121">
        <f t="shared" si="11"/>
        <v>0</v>
      </c>
      <c r="AB12" s="121">
        <f t="shared" si="11"/>
        <v>0</v>
      </c>
      <c r="AC12" s="121">
        <f t="shared" si="11"/>
        <v>0</v>
      </c>
      <c r="AD12" s="201"/>
      <c r="AE12" s="201"/>
      <c r="AF12" s="201"/>
      <c r="AG12" s="201"/>
      <c r="AH12" s="201"/>
      <c r="AI12" s="123" t="e">
        <f t="shared" si="2"/>
        <v>#N/A</v>
      </c>
      <c r="AJ12" s="121">
        <f t="shared" si="3"/>
        <v>0</v>
      </c>
    </row>
    <row r="13" spans="1:39" ht="15" customHeight="1" x14ac:dyDescent="0.4">
      <c r="A13" s="124">
        <v>10</v>
      </c>
      <c r="B13" s="125" t="s">
        <v>339</v>
      </c>
      <c r="C13" s="202" t="s">
        <v>52</v>
      </c>
      <c r="D13" s="127">
        <f>VLOOKUP(C13,'[1]PREÇO ATUAL'!$A:$D,4,0)</f>
        <v>98.473564967525803</v>
      </c>
      <c r="E13" s="128">
        <v>6.6</v>
      </c>
      <c r="F13" s="128">
        <v>6.6</v>
      </c>
      <c r="G13" s="128">
        <v>6.6</v>
      </c>
      <c r="H13" s="128">
        <v>6.6</v>
      </c>
      <c r="I13" s="128">
        <v>6.6</v>
      </c>
      <c r="J13" s="128">
        <v>6.6</v>
      </c>
      <c r="K13" s="128">
        <v>6.6</v>
      </c>
      <c r="L13" s="128">
        <v>6.6</v>
      </c>
      <c r="M13" s="128">
        <v>6.6</v>
      </c>
      <c r="N13" s="128">
        <v>6.6</v>
      </c>
      <c r="O13" s="128"/>
      <c r="P13" s="128"/>
      <c r="Q13" s="128"/>
      <c r="R13" s="128"/>
      <c r="S13" s="128"/>
      <c r="T13" s="129">
        <f t="shared" ref="T13:AC13" si="12">$D$13*E13</f>
        <v>649.92552878567028</v>
      </c>
      <c r="U13" s="129">
        <f t="shared" si="12"/>
        <v>649.92552878567028</v>
      </c>
      <c r="V13" s="129">
        <f t="shared" si="12"/>
        <v>649.92552878567028</v>
      </c>
      <c r="W13" s="129">
        <f t="shared" si="12"/>
        <v>649.92552878567028</v>
      </c>
      <c r="X13" s="129">
        <f t="shared" si="12"/>
        <v>649.92552878567028</v>
      </c>
      <c r="Y13" s="129">
        <f t="shared" si="12"/>
        <v>649.92552878567028</v>
      </c>
      <c r="Z13" s="129">
        <f t="shared" si="12"/>
        <v>649.92552878567028</v>
      </c>
      <c r="AA13" s="129">
        <f t="shared" si="12"/>
        <v>649.92552878567028</v>
      </c>
      <c r="AB13" s="129">
        <f t="shared" si="12"/>
        <v>649.92552878567028</v>
      </c>
      <c r="AC13" s="129">
        <f t="shared" si="12"/>
        <v>649.92552878567028</v>
      </c>
      <c r="AD13" s="204"/>
      <c r="AE13" s="204"/>
      <c r="AF13" s="204"/>
      <c r="AG13" s="204"/>
      <c r="AH13" s="204"/>
      <c r="AI13" s="131" t="e">
        <f t="shared" si="2"/>
        <v>#N/A</v>
      </c>
      <c r="AJ13" s="129">
        <f t="shared" si="3"/>
        <v>6499.255287856703</v>
      </c>
    </row>
    <row r="14" spans="1:39" ht="15" customHeight="1" x14ac:dyDescent="0.4">
      <c r="A14" s="112">
        <v>11</v>
      </c>
      <c r="B14" s="113" t="s">
        <v>53</v>
      </c>
      <c r="C14" s="199" t="s">
        <v>54</v>
      </c>
      <c r="D14" s="115" t="e">
        <f>VLOOKUP(C14,'[1]PREÇO ATUAL'!$A:$D,4,0)</f>
        <v>#N/A</v>
      </c>
      <c r="E14" s="161">
        <v>2.95</v>
      </c>
      <c r="F14" s="161">
        <v>2.65</v>
      </c>
      <c r="G14" s="161">
        <v>2.65</v>
      </c>
      <c r="H14" s="161">
        <v>2.75</v>
      </c>
      <c r="I14" s="161">
        <v>3.25</v>
      </c>
      <c r="J14" s="161">
        <v>2.65</v>
      </c>
      <c r="K14" s="161">
        <v>2.65</v>
      </c>
      <c r="L14" s="161">
        <v>4.5</v>
      </c>
      <c r="M14" s="161">
        <v>2.95</v>
      </c>
      <c r="N14" s="161">
        <v>2.95</v>
      </c>
      <c r="O14" s="161"/>
      <c r="P14" s="161"/>
      <c r="Q14" s="161"/>
      <c r="R14" s="161"/>
      <c r="S14" s="161"/>
      <c r="T14" s="121" t="e">
        <f t="shared" ref="T14:AC14" si="13">$D$14*E14</f>
        <v>#N/A</v>
      </c>
      <c r="U14" s="121" t="e">
        <f t="shared" si="13"/>
        <v>#N/A</v>
      </c>
      <c r="V14" s="121" t="e">
        <f t="shared" si="13"/>
        <v>#N/A</v>
      </c>
      <c r="W14" s="121" t="e">
        <f t="shared" si="13"/>
        <v>#N/A</v>
      </c>
      <c r="X14" s="121" t="e">
        <f t="shared" si="13"/>
        <v>#N/A</v>
      </c>
      <c r="Y14" s="121" t="e">
        <f t="shared" si="13"/>
        <v>#N/A</v>
      </c>
      <c r="Z14" s="121" t="e">
        <f t="shared" si="13"/>
        <v>#N/A</v>
      </c>
      <c r="AA14" s="121" t="e">
        <f t="shared" si="13"/>
        <v>#N/A</v>
      </c>
      <c r="AB14" s="121" t="e">
        <f t="shared" si="13"/>
        <v>#N/A</v>
      </c>
      <c r="AC14" s="121" t="e">
        <f t="shared" si="13"/>
        <v>#N/A</v>
      </c>
      <c r="AD14" s="201"/>
      <c r="AE14" s="201"/>
      <c r="AF14" s="201"/>
      <c r="AG14" s="201"/>
      <c r="AH14" s="201"/>
      <c r="AI14" s="123" t="e">
        <f t="shared" si="2"/>
        <v>#N/A</v>
      </c>
      <c r="AJ14" s="121" t="e">
        <f t="shared" si="3"/>
        <v>#N/A</v>
      </c>
    </row>
    <row r="15" spans="1:39" ht="15" customHeight="1" x14ac:dyDescent="0.4">
      <c r="H15" s="65"/>
      <c r="L15" s="65"/>
    </row>
    <row r="16" spans="1:39" ht="15.75" customHeight="1" x14ac:dyDescent="0.4"/>
    <row r="17" spans="1:39" ht="15" customHeight="1" x14ac:dyDescent="0.4">
      <c r="A17" s="210" t="s">
        <v>87</v>
      </c>
      <c r="B17" s="211"/>
      <c r="C17" s="211"/>
      <c r="D17" s="212"/>
      <c r="E17" s="219" t="s">
        <v>1</v>
      </c>
      <c r="F17" s="214"/>
      <c r="G17" s="214"/>
      <c r="H17" s="214"/>
      <c r="I17" s="214"/>
      <c r="J17" s="214"/>
      <c r="K17" s="214"/>
      <c r="L17" s="214"/>
      <c r="M17" s="214"/>
      <c r="N17" s="214"/>
      <c r="O17" s="192"/>
      <c r="P17" s="192"/>
      <c r="Q17" s="192"/>
      <c r="R17" s="192"/>
      <c r="S17" s="192"/>
      <c r="T17" s="216" t="s">
        <v>2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193"/>
      <c r="AE17" s="193"/>
      <c r="AF17" s="193"/>
      <c r="AG17" s="193"/>
      <c r="AH17" s="193"/>
      <c r="AI17" s="221" t="s">
        <v>3</v>
      </c>
      <c r="AJ17" s="217"/>
    </row>
    <row r="18" spans="1:39" ht="15" customHeight="1" x14ac:dyDescent="0.4">
      <c r="A18" s="213"/>
      <c r="B18" s="214"/>
      <c r="C18" s="214"/>
      <c r="D18" s="215"/>
      <c r="E18" s="220"/>
      <c r="F18" s="217"/>
      <c r="G18" s="217"/>
      <c r="H18" s="217"/>
      <c r="I18" s="217"/>
      <c r="J18" s="217"/>
      <c r="K18" s="217"/>
      <c r="L18" s="217"/>
      <c r="M18" s="217"/>
      <c r="N18" s="217"/>
      <c r="O18" s="69"/>
      <c r="P18" s="69"/>
      <c r="Q18" s="69"/>
      <c r="R18" s="69"/>
      <c r="S18" s="69"/>
      <c r="T18" s="37" t="e">
        <f t="shared" ref="T18:AC18" si="14">MROUND(SUM(T20:T31),1)</f>
        <v>#N/A</v>
      </c>
      <c r="U18" s="37" t="e">
        <f t="shared" si="14"/>
        <v>#N/A</v>
      </c>
      <c r="V18" s="37" t="e">
        <f t="shared" si="14"/>
        <v>#N/A</v>
      </c>
      <c r="W18" s="37" t="e">
        <f t="shared" si="14"/>
        <v>#N/A</v>
      </c>
      <c r="X18" s="37" t="e">
        <f t="shared" si="14"/>
        <v>#N/A</v>
      </c>
      <c r="Y18" s="37" t="e">
        <f t="shared" si="14"/>
        <v>#N/A</v>
      </c>
      <c r="Z18" s="37" t="e">
        <f t="shared" si="14"/>
        <v>#N/A</v>
      </c>
      <c r="AA18" s="37" t="e">
        <f t="shared" si="14"/>
        <v>#N/A</v>
      </c>
      <c r="AB18" s="37" t="e">
        <f t="shared" si="14"/>
        <v>#N/A</v>
      </c>
      <c r="AC18" s="37" t="e">
        <f t="shared" si="14"/>
        <v>#N/A</v>
      </c>
      <c r="AD18" s="198"/>
      <c r="AE18" s="198"/>
      <c r="AF18" s="198"/>
      <c r="AG18" s="198"/>
      <c r="AH18" s="198"/>
      <c r="AI18" s="208" t="e">
        <f>SUM(T18:AC18)</f>
        <v>#N/A</v>
      </c>
      <c r="AJ18" s="209"/>
    </row>
    <row r="19" spans="1:39" ht="15" customHeight="1" x14ac:dyDescent="0.4">
      <c r="A19" s="39" t="s">
        <v>5</v>
      </c>
      <c r="B19" s="39" t="s">
        <v>6</v>
      </c>
      <c r="C19" s="39" t="s">
        <v>7</v>
      </c>
      <c r="D19" s="178" t="s">
        <v>8</v>
      </c>
      <c r="E19" s="42" t="s">
        <v>9</v>
      </c>
      <c r="F19" s="42" t="s">
        <v>10</v>
      </c>
      <c r="G19" s="42" t="s">
        <v>11</v>
      </c>
      <c r="H19" s="42" t="s">
        <v>12</v>
      </c>
      <c r="I19" s="42" t="s">
        <v>13</v>
      </c>
      <c r="J19" s="42" t="s">
        <v>14</v>
      </c>
      <c r="K19" s="42" t="s">
        <v>15</v>
      </c>
      <c r="L19" s="42" t="s">
        <v>16</v>
      </c>
      <c r="M19" s="42" t="s">
        <v>17</v>
      </c>
      <c r="N19" s="42" t="s">
        <v>18</v>
      </c>
      <c r="O19" s="42"/>
      <c r="P19" s="42"/>
      <c r="Q19" s="42"/>
      <c r="R19" s="42"/>
      <c r="S19" s="42"/>
      <c r="T19" s="42">
        <v>10000</v>
      </c>
      <c r="U19" s="42">
        <v>20000</v>
      </c>
      <c r="V19" s="42">
        <v>30000</v>
      </c>
      <c r="W19" s="42">
        <v>40000</v>
      </c>
      <c r="X19" s="42">
        <v>50000</v>
      </c>
      <c r="Y19" s="42">
        <v>60000</v>
      </c>
      <c r="Z19" s="42">
        <v>70000</v>
      </c>
      <c r="AA19" s="42">
        <v>80000</v>
      </c>
      <c r="AB19" s="42">
        <v>90000</v>
      </c>
      <c r="AC19" s="42">
        <v>100000</v>
      </c>
      <c r="AD19" s="44"/>
      <c r="AE19" s="44"/>
      <c r="AF19" s="44"/>
      <c r="AG19" s="44"/>
      <c r="AH19" s="44"/>
      <c r="AI19" s="45" t="s">
        <v>24</v>
      </c>
      <c r="AJ19" s="39" t="s">
        <v>25</v>
      </c>
      <c r="AL19">
        <v>1186</v>
      </c>
    </row>
    <row r="20" spans="1:39" ht="15" customHeight="1" x14ac:dyDescent="0.4">
      <c r="A20" s="46">
        <v>1</v>
      </c>
      <c r="B20" s="47" t="s">
        <v>28</v>
      </c>
      <c r="C20" s="179" t="s">
        <v>288</v>
      </c>
      <c r="D20" s="49">
        <f>VLOOKUP(C20,'[1]PREÇO ATUAL'!$A:$D,4,0)</f>
        <v>115.4</v>
      </c>
      <c r="E20" s="50">
        <v>1</v>
      </c>
      <c r="F20" s="50">
        <v>1</v>
      </c>
      <c r="G20" s="50">
        <v>1</v>
      </c>
      <c r="H20" s="50">
        <v>1</v>
      </c>
      <c r="I20" s="50">
        <v>1</v>
      </c>
      <c r="J20" s="50">
        <v>1</v>
      </c>
      <c r="K20" s="50">
        <v>1</v>
      </c>
      <c r="L20" s="50">
        <v>1</v>
      </c>
      <c r="M20" s="50">
        <v>1</v>
      </c>
      <c r="N20" s="50">
        <v>1</v>
      </c>
      <c r="O20" s="50"/>
      <c r="P20" s="50"/>
      <c r="Q20" s="50"/>
      <c r="R20" s="50"/>
      <c r="S20" s="50"/>
      <c r="T20" s="52">
        <f t="shared" ref="T20:AC20" si="15">$D$20*E20</f>
        <v>115.4</v>
      </c>
      <c r="U20" s="52">
        <f t="shared" si="15"/>
        <v>115.4</v>
      </c>
      <c r="V20" s="52">
        <f t="shared" si="15"/>
        <v>115.4</v>
      </c>
      <c r="W20" s="52">
        <f t="shared" si="15"/>
        <v>115.4</v>
      </c>
      <c r="X20" s="52">
        <f t="shared" si="15"/>
        <v>115.4</v>
      </c>
      <c r="Y20" s="52">
        <f t="shared" si="15"/>
        <v>115.4</v>
      </c>
      <c r="Z20" s="52">
        <f t="shared" si="15"/>
        <v>115.4</v>
      </c>
      <c r="AA20" s="52">
        <f t="shared" si="15"/>
        <v>115.4</v>
      </c>
      <c r="AB20" s="52">
        <f t="shared" si="15"/>
        <v>115.4</v>
      </c>
      <c r="AC20" s="52">
        <f t="shared" si="15"/>
        <v>115.4</v>
      </c>
      <c r="AD20" s="103"/>
      <c r="AE20" s="103"/>
      <c r="AF20" s="103"/>
      <c r="AG20" s="103"/>
      <c r="AH20" s="103"/>
      <c r="AI20" s="82" t="e">
        <f t="shared" ref="AI20:AI31" si="16">AJ20/$AI$2</f>
        <v>#N/A</v>
      </c>
      <c r="AJ20" s="52">
        <f t="shared" ref="AJ20:AJ31" si="17">SUM(T20:AC20)</f>
        <v>1154</v>
      </c>
      <c r="AL20">
        <v>820</v>
      </c>
      <c r="AM20">
        <f>AL20/AL19</f>
        <v>0.69139966273187181</v>
      </c>
    </row>
    <row r="21" spans="1:39" ht="15" customHeight="1" x14ac:dyDescent="0.4">
      <c r="A21" s="54">
        <v>2</v>
      </c>
      <c r="B21" s="55" t="s">
        <v>26</v>
      </c>
      <c r="C21" s="180" t="s">
        <v>327</v>
      </c>
      <c r="D21" s="57">
        <f>VLOOKUP(C21,'[1]PREÇO ATUAL'!$A:$D,4,0)</f>
        <v>12.867623999999999</v>
      </c>
      <c r="E21" s="58">
        <v>1</v>
      </c>
      <c r="F21" s="58">
        <v>1</v>
      </c>
      <c r="G21" s="58">
        <v>1</v>
      </c>
      <c r="H21" s="58">
        <v>1</v>
      </c>
      <c r="I21" s="58">
        <v>1</v>
      </c>
      <c r="J21" s="58">
        <v>1</v>
      </c>
      <c r="K21" s="58">
        <v>1</v>
      </c>
      <c r="L21" s="58">
        <v>1</v>
      </c>
      <c r="M21" s="58">
        <v>1</v>
      </c>
      <c r="N21" s="58">
        <v>1</v>
      </c>
      <c r="O21" s="58"/>
      <c r="P21" s="58"/>
      <c r="Q21" s="58"/>
      <c r="R21" s="58"/>
      <c r="S21" s="58"/>
      <c r="T21" s="60">
        <f t="shared" ref="T21:AC21" si="18">$D$21*E21</f>
        <v>12.867623999999999</v>
      </c>
      <c r="U21" s="60">
        <f t="shared" si="18"/>
        <v>12.867623999999999</v>
      </c>
      <c r="V21" s="60">
        <f t="shared" si="18"/>
        <v>12.867623999999999</v>
      </c>
      <c r="W21" s="60">
        <f t="shared" si="18"/>
        <v>12.867623999999999</v>
      </c>
      <c r="X21" s="60">
        <f t="shared" si="18"/>
        <v>12.867623999999999</v>
      </c>
      <c r="Y21" s="60">
        <f t="shared" si="18"/>
        <v>12.867623999999999</v>
      </c>
      <c r="Z21" s="60">
        <f t="shared" si="18"/>
        <v>12.867623999999999</v>
      </c>
      <c r="AA21" s="60">
        <f t="shared" si="18"/>
        <v>12.867623999999999</v>
      </c>
      <c r="AB21" s="60">
        <f t="shared" si="18"/>
        <v>12.867623999999999</v>
      </c>
      <c r="AC21" s="60">
        <f t="shared" si="18"/>
        <v>12.867623999999999</v>
      </c>
      <c r="AD21" s="104"/>
      <c r="AE21" s="104"/>
      <c r="AF21" s="104"/>
      <c r="AG21" s="104"/>
      <c r="AH21" s="104"/>
      <c r="AI21" s="83" t="e">
        <f t="shared" si="16"/>
        <v>#N/A</v>
      </c>
      <c r="AJ21" s="60">
        <f t="shared" si="17"/>
        <v>128.67624000000004</v>
      </c>
      <c r="AL21">
        <f>AL19-AL20</f>
        <v>366</v>
      </c>
      <c r="AM21">
        <f>AL21/AL19</f>
        <v>0.30860033726812819</v>
      </c>
    </row>
    <row r="22" spans="1:39" ht="15" customHeight="1" x14ac:dyDescent="0.4">
      <c r="A22" s="46">
        <v>3</v>
      </c>
      <c r="B22" s="47" t="s">
        <v>328</v>
      </c>
      <c r="C22" s="179" t="s">
        <v>329</v>
      </c>
      <c r="D22" s="49">
        <f>VLOOKUP(C22,'[1]PREÇO ATUAL'!$A:$D,4,0)</f>
        <v>305</v>
      </c>
      <c r="E22" s="50">
        <v>1</v>
      </c>
      <c r="F22" s="50">
        <v>1</v>
      </c>
      <c r="G22" s="50">
        <v>1</v>
      </c>
      <c r="H22" s="50">
        <v>1</v>
      </c>
      <c r="I22" s="50">
        <v>1</v>
      </c>
      <c r="J22" s="50">
        <v>1</v>
      </c>
      <c r="K22" s="50">
        <v>1</v>
      </c>
      <c r="L22" s="50">
        <v>1</v>
      </c>
      <c r="M22" s="50">
        <v>1</v>
      </c>
      <c r="N22" s="50">
        <v>1</v>
      </c>
      <c r="O22" s="50"/>
      <c r="P22" s="50"/>
      <c r="Q22" s="50"/>
      <c r="R22" s="50"/>
      <c r="S22" s="50"/>
      <c r="T22" s="52">
        <f>D22*E22</f>
        <v>305</v>
      </c>
      <c r="U22" s="52">
        <f t="shared" ref="U22:AC22" si="19">$D$6*F22</f>
        <v>305</v>
      </c>
      <c r="V22" s="52">
        <f t="shared" si="19"/>
        <v>305</v>
      </c>
      <c r="W22" s="52">
        <f t="shared" si="19"/>
        <v>305</v>
      </c>
      <c r="X22" s="52">
        <f t="shared" si="19"/>
        <v>305</v>
      </c>
      <c r="Y22" s="52">
        <f t="shared" si="19"/>
        <v>305</v>
      </c>
      <c r="Z22" s="52">
        <f t="shared" si="19"/>
        <v>305</v>
      </c>
      <c r="AA22" s="52">
        <f t="shared" si="19"/>
        <v>305</v>
      </c>
      <c r="AB22" s="52">
        <f t="shared" si="19"/>
        <v>305</v>
      </c>
      <c r="AC22" s="52">
        <f t="shared" si="19"/>
        <v>305</v>
      </c>
      <c r="AD22" s="103"/>
      <c r="AE22" s="103"/>
      <c r="AF22" s="103"/>
      <c r="AG22" s="103"/>
      <c r="AH22" s="103"/>
      <c r="AI22" s="82" t="e">
        <f t="shared" si="16"/>
        <v>#N/A</v>
      </c>
      <c r="AJ22" s="52">
        <f t="shared" si="17"/>
        <v>3050</v>
      </c>
    </row>
    <row r="23" spans="1:39" ht="15" customHeight="1" x14ac:dyDescent="0.4">
      <c r="A23" s="54">
        <v>4</v>
      </c>
      <c r="B23" s="55" t="s">
        <v>330</v>
      </c>
      <c r="C23" s="180" t="s">
        <v>331</v>
      </c>
      <c r="D23" s="57">
        <f>VLOOKUP(C23,'[1]PREÇO ATUAL'!$A:$D,4,0)</f>
        <v>304.39</v>
      </c>
      <c r="E23" s="58"/>
      <c r="F23" s="58">
        <v>1</v>
      </c>
      <c r="G23" s="58"/>
      <c r="H23" s="58">
        <v>1</v>
      </c>
      <c r="I23" s="58"/>
      <c r="J23" s="58">
        <v>1</v>
      </c>
      <c r="K23" s="58"/>
      <c r="L23" s="58">
        <v>1</v>
      </c>
      <c r="M23" s="58"/>
      <c r="N23" s="58">
        <v>1</v>
      </c>
      <c r="O23" s="58"/>
      <c r="P23" s="58"/>
      <c r="Q23" s="58"/>
      <c r="R23" s="58"/>
      <c r="S23" s="58"/>
      <c r="T23" s="60">
        <f>D23*E23</f>
        <v>0</v>
      </c>
      <c r="U23" s="60">
        <f t="shared" ref="U23:AC23" si="20">$D$7*F23</f>
        <v>304.39</v>
      </c>
      <c r="V23" s="60">
        <f t="shared" si="20"/>
        <v>0</v>
      </c>
      <c r="W23" s="60">
        <f t="shared" si="20"/>
        <v>304.39</v>
      </c>
      <c r="X23" s="60">
        <f t="shared" si="20"/>
        <v>0</v>
      </c>
      <c r="Y23" s="60">
        <f t="shared" si="20"/>
        <v>304.39</v>
      </c>
      <c r="Z23" s="60">
        <f t="shared" si="20"/>
        <v>0</v>
      </c>
      <c r="AA23" s="60">
        <f t="shared" si="20"/>
        <v>304.39</v>
      </c>
      <c r="AB23" s="60">
        <f t="shared" si="20"/>
        <v>0</v>
      </c>
      <c r="AC23" s="60">
        <f t="shared" si="20"/>
        <v>304.39</v>
      </c>
      <c r="AD23" s="104"/>
      <c r="AE23" s="104"/>
      <c r="AF23" s="104"/>
      <c r="AG23" s="104"/>
      <c r="AH23" s="104"/>
      <c r="AI23" s="83" t="e">
        <f t="shared" si="16"/>
        <v>#N/A</v>
      </c>
      <c r="AJ23" s="60">
        <f t="shared" si="17"/>
        <v>1521.9499999999998</v>
      </c>
    </row>
    <row r="24" spans="1:39" ht="15" customHeight="1" x14ac:dyDescent="0.4">
      <c r="A24" s="46">
        <v>5</v>
      </c>
      <c r="B24" s="47" t="s">
        <v>332</v>
      </c>
      <c r="C24" s="179" t="s">
        <v>295</v>
      </c>
      <c r="D24" s="49">
        <f>VLOOKUP(C24,'[1]PREÇO ATUAL'!$A:$D,4,0)</f>
        <v>581.33000000000004</v>
      </c>
      <c r="E24" s="50"/>
      <c r="F24" s="50"/>
      <c r="G24" s="50"/>
      <c r="H24" s="50"/>
      <c r="I24" s="50"/>
      <c r="J24" s="50"/>
      <c r="K24" s="50"/>
      <c r="L24" s="50">
        <v>1</v>
      </c>
      <c r="M24" s="50"/>
      <c r="N24" s="50"/>
      <c r="O24" s="50"/>
      <c r="P24" s="50"/>
      <c r="Q24" s="50"/>
      <c r="R24" s="50"/>
      <c r="S24" s="50"/>
      <c r="T24" s="52">
        <f>D24*E24</f>
        <v>0</v>
      </c>
      <c r="U24" s="52">
        <f t="shared" ref="U24:AC24" si="21">$D$8*F24</f>
        <v>0</v>
      </c>
      <c r="V24" s="52">
        <f t="shared" si="21"/>
        <v>0</v>
      </c>
      <c r="W24" s="52">
        <f t="shared" si="21"/>
        <v>0</v>
      </c>
      <c r="X24" s="52">
        <f t="shared" si="21"/>
        <v>0</v>
      </c>
      <c r="Y24" s="52">
        <f t="shared" si="21"/>
        <v>0</v>
      </c>
      <c r="Z24" s="52">
        <f t="shared" si="21"/>
        <v>0</v>
      </c>
      <c r="AA24" s="52">
        <f t="shared" si="21"/>
        <v>581.33000000000004</v>
      </c>
      <c r="AB24" s="52">
        <f t="shared" si="21"/>
        <v>0</v>
      </c>
      <c r="AC24" s="52">
        <f t="shared" si="21"/>
        <v>0</v>
      </c>
      <c r="AD24" s="103"/>
      <c r="AE24" s="103"/>
      <c r="AF24" s="103"/>
      <c r="AG24" s="103"/>
      <c r="AH24" s="103"/>
      <c r="AI24" s="82" t="e">
        <f t="shared" si="16"/>
        <v>#N/A</v>
      </c>
      <c r="AJ24" s="52">
        <f t="shared" si="17"/>
        <v>581.33000000000004</v>
      </c>
    </row>
    <row r="25" spans="1:39" ht="23.25" customHeight="1" x14ac:dyDescent="0.4">
      <c r="A25" s="54">
        <v>6</v>
      </c>
      <c r="B25" s="67" t="s">
        <v>333</v>
      </c>
      <c r="C25" s="180" t="s">
        <v>334</v>
      </c>
      <c r="D25" s="57">
        <f>VLOOKUP(C25,'[1]PREÇO ATUAL'!$A:$D,4,0)</f>
        <v>602.5</v>
      </c>
      <c r="E25" s="105"/>
      <c r="F25" s="105"/>
      <c r="G25" s="58"/>
      <c r="H25" s="58"/>
      <c r="I25" s="105"/>
      <c r="J25" s="58"/>
      <c r="K25" s="105"/>
      <c r="L25" s="58">
        <v>1</v>
      </c>
      <c r="M25" s="58"/>
      <c r="N25" s="105"/>
      <c r="O25" s="105"/>
      <c r="P25" s="105"/>
      <c r="Q25" s="105"/>
      <c r="R25" s="105"/>
      <c r="S25" s="105"/>
      <c r="T25" s="60">
        <f t="shared" ref="T25:AC25" si="22">$D$25*E25</f>
        <v>0</v>
      </c>
      <c r="U25" s="60">
        <f t="shared" si="22"/>
        <v>0</v>
      </c>
      <c r="V25" s="60">
        <f t="shared" si="22"/>
        <v>0</v>
      </c>
      <c r="W25" s="60">
        <f t="shared" si="22"/>
        <v>0</v>
      </c>
      <c r="X25" s="60">
        <f t="shared" si="22"/>
        <v>0</v>
      </c>
      <c r="Y25" s="60">
        <f t="shared" si="22"/>
        <v>0</v>
      </c>
      <c r="Z25" s="60">
        <f t="shared" si="22"/>
        <v>0</v>
      </c>
      <c r="AA25" s="60">
        <f t="shared" si="22"/>
        <v>602.5</v>
      </c>
      <c r="AB25" s="60">
        <f t="shared" si="22"/>
        <v>0</v>
      </c>
      <c r="AC25" s="60">
        <f t="shared" si="22"/>
        <v>0</v>
      </c>
      <c r="AD25" s="104"/>
      <c r="AE25" s="104"/>
      <c r="AF25" s="104"/>
      <c r="AG25" s="104"/>
      <c r="AH25" s="104"/>
      <c r="AI25" s="83" t="e">
        <f t="shared" si="16"/>
        <v>#N/A</v>
      </c>
      <c r="AJ25" s="60">
        <f t="shared" si="17"/>
        <v>602.5</v>
      </c>
    </row>
    <row r="26" spans="1:39" ht="15" customHeight="1" x14ac:dyDescent="0.4">
      <c r="A26" s="112">
        <v>7</v>
      </c>
      <c r="B26" s="113" t="s">
        <v>335</v>
      </c>
      <c r="C26" s="199" t="s">
        <v>336</v>
      </c>
      <c r="D26" s="115">
        <f>VLOOKUP(C26,'[1]PREÇO ATUAL'!$A:$D,4,0)</f>
        <v>96.367999999999995</v>
      </c>
      <c r="E26" s="116">
        <v>2.2000000000000002</v>
      </c>
      <c r="F26" s="200"/>
      <c r="G26" s="117"/>
      <c r="H26" s="117"/>
      <c r="I26" s="116">
        <v>2.2000000000000002</v>
      </c>
      <c r="J26" s="117"/>
      <c r="K26" s="200"/>
      <c r="L26" s="117"/>
      <c r="M26" s="116">
        <v>2.2000000000000002</v>
      </c>
      <c r="N26" s="200"/>
      <c r="O26" s="200"/>
      <c r="P26" s="200"/>
      <c r="Q26" s="200"/>
      <c r="R26" s="200"/>
      <c r="S26" s="200"/>
      <c r="T26" s="121">
        <f t="shared" ref="T26:AC26" si="23">$D$26*E26</f>
        <v>212.00960000000001</v>
      </c>
      <c r="U26" s="121">
        <f t="shared" si="23"/>
        <v>0</v>
      </c>
      <c r="V26" s="121">
        <f t="shared" si="23"/>
        <v>0</v>
      </c>
      <c r="W26" s="121">
        <f t="shared" si="23"/>
        <v>0</v>
      </c>
      <c r="X26" s="121">
        <f t="shared" si="23"/>
        <v>212.00960000000001</v>
      </c>
      <c r="Y26" s="121">
        <f t="shared" si="23"/>
        <v>0</v>
      </c>
      <c r="Z26" s="121">
        <f t="shared" si="23"/>
        <v>0</v>
      </c>
      <c r="AA26" s="121">
        <f t="shared" si="23"/>
        <v>0</v>
      </c>
      <c r="AB26" s="121">
        <f t="shared" si="23"/>
        <v>212.00960000000001</v>
      </c>
      <c r="AC26" s="121">
        <f t="shared" si="23"/>
        <v>0</v>
      </c>
      <c r="AD26" s="201"/>
      <c r="AE26" s="201"/>
      <c r="AF26" s="201"/>
      <c r="AG26" s="201"/>
      <c r="AH26" s="201"/>
      <c r="AI26" s="123" t="e">
        <f t="shared" si="16"/>
        <v>#N/A</v>
      </c>
      <c r="AJ26" s="121">
        <f t="shared" si="17"/>
        <v>636.02880000000005</v>
      </c>
    </row>
    <row r="27" spans="1:39" ht="15" customHeight="1" x14ac:dyDescent="0.4">
      <c r="A27" s="124">
        <v>8</v>
      </c>
      <c r="B27" s="125" t="s">
        <v>337</v>
      </c>
      <c r="C27" s="202" t="s">
        <v>336</v>
      </c>
      <c r="D27" s="127">
        <f>VLOOKUP(C27,'[1]PREÇO ATUAL'!$A:$D,4,0)</f>
        <v>96.367999999999995</v>
      </c>
      <c r="E27" s="160"/>
      <c r="F27" s="203"/>
      <c r="G27" s="203"/>
      <c r="H27" s="203"/>
      <c r="I27" s="128">
        <v>1.5</v>
      </c>
      <c r="J27" s="203"/>
      <c r="K27" s="203"/>
      <c r="L27" s="203"/>
      <c r="M27" s="203"/>
      <c r="N27" s="128">
        <v>1.5</v>
      </c>
      <c r="O27" s="128"/>
      <c r="P27" s="128"/>
      <c r="Q27" s="128"/>
      <c r="R27" s="128"/>
      <c r="S27" s="128"/>
      <c r="T27" s="129">
        <f t="shared" ref="T27:AC27" si="24">$D$27*E27</f>
        <v>0</v>
      </c>
      <c r="U27" s="129">
        <f t="shared" si="24"/>
        <v>0</v>
      </c>
      <c r="V27" s="129">
        <f t="shared" si="24"/>
        <v>0</v>
      </c>
      <c r="W27" s="129">
        <f t="shared" si="24"/>
        <v>0</v>
      </c>
      <c r="X27" s="129">
        <f t="shared" si="24"/>
        <v>144.55199999999999</v>
      </c>
      <c r="Y27" s="129">
        <f t="shared" si="24"/>
        <v>0</v>
      </c>
      <c r="Z27" s="129">
        <f t="shared" si="24"/>
        <v>0</v>
      </c>
      <c r="AA27" s="129">
        <f t="shared" si="24"/>
        <v>0</v>
      </c>
      <c r="AB27" s="129">
        <f t="shared" si="24"/>
        <v>0</v>
      </c>
      <c r="AC27" s="129">
        <f t="shared" si="24"/>
        <v>144.55199999999999</v>
      </c>
      <c r="AD27" s="204"/>
      <c r="AE27" s="204"/>
      <c r="AF27" s="204"/>
      <c r="AG27" s="204"/>
      <c r="AH27" s="204"/>
      <c r="AI27" s="131" t="e">
        <f t="shared" si="16"/>
        <v>#N/A</v>
      </c>
      <c r="AJ27" s="129">
        <f t="shared" si="17"/>
        <v>289.10399999999998</v>
      </c>
    </row>
    <row r="28" spans="1:39" ht="15" customHeight="1" x14ac:dyDescent="0.4">
      <c r="A28" s="112">
        <v>9</v>
      </c>
      <c r="B28" s="113" t="s">
        <v>338</v>
      </c>
      <c r="C28" s="199" t="s">
        <v>47</v>
      </c>
      <c r="D28" s="115">
        <f>VLOOKUP(C28,'[1]PREÇO ATUAL'!$A:$D,4,0)</f>
        <v>32.698362814548403</v>
      </c>
      <c r="E28" s="116"/>
      <c r="F28" s="200"/>
      <c r="G28" s="117"/>
      <c r="H28" s="117"/>
      <c r="I28" s="116"/>
      <c r="J28" s="117"/>
      <c r="K28" s="200"/>
      <c r="L28" s="117"/>
      <c r="M28" s="116"/>
      <c r="N28" s="200"/>
      <c r="O28" s="200"/>
      <c r="P28" s="200"/>
      <c r="Q28" s="200"/>
      <c r="R28" s="200"/>
      <c r="S28" s="200"/>
      <c r="T28" s="121">
        <f t="shared" ref="T28:AC28" si="25">$D$28*E28</f>
        <v>0</v>
      </c>
      <c r="U28" s="121">
        <f t="shared" si="25"/>
        <v>0</v>
      </c>
      <c r="V28" s="121">
        <f t="shared" si="25"/>
        <v>0</v>
      </c>
      <c r="W28" s="121">
        <f t="shared" si="25"/>
        <v>0</v>
      </c>
      <c r="X28" s="121">
        <f t="shared" si="25"/>
        <v>0</v>
      </c>
      <c r="Y28" s="121">
        <f t="shared" si="25"/>
        <v>0</v>
      </c>
      <c r="Z28" s="121">
        <f t="shared" si="25"/>
        <v>0</v>
      </c>
      <c r="AA28" s="121">
        <f t="shared" si="25"/>
        <v>0</v>
      </c>
      <c r="AB28" s="121">
        <f t="shared" si="25"/>
        <v>0</v>
      </c>
      <c r="AC28" s="121">
        <f t="shared" si="25"/>
        <v>0</v>
      </c>
      <c r="AD28" s="201"/>
      <c r="AE28" s="201"/>
      <c r="AF28" s="201"/>
      <c r="AG28" s="201"/>
      <c r="AH28" s="201"/>
      <c r="AI28" s="123" t="e">
        <f t="shared" si="16"/>
        <v>#N/A</v>
      </c>
      <c r="AJ28" s="121">
        <f t="shared" si="17"/>
        <v>0</v>
      </c>
    </row>
    <row r="29" spans="1:39" ht="15" customHeight="1" x14ac:dyDescent="0.4">
      <c r="A29" s="124">
        <v>10</v>
      </c>
      <c r="B29" s="125" t="s">
        <v>339</v>
      </c>
      <c r="C29" s="202" t="s">
        <v>52</v>
      </c>
      <c r="D29" s="127">
        <f>VLOOKUP(C29,'[1]PREÇO ATUAL'!$A:$D,4,0)</f>
        <v>98.473564967525803</v>
      </c>
      <c r="E29" s="128">
        <v>6.6</v>
      </c>
      <c r="F29" s="128">
        <v>6.6</v>
      </c>
      <c r="G29" s="128">
        <v>6.6</v>
      </c>
      <c r="H29" s="128">
        <v>6.6</v>
      </c>
      <c r="I29" s="128">
        <v>6.6</v>
      </c>
      <c r="J29" s="128">
        <v>6.6</v>
      </c>
      <c r="K29" s="128">
        <v>6.6</v>
      </c>
      <c r="L29" s="128">
        <v>6.6</v>
      </c>
      <c r="M29" s="128">
        <v>6.6</v>
      </c>
      <c r="N29" s="128">
        <v>6.6</v>
      </c>
      <c r="O29" s="128"/>
      <c r="P29" s="128"/>
      <c r="Q29" s="128"/>
      <c r="R29" s="128"/>
      <c r="S29" s="128"/>
      <c r="T29" s="129">
        <f t="shared" ref="T29:AC29" si="26">$D$29*E29</f>
        <v>649.92552878567028</v>
      </c>
      <c r="U29" s="129">
        <f t="shared" si="26"/>
        <v>649.92552878567028</v>
      </c>
      <c r="V29" s="129">
        <f t="shared" si="26"/>
        <v>649.92552878567028</v>
      </c>
      <c r="W29" s="129">
        <f t="shared" si="26"/>
        <v>649.92552878567028</v>
      </c>
      <c r="X29" s="129">
        <f t="shared" si="26"/>
        <v>649.92552878567028</v>
      </c>
      <c r="Y29" s="129">
        <f t="shared" si="26"/>
        <v>649.92552878567028</v>
      </c>
      <c r="Z29" s="129">
        <f t="shared" si="26"/>
        <v>649.92552878567028</v>
      </c>
      <c r="AA29" s="129">
        <f t="shared" si="26"/>
        <v>649.92552878567028</v>
      </c>
      <c r="AB29" s="129">
        <f t="shared" si="26"/>
        <v>649.92552878567028</v>
      </c>
      <c r="AC29" s="129">
        <f t="shared" si="26"/>
        <v>649.92552878567028</v>
      </c>
      <c r="AD29" s="204"/>
      <c r="AE29" s="204"/>
      <c r="AF29" s="204"/>
      <c r="AG29" s="204"/>
      <c r="AH29" s="204"/>
      <c r="AI29" s="131" t="e">
        <f t="shared" si="16"/>
        <v>#N/A</v>
      </c>
      <c r="AJ29" s="129">
        <f t="shared" si="17"/>
        <v>6499.255287856703</v>
      </c>
    </row>
    <row r="30" spans="1:39" ht="15" customHeight="1" x14ac:dyDescent="0.4">
      <c r="A30" s="112">
        <v>11</v>
      </c>
      <c r="B30" s="113" t="s">
        <v>53</v>
      </c>
      <c r="C30" s="199" t="s">
        <v>54</v>
      </c>
      <c r="D30" s="115" t="e">
        <f>VLOOKUP(C30,'[1]PREÇO ATUAL'!$A:$D,4,0)</f>
        <v>#N/A</v>
      </c>
      <c r="E30" s="161">
        <v>2.95</v>
      </c>
      <c r="F30" s="161">
        <v>2.65</v>
      </c>
      <c r="G30" s="161">
        <v>2.65</v>
      </c>
      <c r="H30" s="161">
        <v>2.75</v>
      </c>
      <c r="I30" s="161">
        <v>3.25</v>
      </c>
      <c r="J30" s="161">
        <v>2.65</v>
      </c>
      <c r="K30" s="161">
        <v>2.65</v>
      </c>
      <c r="L30" s="161">
        <v>5.2</v>
      </c>
      <c r="M30" s="161">
        <v>2.95</v>
      </c>
      <c r="N30" s="161">
        <v>2.95</v>
      </c>
      <c r="O30" s="161"/>
      <c r="P30" s="161"/>
      <c r="Q30" s="161"/>
      <c r="R30" s="161"/>
      <c r="S30" s="161"/>
      <c r="T30" s="121" t="e">
        <f t="shared" ref="T30:AC30" si="27">$D$30*E30</f>
        <v>#N/A</v>
      </c>
      <c r="U30" s="121" t="e">
        <f t="shared" si="27"/>
        <v>#N/A</v>
      </c>
      <c r="V30" s="121" t="e">
        <f t="shared" si="27"/>
        <v>#N/A</v>
      </c>
      <c r="W30" s="121" t="e">
        <f t="shared" si="27"/>
        <v>#N/A</v>
      </c>
      <c r="X30" s="121" t="e">
        <f t="shared" si="27"/>
        <v>#N/A</v>
      </c>
      <c r="Y30" s="121" t="e">
        <f t="shared" si="27"/>
        <v>#N/A</v>
      </c>
      <c r="Z30" s="121" t="e">
        <f t="shared" si="27"/>
        <v>#N/A</v>
      </c>
      <c r="AA30" s="121" t="e">
        <f t="shared" si="27"/>
        <v>#N/A</v>
      </c>
      <c r="AB30" s="121" t="e">
        <f t="shared" si="27"/>
        <v>#N/A</v>
      </c>
      <c r="AC30" s="121" t="e">
        <f t="shared" si="27"/>
        <v>#N/A</v>
      </c>
      <c r="AD30" s="201"/>
      <c r="AE30" s="201"/>
      <c r="AF30" s="201"/>
      <c r="AG30" s="201"/>
      <c r="AH30" s="201"/>
      <c r="AI30" s="123" t="e">
        <f t="shared" si="16"/>
        <v>#N/A</v>
      </c>
      <c r="AJ30" s="121" t="e">
        <f t="shared" si="17"/>
        <v>#N/A</v>
      </c>
    </row>
    <row r="31" spans="1:39" ht="15" customHeight="1" x14ac:dyDescent="0.4">
      <c r="A31" s="124">
        <v>12</v>
      </c>
      <c r="B31" s="162" t="s">
        <v>340</v>
      </c>
      <c r="C31" s="202" t="s">
        <v>341</v>
      </c>
      <c r="D31" s="127">
        <f>VLOOKUP(C31,'[1]PREÇO ATUAL'!$A:$D,4,0)</f>
        <v>92.591999999999999</v>
      </c>
      <c r="E31" s="128"/>
      <c r="F31" s="128"/>
      <c r="G31" s="128"/>
      <c r="H31" s="128"/>
      <c r="I31" s="128"/>
      <c r="J31" s="128"/>
      <c r="K31" s="128"/>
      <c r="L31" s="128">
        <v>7</v>
      </c>
      <c r="M31" s="128"/>
      <c r="N31" s="128"/>
      <c r="O31" s="128"/>
      <c r="P31" s="128"/>
      <c r="Q31" s="128"/>
      <c r="R31" s="128"/>
      <c r="S31" s="128"/>
      <c r="T31" s="129">
        <f t="shared" ref="T31:AC31" si="28">$D$31*E31</f>
        <v>0</v>
      </c>
      <c r="U31" s="129">
        <f t="shared" si="28"/>
        <v>0</v>
      </c>
      <c r="V31" s="129">
        <f t="shared" si="28"/>
        <v>0</v>
      </c>
      <c r="W31" s="129">
        <f t="shared" si="28"/>
        <v>0</v>
      </c>
      <c r="X31" s="129">
        <f t="shared" si="28"/>
        <v>0</v>
      </c>
      <c r="Y31" s="129">
        <f t="shared" si="28"/>
        <v>0</v>
      </c>
      <c r="Z31" s="129">
        <f t="shared" si="28"/>
        <v>0</v>
      </c>
      <c r="AA31" s="129">
        <f t="shared" si="28"/>
        <v>648.14400000000001</v>
      </c>
      <c r="AB31" s="129">
        <f t="shared" si="28"/>
        <v>0</v>
      </c>
      <c r="AC31" s="129">
        <f t="shared" si="28"/>
        <v>0</v>
      </c>
      <c r="AD31" s="204"/>
      <c r="AE31" s="204"/>
      <c r="AF31" s="204"/>
      <c r="AG31" s="204"/>
      <c r="AH31" s="204"/>
      <c r="AI31" s="131" t="e">
        <f t="shared" si="16"/>
        <v>#N/A</v>
      </c>
      <c r="AJ31" s="129">
        <f t="shared" si="17"/>
        <v>648.14400000000001</v>
      </c>
    </row>
    <row r="32" spans="1:39" ht="15.75" customHeight="1" x14ac:dyDescent="0.4">
      <c r="H32" s="65"/>
      <c r="L32" s="65"/>
    </row>
    <row r="33" spans="1:36" ht="15.75" customHeight="1" x14ac:dyDescent="0.4">
      <c r="A33" s="239" t="s">
        <v>342</v>
      </c>
      <c r="B33" s="211"/>
      <c r="C33" s="211"/>
      <c r="D33" s="212"/>
      <c r="E33" s="218" t="s">
        <v>1</v>
      </c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22" t="s">
        <v>2</v>
      </c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1" t="s">
        <v>3</v>
      </c>
      <c r="AJ33" s="217"/>
    </row>
    <row r="34" spans="1:36" ht="15.75" customHeight="1" x14ac:dyDescent="0.4">
      <c r="A34" s="234"/>
      <c r="B34" s="217"/>
      <c r="C34" s="217"/>
      <c r="D34" s="238"/>
      <c r="E34" s="170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37" t="e">
        <f t="shared" ref="T34:AH34" si="29">MROUND(SUM(T36:T46),1)</f>
        <v>#N/A</v>
      </c>
      <c r="U34" s="37" t="e">
        <f t="shared" si="29"/>
        <v>#N/A</v>
      </c>
      <c r="V34" s="37" t="e">
        <f t="shared" si="29"/>
        <v>#N/A</v>
      </c>
      <c r="W34" s="37" t="e">
        <f t="shared" si="29"/>
        <v>#N/A</v>
      </c>
      <c r="X34" s="37" t="e">
        <f t="shared" si="29"/>
        <v>#N/A</v>
      </c>
      <c r="Y34" s="37" t="e">
        <f t="shared" si="29"/>
        <v>#N/A</v>
      </c>
      <c r="Z34" s="37" t="e">
        <f t="shared" si="29"/>
        <v>#N/A</v>
      </c>
      <c r="AA34" s="37" t="e">
        <f t="shared" si="29"/>
        <v>#N/A</v>
      </c>
      <c r="AB34" s="37" t="e">
        <f t="shared" si="29"/>
        <v>#N/A</v>
      </c>
      <c r="AC34" s="37" t="e">
        <f t="shared" si="29"/>
        <v>#N/A</v>
      </c>
      <c r="AD34" s="37" t="e">
        <f t="shared" si="29"/>
        <v>#N/A</v>
      </c>
      <c r="AE34" s="37" t="e">
        <f t="shared" si="29"/>
        <v>#N/A</v>
      </c>
      <c r="AF34" s="37" t="e">
        <f t="shared" si="29"/>
        <v>#N/A</v>
      </c>
      <c r="AG34" s="37" t="e">
        <f t="shared" si="29"/>
        <v>#N/A</v>
      </c>
      <c r="AH34" s="37" t="e">
        <f t="shared" si="29"/>
        <v>#N/A</v>
      </c>
      <c r="AI34" s="208" t="e">
        <f>SUM(T34:AH34)</f>
        <v>#N/A</v>
      </c>
      <c r="AJ34" s="209"/>
    </row>
    <row r="35" spans="1:36" ht="15.75" customHeight="1" x14ac:dyDescent="0.4">
      <c r="A35" s="39" t="s">
        <v>5</v>
      </c>
      <c r="B35" s="39" t="s">
        <v>6</v>
      </c>
      <c r="C35" s="39" t="s">
        <v>7</v>
      </c>
      <c r="D35" s="41" t="s">
        <v>8</v>
      </c>
      <c r="E35" s="42" t="s">
        <v>102</v>
      </c>
      <c r="F35" s="42" t="s">
        <v>103</v>
      </c>
      <c r="G35" s="42" t="s">
        <v>104</v>
      </c>
      <c r="H35" s="42" t="s">
        <v>105</v>
      </c>
      <c r="I35" s="42" t="s">
        <v>106</v>
      </c>
      <c r="J35" s="42" t="s">
        <v>107</v>
      </c>
      <c r="K35" s="42" t="s">
        <v>108</v>
      </c>
      <c r="L35" s="42" t="s">
        <v>109</v>
      </c>
      <c r="M35" s="169" t="s">
        <v>110</v>
      </c>
      <c r="N35" s="42" t="s">
        <v>111</v>
      </c>
      <c r="O35" s="44" t="s">
        <v>19</v>
      </c>
      <c r="P35" s="42" t="s">
        <v>20</v>
      </c>
      <c r="Q35" s="42" t="s">
        <v>21</v>
      </c>
      <c r="R35" s="42" t="s">
        <v>22</v>
      </c>
      <c r="S35" s="42" t="s">
        <v>23</v>
      </c>
      <c r="T35" s="42">
        <v>10000</v>
      </c>
      <c r="U35" s="42">
        <v>20000</v>
      </c>
      <c r="V35" s="42">
        <v>30000</v>
      </c>
      <c r="W35" s="42">
        <v>40000</v>
      </c>
      <c r="X35" s="42">
        <v>50000</v>
      </c>
      <c r="Y35" s="42">
        <v>60000</v>
      </c>
      <c r="Z35" s="42">
        <v>70000</v>
      </c>
      <c r="AA35" s="42">
        <v>80000</v>
      </c>
      <c r="AB35" s="42">
        <v>90000</v>
      </c>
      <c r="AC35" s="42">
        <v>100000</v>
      </c>
      <c r="AD35" s="44">
        <f>AC35+10000</f>
        <v>110000</v>
      </c>
      <c r="AE35" s="44">
        <f>AD35+10000</f>
        <v>120000</v>
      </c>
      <c r="AF35" s="44">
        <f>AE35+10000</f>
        <v>130000</v>
      </c>
      <c r="AG35" s="44">
        <f>AF35+10000</f>
        <v>140000</v>
      </c>
      <c r="AH35" s="44">
        <f>AG35+10000</f>
        <v>150000</v>
      </c>
      <c r="AI35" s="45" t="s">
        <v>24</v>
      </c>
      <c r="AJ35" s="39" t="s">
        <v>25</v>
      </c>
    </row>
    <row r="36" spans="1:36" ht="15.75" customHeight="1" x14ac:dyDescent="0.4">
      <c r="A36" s="46">
        <v>1</v>
      </c>
      <c r="B36" s="47" t="s">
        <v>56</v>
      </c>
      <c r="C36" s="48" t="s">
        <v>57</v>
      </c>
      <c r="D36" s="49">
        <f>VLOOKUP(C36,'[1]PREÇO ATUAL'!$A:$D,4,0)</f>
        <v>110.2</v>
      </c>
      <c r="E36" s="50">
        <v>1</v>
      </c>
      <c r="F36" s="50">
        <v>1</v>
      </c>
      <c r="G36" s="50">
        <v>1</v>
      </c>
      <c r="H36" s="50">
        <v>1</v>
      </c>
      <c r="I36" s="50">
        <v>1</v>
      </c>
      <c r="J36" s="50">
        <v>1</v>
      </c>
      <c r="K36" s="50">
        <v>1</v>
      </c>
      <c r="L36" s="50">
        <v>1</v>
      </c>
      <c r="M36" s="51">
        <v>1</v>
      </c>
      <c r="N36" s="50">
        <v>1</v>
      </c>
      <c r="O36" s="50">
        <v>1</v>
      </c>
      <c r="P36" s="50">
        <v>1</v>
      </c>
      <c r="Q36" s="50">
        <v>1</v>
      </c>
      <c r="R36" s="50">
        <v>1</v>
      </c>
      <c r="S36" s="50">
        <v>1</v>
      </c>
      <c r="T36" s="52">
        <f t="shared" ref="T36:T45" si="30">$D36*E36</f>
        <v>110.2</v>
      </c>
      <c r="U36" s="52">
        <f t="shared" ref="U36:U45" si="31">$D36*F36</f>
        <v>110.2</v>
      </c>
      <c r="V36" s="52">
        <f t="shared" ref="V36:V45" si="32">$D36*G36</f>
        <v>110.2</v>
      </c>
      <c r="W36" s="52">
        <f t="shared" ref="W36:W45" si="33">$D36*H36</f>
        <v>110.2</v>
      </c>
      <c r="X36" s="52">
        <f t="shared" ref="X36:X45" si="34">$D36*I36</f>
        <v>110.2</v>
      </c>
      <c r="Y36" s="52">
        <f t="shared" ref="Y36:Y45" si="35">$D36*J36</f>
        <v>110.2</v>
      </c>
      <c r="Z36" s="52">
        <f t="shared" ref="Z36:Z45" si="36">$D36*K36</f>
        <v>110.2</v>
      </c>
      <c r="AA36" s="52">
        <f t="shared" ref="AA36:AA45" si="37">$D36*L36</f>
        <v>110.2</v>
      </c>
      <c r="AB36" s="52">
        <f t="shared" ref="AB36:AB45" si="38">$D36*M36</f>
        <v>110.2</v>
      </c>
      <c r="AC36" s="52">
        <f t="shared" ref="AC36:AC45" si="39">$D36*N36</f>
        <v>110.2</v>
      </c>
      <c r="AD36" s="52">
        <f t="shared" ref="AD36:AD45" si="40">$D36*O36</f>
        <v>110.2</v>
      </c>
      <c r="AE36" s="52">
        <f t="shared" ref="AE36:AE45" si="41">$D36*P36</f>
        <v>110.2</v>
      </c>
      <c r="AF36" s="52">
        <f t="shared" ref="AF36:AF45" si="42">$D36*Q36</f>
        <v>110.2</v>
      </c>
      <c r="AG36" s="52">
        <f t="shared" ref="AG36:AG45" si="43">$D36*R36</f>
        <v>110.2</v>
      </c>
      <c r="AH36" s="52">
        <f t="shared" ref="AH36:AH45" si="44">$D36*S36</f>
        <v>110.2</v>
      </c>
      <c r="AI36" s="82" t="e">
        <f t="shared" ref="AI36:AI46" si="45">AJ36/$AI$2</f>
        <v>#N/A</v>
      </c>
      <c r="AJ36" s="52">
        <f t="shared" ref="AJ36:AJ46" si="46">SUM(T36:AH36)</f>
        <v>1653.0000000000005</v>
      </c>
    </row>
    <row r="37" spans="1:36" ht="15.75" customHeight="1" x14ac:dyDescent="0.4">
      <c r="A37" s="54">
        <v>2</v>
      </c>
      <c r="B37" s="55" t="s">
        <v>58</v>
      </c>
      <c r="C37" s="56" t="s">
        <v>267</v>
      </c>
      <c r="D37" s="57">
        <f>VLOOKUP(C37,'[1]PREÇO ATUAL'!$A:$D,4,0)</f>
        <v>379</v>
      </c>
      <c r="E37" s="58">
        <v>1</v>
      </c>
      <c r="F37" s="58">
        <v>1</v>
      </c>
      <c r="G37" s="58">
        <v>1</v>
      </c>
      <c r="H37" s="58">
        <v>1</v>
      </c>
      <c r="I37" s="58">
        <v>1</v>
      </c>
      <c r="J37" s="58">
        <v>1</v>
      </c>
      <c r="K37" s="58">
        <v>1</v>
      </c>
      <c r="L37" s="58">
        <v>1</v>
      </c>
      <c r="M37" s="59">
        <v>1</v>
      </c>
      <c r="N37" s="58">
        <v>1</v>
      </c>
      <c r="O37" s="58">
        <v>1</v>
      </c>
      <c r="P37" s="58">
        <v>1</v>
      </c>
      <c r="Q37" s="58">
        <v>1</v>
      </c>
      <c r="R37" s="58">
        <v>1</v>
      </c>
      <c r="S37" s="58">
        <v>1</v>
      </c>
      <c r="T37" s="60">
        <f t="shared" si="30"/>
        <v>379</v>
      </c>
      <c r="U37" s="60">
        <f t="shared" si="31"/>
        <v>379</v>
      </c>
      <c r="V37" s="60">
        <f t="shared" si="32"/>
        <v>379</v>
      </c>
      <c r="W37" s="60">
        <f t="shared" si="33"/>
        <v>379</v>
      </c>
      <c r="X37" s="60">
        <f t="shared" si="34"/>
        <v>379</v>
      </c>
      <c r="Y37" s="60">
        <f t="shared" si="35"/>
        <v>379</v>
      </c>
      <c r="Z37" s="60">
        <f t="shared" si="36"/>
        <v>379</v>
      </c>
      <c r="AA37" s="60">
        <f t="shared" si="37"/>
        <v>379</v>
      </c>
      <c r="AB37" s="60">
        <f t="shared" si="38"/>
        <v>379</v>
      </c>
      <c r="AC37" s="60">
        <f t="shared" si="39"/>
        <v>379</v>
      </c>
      <c r="AD37" s="60">
        <f t="shared" si="40"/>
        <v>379</v>
      </c>
      <c r="AE37" s="60">
        <f t="shared" si="41"/>
        <v>379</v>
      </c>
      <c r="AF37" s="60">
        <f t="shared" si="42"/>
        <v>379</v>
      </c>
      <c r="AG37" s="60">
        <f t="shared" si="43"/>
        <v>379</v>
      </c>
      <c r="AH37" s="60">
        <f t="shared" si="44"/>
        <v>379</v>
      </c>
      <c r="AI37" s="83" t="e">
        <f t="shared" si="45"/>
        <v>#N/A</v>
      </c>
      <c r="AJ37" s="60">
        <f t="shared" si="46"/>
        <v>5685</v>
      </c>
    </row>
    <row r="38" spans="1:36" ht="15.75" customHeight="1" x14ac:dyDescent="0.4">
      <c r="A38" s="46">
        <v>3</v>
      </c>
      <c r="B38" s="47" t="s">
        <v>317</v>
      </c>
      <c r="C38" s="48" t="s">
        <v>343</v>
      </c>
      <c r="D38" s="49">
        <f>VLOOKUP(C38,'[1]PREÇO ATUAL'!$A:$D,4,0)</f>
        <v>212.95</v>
      </c>
      <c r="E38" s="50"/>
      <c r="F38" s="50">
        <v>1</v>
      </c>
      <c r="G38" s="50"/>
      <c r="H38" s="50">
        <v>1</v>
      </c>
      <c r="I38" s="50"/>
      <c r="J38" s="50">
        <v>1</v>
      </c>
      <c r="K38" s="50"/>
      <c r="L38" s="50">
        <v>1</v>
      </c>
      <c r="M38" s="51"/>
      <c r="N38" s="50">
        <v>1</v>
      </c>
      <c r="O38" s="182"/>
      <c r="P38" s="50">
        <v>1</v>
      </c>
      <c r="Q38" s="50"/>
      <c r="R38" s="50">
        <v>1</v>
      </c>
      <c r="S38" s="50"/>
      <c r="T38" s="52">
        <f t="shared" si="30"/>
        <v>0</v>
      </c>
      <c r="U38" s="52">
        <f t="shared" si="31"/>
        <v>212.95</v>
      </c>
      <c r="V38" s="52">
        <f t="shared" si="32"/>
        <v>0</v>
      </c>
      <c r="W38" s="52">
        <f t="shared" si="33"/>
        <v>212.95</v>
      </c>
      <c r="X38" s="52">
        <f t="shared" si="34"/>
        <v>0</v>
      </c>
      <c r="Y38" s="52">
        <f t="shared" si="35"/>
        <v>212.95</v>
      </c>
      <c r="Z38" s="52">
        <f t="shared" si="36"/>
        <v>0</v>
      </c>
      <c r="AA38" s="52">
        <f t="shared" si="37"/>
        <v>212.95</v>
      </c>
      <c r="AB38" s="52">
        <f t="shared" si="38"/>
        <v>0</v>
      </c>
      <c r="AC38" s="52">
        <f t="shared" si="39"/>
        <v>212.95</v>
      </c>
      <c r="AD38" s="52">
        <f t="shared" si="40"/>
        <v>0</v>
      </c>
      <c r="AE38" s="52">
        <f t="shared" si="41"/>
        <v>212.95</v>
      </c>
      <c r="AF38" s="52">
        <f t="shared" si="42"/>
        <v>0</v>
      </c>
      <c r="AG38" s="52">
        <f t="shared" si="43"/>
        <v>212.95</v>
      </c>
      <c r="AH38" s="52">
        <f t="shared" si="44"/>
        <v>0</v>
      </c>
      <c r="AI38" s="82" t="e">
        <f t="shared" si="45"/>
        <v>#N/A</v>
      </c>
      <c r="AJ38" s="52">
        <f t="shared" si="46"/>
        <v>1490.65</v>
      </c>
    </row>
    <row r="39" spans="1:36" ht="15" customHeight="1" x14ac:dyDescent="0.4">
      <c r="A39" s="124">
        <v>4</v>
      </c>
      <c r="B39" s="162" t="s">
        <v>134</v>
      </c>
      <c r="C39" s="126" t="s">
        <v>344</v>
      </c>
      <c r="D39" s="127">
        <f>VLOOKUP(C39,'[1]PREÇO ATUAL'!$A:$D,4,0)</f>
        <v>283.39</v>
      </c>
      <c r="E39" s="158"/>
      <c r="F39" s="158"/>
      <c r="G39" s="158"/>
      <c r="H39" s="158"/>
      <c r="I39" s="159"/>
      <c r="J39" s="159">
        <v>1</v>
      </c>
      <c r="K39" s="159"/>
      <c r="L39" s="159"/>
      <c r="M39" s="159"/>
      <c r="N39" s="158"/>
      <c r="O39" s="205"/>
      <c r="P39" s="159">
        <v>1</v>
      </c>
      <c r="Q39" s="159"/>
      <c r="R39" s="159"/>
      <c r="S39" s="159"/>
      <c r="T39" s="129">
        <f t="shared" si="30"/>
        <v>0</v>
      </c>
      <c r="U39" s="129">
        <f t="shared" si="31"/>
        <v>0</v>
      </c>
      <c r="V39" s="129">
        <f t="shared" si="32"/>
        <v>0</v>
      </c>
      <c r="W39" s="129">
        <f t="shared" si="33"/>
        <v>0</v>
      </c>
      <c r="X39" s="129">
        <f t="shared" si="34"/>
        <v>0</v>
      </c>
      <c r="Y39" s="129">
        <f t="shared" si="35"/>
        <v>283.39</v>
      </c>
      <c r="Z39" s="129">
        <f t="shared" si="36"/>
        <v>0</v>
      </c>
      <c r="AA39" s="129">
        <f t="shared" si="37"/>
        <v>0</v>
      </c>
      <c r="AB39" s="129">
        <f t="shared" si="38"/>
        <v>0</v>
      </c>
      <c r="AC39" s="129">
        <f t="shared" si="39"/>
        <v>0</v>
      </c>
      <c r="AD39" s="129">
        <f t="shared" si="40"/>
        <v>0</v>
      </c>
      <c r="AE39" s="129">
        <f t="shared" si="41"/>
        <v>283.39</v>
      </c>
      <c r="AF39" s="129">
        <f t="shared" si="42"/>
        <v>0</v>
      </c>
      <c r="AG39" s="129">
        <f t="shared" si="43"/>
        <v>0</v>
      </c>
      <c r="AH39" s="129">
        <f t="shared" si="44"/>
        <v>0</v>
      </c>
      <c r="AI39" s="131" t="e">
        <f t="shared" si="45"/>
        <v>#N/A</v>
      </c>
      <c r="AJ39" s="129">
        <f t="shared" si="46"/>
        <v>566.78</v>
      </c>
    </row>
    <row r="40" spans="1:36" ht="23.25" customHeight="1" x14ac:dyDescent="0.4">
      <c r="A40" s="46">
        <v>5</v>
      </c>
      <c r="B40" s="66" t="s">
        <v>345</v>
      </c>
      <c r="C40" s="48" t="s">
        <v>65</v>
      </c>
      <c r="D40" s="49">
        <f>VLOOKUP(C40,'[1]PREÇO ATUAL'!$A:$D,4,0)</f>
        <v>567.54999999999995</v>
      </c>
      <c r="E40" s="50"/>
      <c r="F40" s="50"/>
      <c r="G40" s="50"/>
      <c r="H40" s="50"/>
      <c r="I40" s="50"/>
      <c r="J40" s="50"/>
      <c r="K40" s="50"/>
      <c r="L40" s="50"/>
      <c r="M40" s="51"/>
      <c r="N40" s="50"/>
      <c r="O40" s="182"/>
      <c r="P40" s="50">
        <v>1</v>
      </c>
      <c r="Q40" s="50"/>
      <c r="R40" s="50"/>
      <c r="S40" s="50"/>
      <c r="T40" s="52">
        <f t="shared" si="30"/>
        <v>0</v>
      </c>
      <c r="U40" s="52">
        <f t="shared" si="31"/>
        <v>0</v>
      </c>
      <c r="V40" s="52">
        <f t="shared" si="32"/>
        <v>0</v>
      </c>
      <c r="W40" s="52">
        <f t="shared" si="33"/>
        <v>0</v>
      </c>
      <c r="X40" s="52">
        <f t="shared" si="34"/>
        <v>0</v>
      </c>
      <c r="Y40" s="52">
        <f t="shared" si="35"/>
        <v>0</v>
      </c>
      <c r="Z40" s="52">
        <f t="shared" si="36"/>
        <v>0</v>
      </c>
      <c r="AA40" s="52">
        <f t="shared" si="37"/>
        <v>0</v>
      </c>
      <c r="AB40" s="52">
        <f t="shared" si="38"/>
        <v>0</v>
      </c>
      <c r="AC40" s="52">
        <f t="shared" si="39"/>
        <v>0</v>
      </c>
      <c r="AD40" s="52">
        <f t="shared" si="40"/>
        <v>0</v>
      </c>
      <c r="AE40" s="52">
        <f t="shared" si="41"/>
        <v>567.54999999999995</v>
      </c>
      <c r="AF40" s="52">
        <f t="shared" si="42"/>
        <v>0</v>
      </c>
      <c r="AG40" s="52">
        <f t="shared" si="43"/>
        <v>0</v>
      </c>
      <c r="AH40" s="52">
        <f t="shared" si="44"/>
        <v>0</v>
      </c>
      <c r="AI40" s="82" t="e">
        <f t="shared" si="45"/>
        <v>#N/A</v>
      </c>
      <c r="AJ40" s="52">
        <f t="shared" si="46"/>
        <v>567.54999999999995</v>
      </c>
    </row>
    <row r="41" spans="1:36" ht="33.75" customHeight="1" x14ac:dyDescent="0.4">
      <c r="A41" s="124">
        <v>6</v>
      </c>
      <c r="B41" s="162" t="s">
        <v>346</v>
      </c>
      <c r="C41" s="126" t="s">
        <v>347</v>
      </c>
      <c r="D41" s="127">
        <f>VLOOKUP(C41,'[1]PREÇO ATUAL'!$A:$D,4,0)</f>
        <v>103.451073876523</v>
      </c>
      <c r="E41" s="164">
        <v>2.2000000000000002</v>
      </c>
      <c r="F41" s="158"/>
      <c r="G41" s="158"/>
      <c r="H41" s="158"/>
      <c r="I41" s="159"/>
      <c r="J41" s="159"/>
      <c r="K41" s="159"/>
      <c r="L41" s="159"/>
      <c r="M41" s="159"/>
      <c r="N41" s="158"/>
      <c r="O41" s="205"/>
      <c r="P41" s="159"/>
      <c r="Q41" s="159"/>
      <c r="R41" s="159"/>
      <c r="S41" s="159"/>
      <c r="T41" s="129">
        <f t="shared" si="30"/>
        <v>227.59236252835061</v>
      </c>
      <c r="U41" s="129">
        <f t="shared" si="31"/>
        <v>0</v>
      </c>
      <c r="V41" s="129">
        <f t="shared" si="32"/>
        <v>0</v>
      </c>
      <c r="W41" s="129">
        <f t="shared" si="33"/>
        <v>0</v>
      </c>
      <c r="X41" s="129">
        <f t="shared" si="34"/>
        <v>0</v>
      </c>
      <c r="Y41" s="129">
        <f t="shared" si="35"/>
        <v>0</v>
      </c>
      <c r="Z41" s="129">
        <f t="shared" si="36"/>
        <v>0</v>
      </c>
      <c r="AA41" s="129">
        <f t="shared" si="37"/>
        <v>0</v>
      </c>
      <c r="AB41" s="129">
        <f t="shared" si="38"/>
        <v>0</v>
      </c>
      <c r="AC41" s="129">
        <f t="shared" si="39"/>
        <v>0</v>
      </c>
      <c r="AD41" s="129">
        <f t="shared" si="40"/>
        <v>0</v>
      </c>
      <c r="AE41" s="129">
        <f t="shared" si="41"/>
        <v>0</v>
      </c>
      <c r="AF41" s="129">
        <f t="shared" si="42"/>
        <v>0</v>
      </c>
      <c r="AG41" s="129">
        <f t="shared" si="43"/>
        <v>0</v>
      </c>
      <c r="AH41" s="129">
        <f t="shared" si="44"/>
        <v>0</v>
      </c>
      <c r="AI41" s="131" t="e">
        <f t="shared" si="45"/>
        <v>#N/A</v>
      </c>
      <c r="AJ41" s="129">
        <f t="shared" si="46"/>
        <v>227.59236252835061</v>
      </c>
    </row>
    <row r="42" spans="1:36" ht="15.75" customHeight="1" x14ac:dyDescent="0.4">
      <c r="A42" s="46">
        <v>7</v>
      </c>
      <c r="B42" s="47" t="s">
        <v>348</v>
      </c>
      <c r="C42" s="48" t="s">
        <v>349</v>
      </c>
      <c r="D42" s="49">
        <f>VLOOKUP(C42,'[1]PREÇO ATUAL'!$A:$D,4,0)</f>
        <v>165.76</v>
      </c>
      <c r="E42" s="75"/>
      <c r="F42" s="75"/>
      <c r="G42" s="75"/>
      <c r="H42" s="75"/>
      <c r="I42" s="75"/>
      <c r="J42" s="75">
        <v>2.5</v>
      </c>
      <c r="K42" s="75"/>
      <c r="L42" s="75"/>
      <c r="M42" s="76"/>
      <c r="N42" s="75"/>
      <c r="O42" s="206"/>
      <c r="P42" s="75"/>
      <c r="Q42" s="75"/>
      <c r="R42" s="75"/>
      <c r="S42" s="75"/>
      <c r="T42" s="52">
        <f t="shared" si="30"/>
        <v>0</v>
      </c>
      <c r="U42" s="52">
        <f t="shared" si="31"/>
        <v>0</v>
      </c>
      <c r="V42" s="52">
        <f t="shared" si="32"/>
        <v>0</v>
      </c>
      <c r="W42" s="52">
        <f t="shared" si="33"/>
        <v>0</v>
      </c>
      <c r="X42" s="52">
        <f t="shared" si="34"/>
        <v>0</v>
      </c>
      <c r="Y42" s="52">
        <f t="shared" si="35"/>
        <v>414.4</v>
      </c>
      <c r="Z42" s="52">
        <f t="shared" si="36"/>
        <v>0</v>
      </c>
      <c r="AA42" s="52">
        <f t="shared" si="37"/>
        <v>0</v>
      </c>
      <c r="AB42" s="52">
        <f t="shared" si="38"/>
        <v>0</v>
      </c>
      <c r="AC42" s="52">
        <f t="shared" si="39"/>
        <v>0</v>
      </c>
      <c r="AD42" s="52">
        <f t="shared" si="40"/>
        <v>0</v>
      </c>
      <c r="AE42" s="52">
        <f t="shared" si="41"/>
        <v>0</v>
      </c>
      <c r="AF42" s="52">
        <f t="shared" si="42"/>
        <v>0</v>
      </c>
      <c r="AG42" s="52">
        <f t="shared" si="43"/>
        <v>0</v>
      </c>
      <c r="AH42" s="52">
        <f t="shared" si="44"/>
        <v>0</v>
      </c>
      <c r="AI42" s="82" t="e">
        <f t="shared" si="45"/>
        <v>#N/A</v>
      </c>
      <c r="AJ42" s="52">
        <f t="shared" si="46"/>
        <v>414.4</v>
      </c>
    </row>
    <row r="43" spans="1:36" ht="23.25" customHeight="1" x14ac:dyDescent="0.4">
      <c r="A43" s="124">
        <v>8</v>
      </c>
      <c r="B43" s="162" t="s">
        <v>350</v>
      </c>
      <c r="C43" s="126" t="s">
        <v>351</v>
      </c>
      <c r="D43" s="127">
        <f>VLOOKUP(C43,'[1]PREÇO ATUAL'!$A:$D,4,0)</f>
        <v>77.744</v>
      </c>
      <c r="E43" s="164"/>
      <c r="F43" s="164"/>
      <c r="G43" s="164"/>
      <c r="H43" s="164"/>
      <c r="I43" s="171"/>
      <c r="J43" s="171"/>
      <c r="K43" s="171"/>
      <c r="L43" s="171"/>
      <c r="M43" s="171"/>
      <c r="N43" s="164"/>
      <c r="O43" s="207"/>
      <c r="P43" s="171"/>
      <c r="Q43" s="171"/>
      <c r="R43" s="171"/>
      <c r="S43" s="171"/>
      <c r="T43" s="129">
        <f t="shared" si="30"/>
        <v>0</v>
      </c>
      <c r="U43" s="129">
        <f t="shared" si="31"/>
        <v>0</v>
      </c>
      <c r="V43" s="129">
        <f t="shared" si="32"/>
        <v>0</v>
      </c>
      <c r="W43" s="129">
        <f t="shared" si="33"/>
        <v>0</v>
      </c>
      <c r="X43" s="129">
        <f t="shared" si="34"/>
        <v>0</v>
      </c>
      <c r="Y43" s="129">
        <f t="shared" si="35"/>
        <v>0</v>
      </c>
      <c r="Z43" s="129">
        <f t="shared" si="36"/>
        <v>0</v>
      </c>
      <c r="AA43" s="129">
        <f t="shared" si="37"/>
        <v>0</v>
      </c>
      <c r="AB43" s="129">
        <f t="shared" si="38"/>
        <v>0</v>
      </c>
      <c r="AC43" s="129">
        <f t="shared" si="39"/>
        <v>0</v>
      </c>
      <c r="AD43" s="129">
        <f t="shared" si="40"/>
        <v>0</v>
      </c>
      <c r="AE43" s="129">
        <f t="shared" si="41"/>
        <v>0</v>
      </c>
      <c r="AF43" s="129">
        <f t="shared" si="42"/>
        <v>0</v>
      </c>
      <c r="AG43" s="129">
        <f t="shared" si="43"/>
        <v>0</v>
      </c>
      <c r="AH43" s="129">
        <f t="shared" si="44"/>
        <v>0</v>
      </c>
      <c r="AI43" s="131" t="e">
        <f t="shared" si="45"/>
        <v>#N/A</v>
      </c>
      <c r="AJ43" s="129">
        <f t="shared" si="46"/>
        <v>0</v>
      </c>
    </row>
    <row r="44" spans="1:36" ht="15.75" customHeight="1" x14ac:dyDescent="0.4">
      <c r="A44" s="46">
        <v>9</v>
      </c>
      <c r="B44" s="47" t="s">
        <v>352</v>
      </c>
      <c r="C44" s="48" t="s">
        <v>67</v>
      </c>
      <c r="D44" s="49">
        <f>VLOOKUP(C44,'[1]PREÇO ATUAL'!$A:$D,4,0)</f>
        <v>580.29325200000005</v>
      </c>
      <c r="E44" s="75"/>
      <c r="F44" s="75"/>
      <c r="G44" s="75"/>
      <c r="H44" s="75"/>
      <c r="I44" s="75"/>
      <c r="J44" s="75"/>
      <c r="K44" s="75"/>
      <c r="L44" s="75"/>
      <c r="M44" s="76"/>
      <c r="N44" s="75"/>
      <c r="O44" s="206"/>
      <c r="P44" s="75"/>
      <c r="Q44" s="75"/>
      <c r="R44" s="75"/>
      <c r="S44" s="75"/>
      <c r="T44" s="52">
        <f t="shared" si="30"/>
        <v>0</v>
      </c>
      <c r="U44" s="52">
        <f t="shared" si="31"/>
        <v>0</v>
      </c>
      <c r="V44" s="52">
        <f t="shared" si="32"/>
        <v>0</v>
      </c>
      <c r="W44" s="52">
        <f t="shared" si="33"/>
        <v>0</v>
      </c>
      <c r="X44" s="52">
        <f t="shared" si="34"/>
        <v>0</v>
      </c>
      <c r="Y44" s="52">
        <f t="shared" si="35"/>
        <v>0</v>
      </c>
      <c r="Z44" s="52">
        <f t="shared" si="36"/>
        <v>0</v>
      </c>
      <c r="AA44" s="52">
        <f t="shared" si="37"/>
        <v>0</v>
      </c>
      <c r="AB44" s="52">
        <f t="shared" si="38"/>
        <v>0</v>
      </c>
      <c r="AC44" s="52">
        <f t="shared" si="39"/>
        <v>0</v>
      </c>
      <c r="AD44" s="52">
        <f t="shared" si="40"/>
        <v>0</v>
      </c>
      <c r="AE44" s="52">
        <f t="shared" si="41"/>
        <v>0</v>
      </c>
      <c r="AF44" s="52">
        <f t="shared" si="42"/>
        <v>0</v>
      </c>
      <c r="AG44" s="52">
        <f t="shared" si="43"/>
        <v>0</v>
      </c>
      <c r="AH44" s="52">
        <f t="shared" si="44"/>
        <v>0</v>
      </c>
      <c r="AI44" s="82" t="e">
        <f t="shared" si="45"/>
        <v>#N/A</v>
      </c>
      <c r="AJ44" s="52">
        <f t="shared" si="46"/>
        <v>0</v>
      </c>
    </row>
    <row r="45" spans="1:36" ht="15" customHeight="1" x14ac:dyDescent="0.4">
      <c r="A45" s="124">
        <v>10</v>
      </c>
      <c r="B45" s="162" t="s">
        <v>70</v>
      </c>
      <c r="C45" s="126" t="s">
        <v>71</v>
      </c>
      <c r="D45" s="127">
        <f>VLOOKUP(C45,'[1]PREÇO ATUAL'!$A:$D,4,0)</f>
        <v>91.54</v>
      </c>
      <c r="E45" s="164">
        <v>4.9000000000000004</v>
      </c>
      <c r="F45" s="164">
        <v>4.9000000000000004</v>
      </c>
      <c r="G45" s="164">
        <v>4.9000000000000004</v>
      </c>
      <c r="H45" s="164">
        <v>4.9000000000000004</v>
      </c>
      <c r="I45" s="171">
        <v>4.9000000000000004</v>
      </c>
      <c r="J45" s="171">
        <v>4.9000000000000004</v>
      </c>
      <c r="K45" s="171">
        <v>4.9000000000000004</v>
      </c>
      <c r="L45" s="171">
        <v>4.9000000000000004</v>
      </c>
      <c r="M45" s="171">
        <v>4.9000000000000004</v>
      </c>
      <c r="N45" s="164">
        <v>4.9000000000000004</v>
      </c>
      <c r="O45" s="207">
        <v>4.9000000000000004</v>
      </c>
      <c r="P45" s="171">
        <v>4.9000000000000004</v>
      </c>
      <c r="Q45" s="171">
        <v>4.9000000000000004</v>
      </c>
      <c r="R45" s="171">
        <v>4.9000000000000004</v>
      </c>
      <c r="S45" s="171">
        <v>4.9000000000000004</v>
      </c>
      <c r="T45" s="129">
        <f t="shared" si="30"/>
        <v>448.54600000000005</v>
      </c>
      <c r="U45" s="129">
        <f t="shared" si="31"/>
        <v>448.54600000000005</v>
      </c>
      <c r="V45" s="129">
        <f t="shared" si="32"/>
        <v>448.54600000000005</v>
      </c>
      <c r="W45" s="129">
        <f t="shared" si="33"/>
        <v>448.54600000000005</v>
      </c>
      <c r="X45" s="129">
        <f t="shared" si="34"/>
        <v>448.54600000000005</v>
      </c>
      <c r="Y45" s="129">
        <f t="shared" si="35"/>
        <v>448.54600000000005</v>
      </c>
      <c r="Z45" s="129">
        <f t="shared" si="36"/>
        <v>448.54600000000005</v>
      </c>
      <c r="AA45" s="129">
        <f t="shared" si="37"/>
        <v>448.54600000000005</v>
      </c>
      <c r="AB45" s="129">
        <f t="shared" si="38"/>
        <v>448.54600000000005</v>
      </c>
      <c r="AC45" s="129">
        <f t="shared" si="39"/>
        <v>448.54600000000005</v>
      </c>
      <c r="AD45" s="129">
        <f t="shared" si="40"/>
        <v>448.54600000000005</v>
      </c>
      <c r="AE45" s="129">
        <f t="shared" si="41"/>
        <v>448.54600000000005</v>
      </c>
      <c r="AF45" s="129">
        <f t="shared" si="42"/>
        <v>448.54600000000005</v>
      </c>
      <c r="AG45" s="129">
        <f t="shared" si="43"/>
        <v>448.54600000000005</v>
      </c>
      <c r="AH45" s="129">
        <f t="shared" si="44"/>
        <v>448.54600000000005</v>
      </c>
      <c r="AI45" s="131" t="e">
        <f t="shared" si="45"/>
        <v>#N/A</v>
      </c>
      <c r="AJ45" s="129">
        <f t="shared" si="46"/>
        <v>6728.1900000000032</v>
      </c>
    </row>
    <row r="46" spans="1:36" ht="15.75" customHeight="1" x14ac:dyDescent="0.4">
      <c r="A46" s="46">
        <v>11</v>
      </c>
      <c r="B46" s="47" t="s">
        <v>128</v>
      </c>
      <c r="C46" s="48" t="s">
        <v>54</v>
      </c>
      <c r="D46" s="49" t="e">
        <f>VLOOKUP(C46,'[1]PREÇO ATUAL'!$A:$D,4,0)</f>
        <v>#N/A</v>
      </c>
      <c r="E46" s="75">
        <v>1.75</v>
      </c>
      <c r="F46" s="75">
        <v>1.5</v>
      </c>
      <c r="G46" s="75">
        <v>1.45</v>
      </c>
      <c r="H46" s="75">
        <v>1.85</v>
      </c>
      <c r="I46" s="75">
        <v>1.5</v>
      </c>
      <c r="J46" s="75">
        <v>1.57</v>
      </c>
      <c r="K46" s="75">
        <v>1.45</v>
      </c>
      <c r="L46" s="75">
        <v>1.85</v>
      </c>
      <c r="M46" s="76">
        <v>1.45</v>
      </c>
      <c r="N46" s="75">
        <v>1.5</v>
      </c>
      <c r="O46" s="206">
        <v>1.5</v>
      </c>
      <c r="P46" s="75">
        <v>5.3</v>
      </c>
      <c r="Q46" s="75">
        <v>1.75</v>
      </c>
      <c r="R46" s="75">
        <v>1.5</v>
      </c>
      <c r="S46" s="75">
        <v>1.75</v>
      </c>
      <c r="T46" s="52" t="e">
        <f>D46*E46</f>
        <v>#N/A</v>
      </c>
      <c r="U46" s="52" t="e">
        <f t="shared" ref="U46:AH46" si="47">$D46*F46</f>
        <v>#N/A</v>
      </c>
      <c r="V46" s="52" t="e">
        <f t="shared" si="47"/>
        <v>#N/A</v>
      </c>
      <c r="W46" s="52" t="e">
        <f t="shared" si="47"/>
        <v>#N/A</v>
      </c>
      <c r="X46" s="52" t="e">
        <f t="shared" si="47"/>
        <v>#N/A</v>
      </c>
      <c r="Y46" s="52" t="e">
        <f t="shared" si="47"/>
        <v>#N/A</v>
      </c>
      <c r="Z46" s="52" t="e">
        <f t="shared" si="47"/>
        <v>#N/A</v>
      </c>
      <c r="AA46" s="52" t="e">
        <f t="shared" si="47"/>
        <v>#N/A</v>
      </c>
      <c r="AB46" s="52" t="e">
        <f t="shared" si="47"/>
        <v>#N/A</v>
      </c>
      <c r="AC46" s="52" t="e">
        <f t="shared" si="47"/>
        <v>#N/A</v>
      </c>
      <c r="AD46" s="52" t="e">
        <f t="shared" si="47"/>
        <v>#N/A</v>
      </c>
      <c r="AE46" s="52" t="e">
        <f t="shared" si="47"/>
        <v>#N/A</v>
      </c>
      <c r="AF46" s="52" t="e">
        <f t="shared" si="47"/>
        <v>#N/A</v>
      </c>
      <c r="AG46" s="52" t="e">
        <f t="shared" si="47"/>
        <v>#N/A</v>
      </c>
      <c r="AH46" s="52" t="e">
        <f t="shared" si="47"/>
        <v>#N/A</v>
      </c>
      <c r="AI46" s="82" t="e">
        <f t="shared" si="45"/>
        <v>#N/A</v>
      </c>
      <c r="AJ46" s="52" t="e">
        <f t="shared" si="46"/>
        <v>#N/A</v>
      </c>
    </row>
    <row r="47" spans="1:36" ht="15.75" customHeight="1" x14ac:dyDescent="0.4"/>
    <row r="48" spans="1:36" ht="15.75" customHeight="1" x14ac:dyDescent="0.4">
      <c r="A48" s="239" t="s">
        <v>353</v>
      </c>
      <c r="B48" s="211"/>
      <c r="C48" s="211"/>
      <c r="D48" s="212"/>
      <c r="E48" s="218" t="s">
        <v>1</v>
      </c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22" t="s">
        <v>2</v>
      </c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1" t="s">
        <v>3</v>
      </c>
      <c r="AJ48" s="217"/>
    </row>
    <row r="49" spans="1:36" ht="15.75" customHeight="1" x14ac:dyDescent="0.4">
      <c r="A49" s="234"/>
      <c r="B49" s="217"/>
      <c r="C49" s="217"/>
      <c r="D49" s="238"/>
      <c r="E49" s="170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37" t="e">
        <f t="shared" ref="T49:AH49" si="48">MROUND(SUM(T51:T60),1)</f>
        <v>#N/A</v>
      </c>
      <c r="U49" s="37" t="e">
        <f t="shared" si="48"/>
        <v>#N/A</v>
      </c>
      <c r="V49" s="37" t="e">
        <f t="shared" si="48"/>
        <v>#N/A</v>
      </c>
      <c r="W49" s="37" t="e">
        <f t="shared" si="48"/>
        <v>#N/A</v>
      </c>
      <c r="X49" s="37" t="e">
        <f t="shared" si="48"/>
        <v>#N/A</v>
      </c>
      <c r="Y49" s="37" t="e">
        <f t="shared" si="48"/>
        <v>#N/A</v>
      </c>
      <c r="Z49" s="37" t="e">
        <f t="shared" si="48"/>
        <v>#N/A</v>
      </c>
      <c r="AA49" s="37" t="e">
        <f t="shared" si="48"/>
        <v>#N/A</v>
      </c>
      <c r="AB49" s="37" t="e">
        <f t="shared" si="48"/>
        <v>#N/A</v>
      </c>
      <c r="AC49" s="37" t="e">
        <f t="shared" si="48"/>
        <v>#N/A</v>
      </c>
      <c r="AD49" s="37" t="e">
        <f t="shared" si="48"/>
        <v>#N/A</v>
      </c>
      <c r="AE49" s="37" t="e">
        <f t="shared" si="48"/>
        <v>#N/A</v>
      </c>
      <c r="AF49" s="37" t="e">
        <f t="shared" si="48"/>
        <v>#N/A</v>
      </c>
      <c r="AG49" s="37" t="e">
        <f t="shared" si="48"/>
        <v>#N/A</v>
      </c>
      <c r="AH49" s="37" t="e">
        <f t="shared" si="48"/>
        <v>#N/A</v>
      </c>
      <c r="AI49" s="208" t="e">
        <f>SUM(T49:AH49)</f>
        <v>#N/A</v>
      </c>
      <c r="AJ49" s="209"/>
    </row>
    <row r="50" spans="1:36" ht="15.75" customHeight="1" x14ac:dyDescent="0.4">
      <c r="A50" s="39" t="s">
        <v>5</v>
      </c>
      <c r="B50" s="39" t="s">
        <v>6</v>
      </c>
      <c r="C50" s="39" t="s">
        <v>7</v>
      </c>
      <c r="D50" s="41" t="s">
        <v>8</v>
      </c>
      <c r="E50" s="42" t="s">
        <v>102</v>
      </c>
      <c r="F50" s="42" t="s">
        <v>103</v>
      </c>
      <c r="G50" s="42" t="s">
        <v>104</v>
      </c>
      <c r="H50" s="42" t="s">
        <v>105</v>
      </c>
      <c r="I50" s="42" t="s">
        <v>106</v>
      </c>
      <c r="J50" s="42" t="s">
        <v>107</v>
      </c>
      <c r="K50" s="42" t="s">
        <v>108</v>
      </c>
      <c r="L50" s="42" t="s">
        <v>109</v>
      </c>
      <c r="M50" s="169" t="s">
        <v>110</v>
      </c>
      <c r="N50" s="42" t="s">
        <v>111</v>
      </c>
      <c r="O50" s="44" t="s">
        <v>19</v>
      </c>
      <c r="P50" s="42" t="s">
        <v>20</v>
      </c>
      <c r="Q50" s="42" t="s">
        <v>21</v>
      </c>
      <c r="R50" s="42" t="s">
        <v>22</v>
      </c>
      <c r="S50" s="42" t="s">
        <v>23</v>
      </c>
      <c r="T50" s="42">
        <v>10000</v>
      </c>
      <c r="U50" s="42">
        <v>20000</v>
      </c>
      <c r="V50" s="42">
        <v>30000</v>
      </c>
      <c r="W50" s="42">
        <v>40000</v>
      </c>
      <c r="X50" s="42">
        <v>50000</v>
      </c>
      <c r="Y50" s="42">
        <v>60000</v>
      </c>
      <c r="Z50" s="42">
        <v>70000</v>
      </c>
      <c r="AA50" s="42">
        <v>80000</v>
      </c>
      <c r="AB50" s="42">
        <v>90000</v>
      </c>
      <c r="AC50" s="42">
        <v>100000</v>
      </c>
      <c r="AD50" s="44">
        <f>AC50+10000</f>
        <v>110000</v>
      </c>
      <c r="AE50" s="44">
        <f>AD50+10000</f>
        <v>120000</v>
      </c>
      <c r="AF50" s="44">
        <f>AE50+10000</f>
        <v>130000</v>
      </c>
      <c r="AG50" s="44">
        <f>AF50+10000</f>
        <v>140000</v>
      </c>
      <c r="AH50" s="44">
        <f>AG50+10000</f>
        <v>150000</v>
      </c>
      <c r="AI50" s="45" t="s">
        <v>24</v>
      </c>
      <c r="AJ50" s="39" t="s">
        <v>25</v>
      </c>
    </row>
    <row r="51" spans="1:36" ht="15.75" customHeight="1" x14ac:dyDescent="0.4">
      <c r="A51" s="46">
        <v>1</v>
      </c>
      <c r="B51" s="47" t="s">
        <v>56</v>
      </c>
      <c r="C51" s="48" t="s">
        <v>57</v>
      </c>
      <c r="D51" s="49">
        <f>VLOOKUP(C51,'[1]PREÇO ATUAL'!$A:$D,4,0)</f>
        <v>110.2</v>
      </c>
      <c r="E51" s="50">
        <v>1</v>
      </c>
      <c r="F51" s="50">
        <v>1</v>
      </c>
      <c r="G51" s="50">
        <v>1</v>
      </c>
      <c r="H51" s="50">
        <v>1</v>
      </c>
      <c r="I51" s="50">
        <v>1</v>
      </c>
      <c r="J51" s="50">
        <v>1</v>
      </c>
      <c r="K51" s="50">
        <v>1</v>
      </c>
      <c r="L51" s="50">
        <v>1</v>
      </c>
      <c r="M51" s="51">
        <v>1</v>
      </c>
      <c r="N51" s="50">
        <v>1</v>
      </c>
      <c r="O51" s="50">
        <v>1</v>
      </c>
      <c r="P51" s="50">
        <v>1</v>
      </c>
      <c r="Q51" s="50">
        <v>1</v>
      </c>
      <c r="R51" s="50">
        <v>1</v>
      </c>
      <c r="S51" s="50">
        <v>1</v>
      </c>
      <c r="T51" s="52">
        <f t="shared" ref="T51:T59" si="49">$D51*E51</f>
        <v>110.2</v>
      </c>
      <c r="U51" s="52">
        <f t="shared" ref="U51:U59" si="50">$D51*F51</f>
        <v>110.2</v>
      </c>
      <c r="V51" s="52">
        <f t="shared" ref="V51:V59" si="51">$D51*G51</f>
        <v>110.2</v>
      </c>
      <c r="W51" s="52">
        <f t="shared" ref="W51:W59" si="52">$D51*H51</f>
        <v>110.2</v>
      </c>
      <c r="X51" s="52">
        <f t="shared" ref="X51:X59" si="53">$D51*I51</f>
        <v>110.2</v>
      </c>
      <c r="Y51" s="52">
        <f t="shared" ref="Y51:Y59" si="54">$D51*J51</f>
        <v>110.2</v>
      </c>
      <c r="Z51" s="52">
        <f t="shared" ref="Z51:Z59" si="55">$D51*K51</f>
        <v>110.2</v>
      </c>
      <c r="AA51" s="52">
        <f t="shared" ref="AA51:AA59" si="56">$D51*L51</f>
        <v>110.2</v>
      </c>
      <c r="AB51" s="52">
        <f t="shared" ref="AB51:AB59" si="57">$D51*M51</f>
        <v>110.2</v>
      </c>
      <c r="AC51" s="52">
        <f t="shared" ref="AC51:AC59" si="58">$D51*N51</f>
        <v>110.2</v>
      </c>
      <c r="AD51" s="52">
        <f t="shared" ref="AD51:AD59" si="59">$D51*O51</f>
        <v>110.2</v>
      </c>
      <c r="AE51" s="52">
        <f t="shared" ref="AE51:AE59" si="60">$D51*P51</f>
        <v>110.2</v>
      </c>
      <c r="AF51" s="52">
        <f t="shared" ref="AF51:AF59" si="61">$D51*Q51</f>
        <v>110.2</v>
      </c>
      <c r="AG51" s="52">
        <f t="shared" ref="AG51:AG59" si="62">$D51*R51</f>
        <v>110.2</v>
      </c>
      <c r="AH51" s="52">
        <f t="shared" ref="AH51:AH59" si="63">$D51*S51</f>
        <v>110.2</v>
      </c>
      <c r="AI51" s="82" t="e">
        <f t="shared" ref="AI51:AI60" si="64">AJ51/$AI$2</f>
        <v>#N/A</v>
      </c>
      <c r="AJ51" s="52">
        <f t="shared" ref="AJ51:AJ60" si="65">SUM(T51:AH51)</f>
        <v>1653.0000000000005</v>
      </c>
    </row>
    <row r="52" spans="1:36" ht="15.75" customHeight="1" x14ac:dyDescent="0.4">
      <c r="A52" s="54">
        <v>2</v>
      </c>
      <c r="B52" s="55" t="s">
        <v>58</v>
      </c>
      <c r="C52" s="56" t="s">
        <v>267</v>
      </c>
      <c r="D52" s="57">
        <f>VLOOKUP(C52,'[1]PREÇO ATUAL'!$A:$D,4,0)</f>
        <v>379</v>
      </c>
      <c r="E52" s="58">
        <v>1</v>
      </c>
      <c r="F52" s="58">
        <v>1</v>
      </c>
      <c r="G52" s="58">
        <v>1</v>
      </c>
      <c r="H52" s="58">
        <v>1</v>
      </c>
      <c r="I52" s="58">
        <v>1</v>
      </c>
      <c r="J52" s="58">
        <v>1</v>
      </c>
      <c r="K52" s="58">
        <v>1</v>
      </c>
      <c r="L52" s="58">
        <v>1</v>
      </c>
      <c r="M52" s="59">
        <v>1</v>
      </c>
      <c r="N52" s="58">
        <v>1</v>
      </c>
      <c r="O52" s="58">
        <v>1</v>
      </c>
      <c r="P52" s="58">
        <v>1</v>
      </c>
      <c r="Q52" s="58">
        <v>1</v>
      </c>
      <c r="R52" s="58">
        <v>1</v>
      </c>
      <c r="S52" s="58">
        <v>1</v>
      </c>
      <c r="T52" s="60">
        <f t="shared" si="49"/>
        <v>379</v>
      </c>
      <c r="U52" s="60">
        <f t="shared" si="50"/>
        <v>379</v>
      </c>
      <c r="V52" s="60">
        <f t="shared" si="51"/>
        <v>379</v>
      </c>
      <c r="W52" s="60">
        <f t="shared" si="52"/>
        <v>379</v>
      </c>
      <c r="X52" s="60">
        <f t="shared" si="53"/>
        <v>379</v>
      </c>
      <c r="Y52" s="60">
        <f t="shared" si="54"/>
        <v>379</v>
      </c>
      <c r="Z52" s="60">
        <f t="shared" si="55"/>
        <v>379</v>
      </c>
      <c r="AA52" s="60">
        <f t="shared" si="56"/>
        <v>379</v>
      </c>
      <c r="AB52" s="60">
        <f t="shared" si="57"/>
        <v>379</v>
      </c>
      <c r="AC52" s="60">
        <f t="shared" si="58"/>
        <v>379</v>
      </c>
      <c r="AD52" s="60">
        <f t="shared" si="59"/>
        <v>379</v>
      </c>
      <c r="AE52" s="60">
        <f t="shared" si="60"/>
        <v>379</v>
      </c>
      <c r="AF52" s="60">
        <f t="shared" si="61"/>
        <v>379</v>
      </c>
      <c r="AG52" s="60">
        <f t="shared" si="62"/>
        <v>379</v>
      </c>
      <c r="AH52" s="60">
        <f t="shared" si="63"/>
        <v>379</v>
      </c>
      <c r="AI52" s="83" t="e">
        <f t="shared" si="64"/>
        <v>#N/A</v>
      </c>
      <c r="AJ52" s="60">
        <f t="shared" si="65"/>
        <v>5685</v>
      </c>
    </row>
    <row r="53" spans="1:36" ht="15.75" customHeight="1" x14ac:dyDescent="0.4">
      <c r="A53" s="46">
        <v>3</v>
      </c>
      <c r="B53" s="47" t="s">
        <v>317</v>
      </c>
      <c r="C53" s="48" t="s">
        <v>343</v>
      </c>
      <c r="D53" s="49">
        <f>VLOOKUP(C53,'[1]PREÇO ATUAL'!$A:$D,4,0)</f>
        <v>212.95</v>
      </c>
      <c r="E53" s="50"/>
      <c r="F53" s="50">
        <v>1</v>
      </c>
      <c r="G53" s="50"/>
      <c r="H53" s="50">
        <v>1</v>
      </c>
      <c r="I53" s="50"/>
      <c r="J53" s="50">
        <v>1</v>
      </c>
      <c r="K53" s="50"/>
      <c r="L53" s="50">
        <v>1</v>
      </c>
      <c r="M53" s="51"/>
      <c r="N53" s="50">
        <v>1</v>
      </c>
      <c r="O53" s="182"/>
      <c r="P53" s="50">
        <v>1</v>
      </c>
      <c r="Q53" s="50"/>
      <c r="R53" s="50">
        <v>1</v>
      </c>
      <c r="S53" s="50"/>
      <c r="T53" s="52">
        <f t="shared" si="49"/>
        <v>0</v>
      </c>
      <c r="U53" s="52">
        <f t="shared" si="50"/>
        <v>212.95</v>
      </c>
      <c r="V53" s="52">
        <f t="shared" si="51"/>
        <v>0</v>
      </c>
      <c r="W53" s="52">
        <f t="shared" si="52"/>
        <v>212.95</v>
      </c>
      <c r="X53" s="52">
        <f t="shared" si="53"/>
        <v>0</v>
      </c>
      <c r="Y53" s="52">
        <f t="shared" si="54"/>
        <v>212.95</v>
      </c>
      <c r="Z53" s="52">
        <f t="shared" si="55"/>
        <v>0</v>
      </c>
      <c r="AA53" s="52">
        <f t="shared" si="56"/>
        <v>212.95</v>
      </c>
      <c r="AB53" s="52">
        <f t="shared" si="57"/>
        <v>0</v>
      </c>
      <c r="AC53" s="52">
        <f t="shared" si="58"/>
        <v>212.95</v>
      </c>
      <c r="AD53" s="52">
        <f t="shared" si="59"/>
        <v>0</v>
      </c>
      <c r="AE53" s="52">
        <f t="shared" si="60"/>
        <v>212.95</v>
      </c>
      <c r="AF53" s="52">
        <f t="shared" si="61"/>
        <v>0</v>
      </c>
      <c r="AG53" s="52">
        <f t="shared" si="62"/>
        <v>212.95</v>
      </c>
      <c r="AH53" s="52">
        <f t="shared" si="63"/>
        <v>0</v>
      </c>
      <c r="AI53" s="82" t="e">
        <f t="shared" si="64"/>
        <v>#N/A</v>
      </c>
      <c r="AJ53" s="52">
        <f t="shared" si="65"/>
        <v>1490.65</v>
      </c>
    </row>
    <row r="54" spans="1:36" ht="15" customHeight="1" x14ac:dyDescent="0.4">
      <c r="A54" s="124">
        <v>4</v>
      </c>
      <c r="B54" s="162" t="s">
        <v>134</v>
      </c>
      <c r="C54" s="126" t="s">
        <v>344</v>
      </c>
      <c r="D54" s="127">
        <f>VLOOKUP(C54,'[1]PREÇO ATUAL'!$A:$D,4,0)</f>
        <v>283.39</v>
      </c>
      <c r="E54" s="158"/>
      <c r="F54" s="158"/>
      <c r="G54" s="158"/>
      <c r="H54" s="158"/>
      <c r="I54" s="159"/>
      <c r="J54" s="159">
        <v>1</v>
      </c>
      <c r="K54" s="159"/>
      <c r="L54" s="159"/>
      <c r="M54" s="159"/>
      <c r="N54" s="158"/>
      <c r="O54" s="205"/>
      <c r="P54" s="159">
        <v>1</v>
      </c>
      <c r="Q54" s="159"/>
      <c r="R54" s="159"/>
      <c r="S54" s="159"/>
      <c r="T54" s="129">
        <f t="shared" si="49"/>
        <v>0</v>
      </c>
      <c r="U54" s="129">
        <f t="shared" si="50"/>
        <v>0</v>
      </c>
      <c r="V54" s="129">
        <f t="shared" si="51"/>
        <v>0</v>
      </c>
      <c r="W54" s="129">
        <f t="shared" si="52"/>
        <v>0</v>
      </c>
      <c r="X54" s="129">
        <f t="shared" si="53"/>
        <v>0</v>
      </c>
      <c r="Y54" s="129">
        <f t="shared" si="54"/>
        <v>283.39</v>
      </c>
      <c r="Z54" s="129">
        <f t="shared" si="55"/>
        <v>0</v>
      </c>
      <c r="AA54" s="129">
        <f t="shared" si="56"/>
        <v>0</v>
      </c>
      <c r="AB54" s="129">
        <f t="shared" si="57"/>
        <v>0</v>
      </c>
      <c r="AC54" s="129">
        <f t="shared" si="58"/>
        <v>0</v>
      </c>
      <c r="AD54" s="129">
        <f t="shared" si="59"/>
        <v>0</v>
      </c>
      <c r="AE54" s="129">
        <f t="shared" si="60"/>
        <v>283.39</v>
      </c>
      <c r="AF54" s="129">
        <f t="shared" si="61"/>
        <v>0</v>
      </c>
      <c r="AG54" s="129">
        <f t="shared" si="62"/>
        <v>0</v>
      </c>
      <c r="AH54" s="129">
        <f t="shared" si="63"/>
        <v>0</v>
      </c>
      <c r="AI54" s="131" t="e">
        <f t="shared" si="64"/>
        <v>#N/A</v>
      </c>
      <c r="AJ54" s="129">
        <f t="shared" si="65"/>
        <v>566.78</v>
      </c>
    </row>
    <row r="55" spans="1:36" ht="31.5" customHeight="1" x14ac:dyDescent="0.4">
      <c r="A55" s="46">
        <v>5</v>
      </c>
      <c r="B55" s="66" t="s">
        <v>345</v>
      </c>
      <c r="C55" s="48" t="s">
        <v>65</v>
      </c>
      <c r="D55" s="49">
        <f>VLOOKUP(C55,'[1]PREÇO ATUAL'!$A:$D,4,0)</f>
        <v>567.54999999999995</v>
      </c>
      <c r="E55" s="50"/>
      <c r="F55" s="50"/>
      <c r="G55" s="50"/>
      <c r="H55" s="50"/>
      <c r="I55" s="50"/>
      <c r="J55" s="50"/>
      <c r="K55" s="50"/>
      <c r="L55" s="50"/>
      <c r="M55" s="51"/>
      <c r="N55" s="50"/>
      <c r="O55" s="182"/>
      <c r="P55" s="50">
        <v>1</v>
      </c>
      <c r="Q55" s="50"/>
      <c r="R55" s="50"/>
      <c r="S55" s="50"/>
      <c r="T55" s="52">
        <f t="shared" si="49"/>
        <v>0</v>
      </c>
      <c r="U55" s="52">
        <f t="shared" si="50"/>
        <v>0</v>
      </c>
      <c r="V55" s="52">
        <f t="shared" si="51"/>
        <v>0</v>
      </c>
      <c r="W55" s="52">
        <f t="shared" si="52"/>
        <v>0</v>
      </c>
      <c r="X55" s="52">
        <f t="shared" si="53"/>
        <v>0</v>
      </c>
      <c r="Y55" s="52">
        <f t="shared" si="54"/>
        <v>0</v>
      </c>
      <c r="Z55" s="52">
        <f t="shared" si="55"/>
        <v>0</v>
      </c>
      <c r="AA55" s="52">
        <f t="shared" si="56"/>
        <v>0</v>
      </c>
      <c r="AB55" s="52">
        <f t="shared" si="57"/>
        <v>0</v>
      </c>
      <c r="AC55" s="52">
        <f t="shared" si="58"/>
        <v>0</v>
      </c>
      <c r="AD55" s="52">
        <f t="shared" si="59"/>
        <v>0</v>
      </c>
      <c r="AE55" s="52">
        <f t="shared" si="60"/>
        <v>567.54999999999995</v>
      </c>
      <c r="AF55" s="52">
        <f t="shared" si="61"/>
        <v>0</v>
      </c>
      <c r="AG55" s="52">
        <f t="shared" si="62"/>
        <v>0</v>
      </c>
      <c r="AH55" s="52">
        <f t="shared" si="63"/>
        <v>0</v>
      </c>
      <c r="AI55" s="82" t="e">
        <f t="shared" si="64"/>
        <v>#N/A</v>
      </c>
      <c r="AJ55" s="52">
        <f t="shared" si="65"/>
        <v>567.54999999999995</v>
      </c>
    </row>
    <row r="56" spans="1:36" ht="42.75" customHeight="1" x14ac:dyDescent="0.4">
      <c r="A56" s="124">
        <v>6</v>
      </c>
      <c r="B56" s="162" t="s">
        <v>346</v>
      </c>
      <c r="C56" s="126" t="s">
        <v>347</v>
      </c>
      <c r="D56" s="127">
        <f>VLOOKUP(C56,'[1]PREÇO ATUAL'!$A:$D,4,0)</f>
        <v>103.451073876523</v>
      </c>
      <c r="E56" s="164">
        <v>2.2000000000000002</v>
      </c>
      <c r="F56" s="158"/>
      <c r="G56" s="158"/>
      <c r="H56" s="158"/>
      <c r="I56" s="159"/>
      <c r="J56" s="159"/>
      <c r="K56" s="159"/>
      <c r="L56" s="159"/>
      <c r="M56" s="159"/>
      <c r="N56" s="158"/>
      <c r="O56" s="205"/>
      <c r="P56" s="159"/>
      <c r="Q56" s="159"/>
      <c r="R56" s="159"/>
      <c r="S56" s="159"/>
      <c r="T56" s="129">
        <f t="shared" si="49"/>
        <v>227.59236252835061</v>
      </c>
      <c r="U56" s="129">
        <f t="shared" si="50"/>
        <v>0</v>
      </c>
      <c r="V56" s="129">
        <f t="shared" si="51"/>
        <v>0</v>
      </c>
      <c r="W56" s="129">
        <f t="shared" si="52"/>
        <v>0</v>
      </c>
      <c r="X56" s="129">
        <f t="shared" si="53"/>
        <v>0</v>
      </c>
      <c r="Y56" s="129">
        <f t="shared" si="54"/>
        <v>0</v>
      </c>
      <c r="Z56" s="129">
        <f t="shared" si="55"/>
        <v>0</v>
      </c>
      <c r="AA56" s="129">
        <f t="shared" si="56"/>
        <v>0</v>
      </c>
      <c r="AB56" s="129">
        <f t="shared" si="57"/>
        <v>0</v>
      </c>
      <c r="AC56" s="129">
        <f t="shared" si="58"/>
        <v>0</v>
      </c>
      <c r="AD56" s="129">
        <f t="shared" si="59"/>
        <v>0</v>
      </c>
      <c r="AE56" s="129">
        <f t="shared" si="60"/>
        <v>0</v>
      </c>
      <c r="AF56" s="129">
        <f t="shared" si="61"/>
        <v>0</v>
      </c>
      <c r="AG56" s="129">
        <f t="shared" si="62"/>
        <v>0</v>
      </c>
      <c r="AH56" s="129">
        <f t="shared" si="63"/>
        <v>0</v>
      </c>
      <c r="AI56" s="131" t="e">
        <f t="shared" si="64"/>
        <v>#N/A</v>
      </c>
      <c r="AJ56" s="129">
        <f t="shared" si="65"/>
        <v>227.59236252835061</v>
      </c>
    </row>
    <row r="57" spans="1:36" ht="23.25" customHeight="1" x14ac:dyDescent="0.4">
      <c r="A57" s="46">
        <v>7</v>
      </c>
      <c r="B57" s="66" t="s">
        <v>350</v>
      </c>
      <c r="C57" s="48" t="s">
        <v>351</v>
      </c>
      <c r="D57" s="49">
        <f>VLOOKUP(C57,'[1]PREÇO ATUAL'!$A:$D,4,0)</f>
        <v>77.744</v>
      </c>
      <c r="E57" s="50"/>
      <c r="F57" s="50"/>
      <c r="G57" s="50"/>
      <c r="H57" s="50"/>
      <c r="I57" s="50"/>
      <c r="J57" s="50"/>
      <c r="K57" s="50"/>
      <c r="L57" s="50"/>
      <c r="M57" s="51"/>
      <c r="N57" s="50"/>
      <c r="O57" s="182"/>
      <c r="P57" s="50"/>
      <c r="Q57" s="50"/>
      <c r="R57" s="50"/>
      <c r="S57" s="50"/>
      <c r="T57" s="52">
        <f t="shared" si="49"/>
        <v>0</v>
      </c>
      <c r="U57" s="52">
        <f t="shared" si="50"/>
        <v>0</v>
      </c>
      <c r="V57" s="52">
        <f t="shared" si="51"/>
        <v>0</v>
      </c>
      <c r="W57" s="52">
        <f t="shared" si="52"/>
        <v>0</v>
      </c>
      <c r="X57" s="52">
        <f t="shared" si="53"/>
        <v>0</v>
      </c>
      <c r="Y57" s="52">
        <f t="shared" si="54"/>
        <v>0</v>
      </c>
      <c r="Z57" s="52">
        <f t="shared" si="55"/>
        <v>0</v>
      </c>
      <c r="AA57" s="52">
        <f t="shared" si="56"/>
        <v>0</v>
      </c>
      <c r="AB57" s="52">
        <f t="shared" si="57"/>
        <v>0</v>
      </c>
      <c r="AC57" s="52">
        <f t="shared" si="58"/>
        <v>0</v>
      </c>
      <c r="AD57" s="52">
        <f t="shared" si="59"/>
        <v>0</v>
      </c>
      <c r="AE57" s="52">
        <f t="shared" si="60"/>
        <v>0</v>
      </c>
      <c r="AF57" s="52">
        <f t="shared" si="61"/>
        <v>0</v>
      </c>
      <c r="AG57" s="52">
        <f t="shared" si="62"/>
        <v>0</v>
      </c>
      <c r="AH57" s="52">
        <f t="shared" si="63"/>
        <v>0</v>
      </c>
      <c r="AI57" s="82" t="e">
        <f t="shared" si="64"/>
        <v>#N/A</v>
      </c>
      <c r="AJ57" s="52">
        <f t="shared" si="65"/>
        <v>0</v>
      </c>
    </row>
    <row r="58" spans="1:36" ht="23.25" customHeight="1" x14ac:dyDescent="0.4">
      <c r="A58" s="124">
        <v>8</v>
      </c>
      <c r="B58" s="162" t="s">
        <v>352</v>
      </c>
      <c r="C58" s="126" t="s">
        <v>67</v>
      </c>
      <c r="D58" s="127">
        <f>VLOOKUP(C58,'[1]PREÇO ATUAL'!$A:$D,4,0)</f>
        <v>580.29325200000005</v>
      </c>
      <c r="E58" s="158"/>
      <c r="F58" s="158"/>
      <c r="G58" s="158"/>
      <c r="H58" s="158"/>
      <c r="I58" s="159"/>
      <c r="J58" s="159"/>
      <c r="K58" s="159"/>
      <c r="L58" s="159"/>
      <c r="M58" s="159"/>
      <c r="N58" s="158"/>
      <c r="O58" s="205"/>
      <c r="P58" s="159"/>
      <c r="Q58" s="159"/>
      <c r="R58" s="159"/>
      <c r="S58" s="159"/>
      <c r="T58" s="129">
        <f t="shared" si="49"/>
        <v>0</v>
      </c>
      <c r="U58" s="129">
        <f t="shared" si="50"/>
        <v>0</v>
      </c>
      <c r="V58" s="129">
        <f t="shared" si="51"/>
        <v>0</v>
      </c>
      <c r="W58" s="129">
        <f t="shared" si="52"/>
        <v>0</v>
      </c>
      <c r="X58" s="129">
        <f t="shared" si="53"/>
        <v>0</v>
      </c>
      <c r="Y58" s="129">
        <f t="shared" si="54"/>
        <v>0</v>
      </c>
      <c r="Z58" s="129">
        <f t="shared" si="55"/>
        <v>0</v>
      </c>
      <c r="AA58" s="129">
        <f t="shared" si="56"/>
        <v>0</v>
      </c>
      <c r="AB58" s="129">
        <f t="shared" si="57"/>
        <v>0</v>
      </c>
      <c r="AC58" s="129">
        <f t="shared" si="58"/>
        <v>0</v>
      </c>
      <c r="AD58" s="129">
        <f t="shared" si="59"/>
        <v>0</v>
      </c>
      <c r="AE58" s="129">
        <f t="shared" si="60"/>
        <v>0</v>
      </c>
      <c r="AF58" s="129">
        <f t="shared" si="61"/>
        <v>0</v>
      </c>
      <c r="AG58" s="129">
        <f t="shared" si="62"/>
        <v>0</v>
      </c>
      <c r="AH58" s="129">
        <f t="shared" si="63"/>
        <v>0</v>
      </c>
      <c r="AI58" s="131" t="e">
        <f t="shared" si="64"/>
        <v>#N/A</v>
      </c>
      <c r="AJ58" s="129">
        <f t="shared" si="65"/>
        <v>0</v>
      </c>
    </row>
    <row r="59" spans="1:36" ht="15.75" customHeight="1" x14ac:dyDescent="0.4">
      <c r="A59" s="46">
        <v>9</v>
      </c>
      <c r="B59" s="47" t="s">
        <v>70</v>
      </c>
      <c r="C59" s="48" t="s">
        <v>71</v>
      </c>
      <c r="D59" s="49">
        <f>VLOOKUP(C59,'[1]PREÇO ATUAL'!$A:$D,4,0)</f>
        <v>91.54</v>
      </c>
      <c r="E59" s="75">
        <v>4.9000000000000004</v>
      </c>
      <c r="F59" s="75">
        <v>4.9000000000000004</v>
      </c>
      <c r="G59" s="75">
        <v>4.9000000000000004</v>
      </c>
      <c r="H59" s="75">
        <v>4.9000000000000004</v>
      </c>
      <c r="I59" s="75">
        <v>4.9000000000000004</v>
      </c>
      <c r="J59" s="75">
        <v>4.9000000000000004</v>
      </c>
      <c r="K59" s="75">
        <v>4.9000000000000004</v>
      </c>
      <c r="L59" s="75">
        <v>4.9000000000000004</v>
      </c>
      <c r="M59" s="76">
        <v>4.9000000000000004</v>
      </c>
      <c r="N59" s="75">
        <v>4.9000000000000004</v>
      </c>
      <c r="O59" s="206">
        <v>4.9000000000000004</v>
      </c>
      <c r="P59" s="75">
        <v>4.9000000000000004</v>
      </c>
      <c r="Q59" s="75">
        <v>4.9000000000000004</v>
      </c>
      <c r="R59" s="75">
        <v>4.9000000000000004</v>
      </c>
      <c r="S59" s="75">
        <v>4.9000000000000004</v>
      </c>
      <c r="T59" s="52">
        <f t="shared" si="49"/>
        <v>448.54600000000005</v>
      </c>
      <c r="U59" s="52">
        <f t="shared" si="50"/>
        <v>448.54600000000005</v>
      </c>
      <c r="V59" s="52">
        <f t="shared" si="51"/>
        <v>448.54600000000005</v>
      </c>
      <c r="W59" s="52">
        <f t="shared" si="52"/>
        <v>448.54600000000005</v>
      </c>
      <c r="X59" s="52">
        <f t="shared" si="53"/>
        <v>448.54600000000005</v>
      </c>
      <c r="Y59" s="52">
        <f t="shared" si="54"/>
        <v>448.54600000000005</v>
      </c>
      <c r="Z59" s="52">
        <f t="shared" si="55"/>
        <v>448.54600000000005</v>
      </c>
      <c r="AA59" s="52">
        <f t="shared" si="56"/>
        <v>448.54600000000005</v>
      </c>
      <c r="AB59" s="52">
        <f t="shared" si="57"/>
        <v>448.54600000000005</v>
      </c>
      <c r="AC59" s="52">
        <f t="shared" si="58"/>
        <v>448.54600000000005</v>
      </c>
      <c r="AD59" s="52">
        <f t="shared" si="59"/>
        <v>448.54600000000005</v>
      </c>
      <c r="AE59" s="52">
        <f t="shared" si="60"/>
        <v>448.54600000000005</v>
      </c>
      <c r="AF59" s="52">
        <f t="shared" si="61"/>
        <v>448.54600000000005</v>
      </c>
      <c r="AG59" s="52">
        <f t="shared" si="62"/>
        <v>448.54600000000005</v>
      </c>
      <c r="AH59" s="52">
        <f t="shared" si="63"/>
        <v>448.54600000000005</v>
      </c>
      <c r="AI59" s="82" t="e">
        <f t="shared" si="64"/>
        <v>#N/A</v>
      </c>
      <c r="AJ59" s="52">
        <f t="shared" si="65"/>
        <v>6728.1900000000032</v>
      </c>
    </row>
    <row r="60" spans="1:36" ht="15" customHeight="1" x14ac:dyDescent="0.4">
      <c r="A60" s="124">
        <v>10</v>
      </c>
      <c r="B60" s="162" t="s">
        <v>128</v>
      </c>
      <c r="C60" s="126" t="s">
        <v>54</v>
      </c>
      <c r="D60" s="127" t="e">
        <f>VLOOKUP(C60,'[1]PREÇO ATUAL'!$A:$D,4,0)</f>
        <v>#N/A</v>
      </c>
      <c r="E60" s="164">
        <v>1.75</v>
      </c>
      <c r="F60" s="164">
        <v>1.5</v>
      </c>
      <c r="G60" s="164">
        <v>1.45</v>
      </c>
      <c r="H60" s="164">
        <v>1.85</v>
      </c>
      <c r="I60" s="171">
        <v>1.5</v>
      </c>
      <c r="J60" s="171">
        <v>1.57</v>
      </c>
      <c r="K60" s="171">
        <v>1.45</v>
      </c>
      <c r="L60" s="171">
        <v>1.85</v>
      </c>
      <c r="M60" s="171">
        <v>1.45</v>
      </c>
      <c r="N60" s="164">
        <v>1.5</v>
      </c>
      <c r="O60" s="207">
        <v>1.5</v>
      </c>
      <c r="P60" s="171">
        <v>5.3</v>
      </c>
      <c r="Q60" s="171">
        <v>1.75</v>
      </c>
      <c r="R60" s="171">
        <v>1.5</v>
      </c>
      <c r="S60" s="171">
        <v>1.75</v>
      </c>
      <c r="T60" s="129" t="e">
        <f>D60*E60</f>
        <v>#N/A</v>
      </c>
      <c r="U60" s="129" t="e">
        <f t="shared" ref="U60:AH60" si="66">$D60*F60</f>
        <v>#N/A</v>
      </c>
      <c r="V60" s="129" t="e">
        <f t="shared" si="66"/>
        <v>#N/A</v>
      </c>
      <c r="W60" s="129" t="e">
        <f t="shared" si="66"/>
        <v>#N/A</v>
      </c>
      <c r="X60" s="129" t="e">
        <f t="shared" si="66"/>
        <v>#N/A</v>
      </c>
      <c r="Y60" s="129" t="e">
        <f t="shared" si="66"/>
        <v>#N/A</v>
      </c>
      <c r="Z60" s="129" t="e">
        <f t="shared" si="66"/>
        <v>#N/A</v>
      </c>
      <c r="AA60" s="129" t="e">
        <f t="shared" si="66"/>
        <v>#N/A</v>
      </c>
      <c r="AB60" s="129" t="e">
        <f t="shared" si="66"/>
        <v>#N/A</v>
      </c>
      <c r="AC60" s="129" t="e">
        <f t="shared" si="66"/>
        <v>#N/A</v>
      </c>
      <c r="AD60" s="129" t="e">
        <f t="shared" si="66"/>
        <v>#N/A</v>
      </c>
      <c r="AE60" s="129" t="e">
        <f t="shared" si="66"/>
        <v>#N/A</v>
      </c>
      <c r="AF60" s="129" t="e">
        <f t="shared" si="66"/>
        <v>#N/A</v>
      </c>
      <c r="AG60" s="129" t="e">
        <f t="shared" si="66"/>
        <v>#N/A</v>
      </c>
      <c r="AH60" s="129" t="e">
        <f t="shared" si="66"/>
        <v>#N/A</v>
      </c>
      <c r="AI60" s="131" t="e">
        <f t="shared" si="64"/>
        <v>#N/A</v>
      </c>
      <c r="AJ60" s="129" t="e">
        <f t="shared" si="65"/>
        <v>#N/A</v>
      </c>
    </row>
    <row r="61" spans="1:36" ht="15.75" customHeight="1" x14ac:dyDescent="0.4"/>
    <row r="62" spans="1:36" ht="15.75" customHeight="1" x14ac:dyDescent="0.4"/>
    <row r="63" spans="1:36" ht="15.75" customHeight="1" x14ac:dyDescent="0.4">
      <c r="T63" s="156"/>
      <c r="U63" s="156"/>
      <c r="V63" s="156"/>
    </row>
    <row r="64" spans="1:36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</sheetData>
  <mergeCells count="20">
    <mergeCell ref="E33:S33"/>
    <mergeCell ref="AI2:AJ2"/>
    <mergeCell ref="AI33:AJ33"/>
    <mergeCell ref="E48:S48"/>
    <mergeCell ref="A48:D49"/>
    <mergeCell ref="AI48:AJ48"/>
    <mergeCell ref="AI17:AJ17"/>
    <mergeCell ref="A1:D2"/>
    <mergeCell ref="E1:S1"/>
    <mergeCell ref="T17:AC17"/>
    <mergeCell ref="AI1:AJ1"/>
    <mergeCell ref="E17:N18"/>
    <mergeCell ref="AI34:AJ34"/>
    <mergeCell ref="T1:AH1"/>
    <mergeCell ref="AI49:AJ49"/>
    <mergeCell ref="A17:D18"/>
    <mergeCell ref="A33:D34"/>
    <mergeCell ref="T48:AH48"/>
    <mergeCell ref="AI18:AJ18"/>
    <mergeCell ref="T33:AH33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PREÇO NACIONAL</vt:lpstr>
      <vt:lpstr>CRONOS 1.0</vt:lpstr>
      <vt:lpstr>CRONOS 1.3</vt:lpstr>
      <vt:lpstr>CRONOS 1.8</vt:lpstr>
      <vt:lpstr>NOVO UNO 1.0 FIRE</vt:lpstr>
      <vt:lpstr>NOVO UNO 1.0 FIREFLY</vt:lpstr>
      <vt:lpstr>NOVO UNO 1.3 FIREFLY</vt:lpstr>
      <vt:lpstr>PALIO WEEKEND 1.4</vt:lpstr>
      <vt:lpstr>PALIO WEEKEND 1.8</vt:lpstr>
      <vt:lpstr>GRAND SIENA 1.0</vt:lpstr>
      <vt:lpstr>GRAND SIENA 1.4</vt:lpstr>
      <vt:lpstr>NOVA STRADA 1.0T</vt:lpstr>
      <vt:lpstr>NOVA STRADA 1.3</vt:lpstr>
      <vt:lpstr>NOVA STRADA 1.4</vt:lpstr>
      <vt:lpstr>ARGO 1.0</vt:lpstr>
      <vt:lpstr>ARGO 1.3</vt:lpstr>
      <vt:lpstr>ARGO 1.8</vt:lpstr>
      <vt:lpstr>FIORINO</vt:lpstr>
      <vt:lpstr>PULSE 1.0T</vt:lpstr>
      <vt:lpstr>PULSE 1.3</vt:lpstr>
      <vt:lpstr>PULSE ABARTH</vt:lpstr>
      <vt:lpstr>FASTBACK 1.0T</vt:lpstr>
      <vt:lpstr>FASTBACK 1.3T</vt:lpstr>
      <vt:lpstr>MOBI FIRE</vt:lpstr>
      <vt:lpstr>MOBI FIREFLY</vt:lpstr>
      <vt:lpstr>DOBLO</vt:lpstr>
      <vt:lpstr>TORO 1.8</vt:lpstr>
      <vt:lpstr>TORO 2.4</vt:lpstr>
      <vt:lpstr>TORO 1.3T</vt:lpstr>
      <vt:lpstr>TORO DIESEL</vt:lpstr>
      <vt:lpstr>DUCATO</vt:lpstr>
      <vt:lpstr>SCUDO</vt:lpstr>
      <vt:lpstr>500e</vt:lpstr>
      <vt:lpstr>TITANO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Mateus San Marino</cp:lastModifiedBy>
  <cp:revision>1</cp:revision>
  <dcterms:created xsi:type="dcterms:W3CDTF">2022-06-08T18:49:28Z</dcterms:created>
  <dcterms:modified xsi:type="dcterms:W3CDTF">2026-06-17T14:59:35Z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0x0101002184DB60800ACA4C9F881E3192D45602</vt:lpwstr>
  </property>
  <property fmtid="{D5CDD505-2E9C-101B-9397-08002B2CF9AE}" pid="3" name="MSIP_Label_2fd53d93-3f4c-4b90-b511-bd6bdbb4fba9_ActionId">
    <vt:lpwstr>77e0886c-ae51-44f3-a18e-1323a0dd9afa</vt:lpwstr>
  </property>
  <property fmtid="{D5CDD505-2E9C-101B-9397-08002B2CF9AE}" pid="4" name="MSIP_Label_2fd53d93-3f4c-4b90-b511-bd6bdbb4fba9_ContentBits">
    <vt:lpwstr>0</vt:lpwstr>
  </property>
  <property fmtid="{D5CDD505-2E9C-101B-9397-08002B2CF9AE}" pid="5" name="MSIP_Label_2fd53d93-3f4c-4b90-b511-bd6bdbb4fba9_Enabled">
    <vt:lpwstr>true</vt:lpwstr>
  </property>
  <property fmtid="{D5CDD505-2E9C-101B-9397-08002B2CF9AE}" pid="6" name="MSIP_Label_2fd53d93-3f4c-4b90-b511-bd6bdbb4fba9_Method">
    <vt:lpwstr>Standard</vt:lpwstr>
  </property>
  <property fmtid="{D5CDD505-2E9C-101B-9397-08002B2CF9AE}" pid="7" name="MSIP_Label_2fd53d93-3f4c-4b90-b511-bd6bdbb4fba9_Name">
    <vt:lpwstr>2fd53d93-3f4c-4b90-b511-bd6bdbb4fba9</vt:lpwstr>
  </property>
  <property fmtid="{D5CDD505-2E9C-101B-9397-08002B2CF9AE}" pid="8" name="MSIP_Label_2fd53d93-3f4c-4b90-b511-bd6bdbb4fba9_SetDate">
    <vt:lpwstr>2022-12-23T12:55:13Z</vt:lpwstr>
  </property>
  <property fmtid="{D5CDD505-2E9C-101B-9397-08002B2CF9AE}" pid="9" name="MSIP_Label_2fd53d93-3f4c-4b90-b511-bd6bdbb4fba9_SiteId">
    <vt:lpwstr>d852d5cd-724c-4128-8812-ffa5db3f8507</vt:lpwstr>
  </property>
</Properties>
</file>