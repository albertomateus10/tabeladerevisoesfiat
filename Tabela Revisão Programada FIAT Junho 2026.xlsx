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alber\.gemini\antigravity\scratch\tabela de revisoes\"/>
    </mc:Choice>
  </mc:AlternateContent>
  <xr:revisionPtr revIDLastSave="0" documentId="13_ncr:1_{88BB5AB5-4C22-4F79-90A3-1F07640DF7BF}" xr6:coauthVersionLast="47" xr6:coauthVersionMax="47" xr10:uidLastSave="{00000000-0000-0000-0000-000000000000}"/>
  <bookViews>
    <workbookView xWindow="-103" yWindow="-103" windowWidth="24892" windowHeight="14914" tabRatio="959" firstSheet="18" activeTab="31" xr2:uid="{00000000-000D-0000-FFFF-FFFF00000000}"/>
  </bookViews>
  <sheets>
    <sheet name="CRONOS 1.0" sheetId="31" r:id="rId1"/>
    <sheet name="CRONOS 1.3" sheetId="2" r:id="rId2"/>
    <sheet name="CRONOS 1.8" sheetId="3" r:id="rId3"/>
    <sheet name="NOVO UNO 1.0 FIRE" sheetId="4" r:id="rId4"/>
    <sheet name="NOVO UNO 1.0 FIREFLY" sheetId="5" r:id="rId5"/>
    <sheet name="NOVO UNO 1.3 FIREFLY" sheetId="6" r:id="rId6"/>
    <sheet name="PALIO WEEKEND 1.4" sheetId="7" r:id="rId7"/>
    <sheet name="PALIO WEEKEND 1.8" sheetId="8" r:id="rId8"/>
    <sheet name="GRAND SIENA 1.0" sheetId="9" r:id="rId9"/>
    <sheet name="GRAND SIENA 1.4" sheetId="10" r:id="rId10"/>
    <sheet name="NOVA STRADA 1.0T" sheetId="33" r:id="rId11"/>
    <sheet name="NOVA STRADA 1.3" sheetId="11" r:id="rId12"/>
    <sheet name="NOVA STRADA 1.4" sheetId="12" r:id="rId13"/>
    <sheet name="ARGO 1.0" sheetId="13" r:id="rId14"/>
    <sheet name="ARGO 1.3" sheetId="14" r:id="rId15"/>
    <sheet name="ARGO 1.8" sheetId="15" r:id="rId16"/>
    <sheet name="FIORINO" sheetId="16" r:id="rId17"/>
    <sheet name="PULSE 1.0T" sheetId="17" r:id="rId18"/>
    <sheet name="PULSE 1.3" sheetId="18" r:id="rId19"/>
    <sheet name="PULSE ABARTH" sheetId="32" r:id="rId20"/>
    <sheet name="FASTBACK 1.0T" sheetId="29" r:id="rId21"/>
    <sheet name="FASTBACK 1.3T" sheetId="30" r:id="rId22"/>
    <sheet name="MOBI FIRE" sheetId="19" r:id="rId23"/>
    <sheet name="MOBI FIREFLY" sheetId="20" r:id="rId24"/>
    <sheet name="DOBLO" sheetId="21" r:id="rId25"/>
    <sheet name="TORO 1.8" sheetId="22" r:id="rId26"/>
    <sheet name="TORO 2.4" sheetId="23" r:id="rId27"/>
    <sheet name="TORO 1.3T" sheetId="24" r:id="rId28"/>
    <sheet name="TORO DIESEL" sheetId="25" r:id="rId29"/>
    <sheet name="DUCATO" sheetId="26" r:id="rId30"/>
    <sheet name="SCUDO" sheetId="28" r:id="rId31"/>
    <sheet name="TITANO" sheetId="34" r:id="rId32"/>
  </sheets>
  <externalReferences>
    <externalReference r:id="rId33"/>
  </externalReferences>
  <definedNames>
    <definedName name="_" localSheetId="0">#REF!</definedName>
    <definedName name="_" localSheetId="1">#REF!</definedName>
    <definedName name="_" localSheetId="11">#REF!</definedName>
    <definedName name="_" localSheetId="27">#REF!</definedName>
    <definedName name="_">#REF!</definedName>
    <definedName name="_______l" localSheetId="27">#REF!</definedName>
    <definedName name="_______l">#REF!</definedName>
    <definedName name="____l" localSheetId="27">#REF!</definedName>
    <definedName name="____l">#REF!</definedName>
    <definedName name="___KEY2" localSheetId="0">#REF!</definedName>
    <definedName name="___KEY2" localSheetId="1">#REF!</definedName>
    <definedName name="___KEY2" localSheetId="11">#REF!</definedName>
    <definedName name="___KEY2" localSheetId="27">#REF!</definedName>
    <definedName name="___KEY2">#REF!</definedName>
    <definedName name="___l" localSheetId="27">#REF!</definedName>
    <definedName name="___l">#REF!</definedName>
    <definedName name="__123Graph_A" localSheetId="0">#REF!</definedName>
    <definedName name="__123Graph_A" localSheetId="1">#REF!</definedName>
    <definedName name="__123Graph_A" localSheetId="11">#REF!</definedName>
    <definedName name="__123Graph_A" localSheetId="27">#REF!</definedName>
    <definedName name="__123Graph_A">#REF!</definedName>
    <definedName name="__123Graph_ABUDGET" localSheetId="0">#REF!</definedName>
    <definedName name="__123Graph_ABUDGET" localSheetId="1">#REF!</definedName>
    <definedName name="__123Graph_ABUDGET" localSheetId="11">#REF!</definedName>
    <definedName name="__123Graph_ABUDGET" localSheetId="27">#REF!</definedName>
    <definedName name="__123Graph_ABUDGET">#REF!</definedName>
    <definedName name="__123Graph_ACorrente" localSheetId="0">#REF!</definedName>
    <definedName name="__123Graph_ACorrente" localSheetId="1">#REF!</definedName>
    <definedName name="__123Graph_ACorrente" localSheetId="11">#REF!</definedName>
    <definedName name="__123Graph_ACorrente" localSheetId="27">#REF!</definedName>
    <definedName name="__123Graph_ACorrente">#REF!</definedName>
    <definedName name="__123Graph_ACURRENT" localSheetId="0">#REF!</definedName>
    <definedName name="__123Graph_ACURRENT" localSheetId="1">#REF!</definedName>
    <definedName name="__123Graph_ACURRENT" localSheetId="11">#REF!</definedName>
    <definedName name="__123Graph_ACURRENT" localSheetId="27">#REF!</definedName>
    <definedName name="__123Graph_ACURRENT">#REF!</definedName>
    <definedName name="__123Graph_APRIOR" localSheetId="0">#REF!</definedName>
    <definedName name="__123Graph_APRIOR" localSheetId="1">#REF!</definedName>
    <definedName name="__123Graph_APRIOR" localSheetId="11">#REF!</definedName>
    <definedName name="__123Graph_APRIOR" localSheetId="27">#REF!</definedName>
    <definedName name="__123Graph_APRIOR">#REF!</definedName>
    <definedName name="__123Graph_B" localSheetId="0">#REF!</definedName>
    <definedName name="__123Graph_B" localSheetId="1">#REF!</definedName>
    <definedName name="__123Graph_B" localSheetId="11">#REF!</definedName>
    <definedName name="__123Graph_B" localSheetId="27">#REF!</definedName>
    <definedName name="__123Graph_B">#REF!</definedName>
    <definedName name="__123Graph_BBUDGET" localSheetId="0">#REF!</definedName>
    <definedName name="__123Graph_BBUDGET" localSheetId="1">#REF!</definedName>
    <definedName name="__123Graph_BBUDGET" localSheetId="11">#REF!</definedName>
    <definedName name="__123Graph_BBUDGET" localSheetId="27">#REF!</definedName>
    <definedName name="__123Graph_BBUDGET">#REF!</definedName>
    <definedName name="__123Graph_BCorrente" localSheetId="0">#REF!</definedName>
    <definedName name="__123Graph_BCorrente" localSheetId="1">#REF!</definedName>
    <definedName name="__123Graph_BCorrente" localSheetId="11">#REF!</definedName>
    <definedName name="__123Graph_BCorrente" localSheetId="27">#REF!</definedName>
    <definedName name="__123Graph_BCorrente">#REF!</definedName>
    <definedName name="__123Graph_BCURRENT" localSheetId="0">#REF!</definedName>
    <definedName name="__123Graph_BCURRENT" localSheetId="1">#REF!</definedName>
    <definedName name="__123Graph_BCURRENT" localSheetId="11">#REF!</definedName>
    <definedName name="__123Graph_BCURRENT" localSheetId="27">#REF!</definedName>
    <definedName name="__123Graph_BCURRENT">#REF!</definedName>
    <definedName name="__123Graph_BPRIOR" localSheetId="0">#REF!</definedName>
    <definedName name="__123Graph_BPRIOR" localSheetId="1">#REF!</definedName>
    <definedName name="__123Graph_BPRIOR" localSheetId="11">#REF!</definedName>
    <definedName name="__123Graph_BPRIOR" localSheetId="27">#REF!</definedName>
    <definedName name="__123Graph_BPRIOR">#REF!</definedName>
    <definedName name="__123Graph_C" localSheetId="0">#REF!</definedName>
    <definedName name="__123Graph_C" localSheetId="1">#REF!</definedName>
    <definedName name="__123Graph_C" localSheetId="11">#REF!</definedName>
    <definedName name="__123Graph_C" localSheetId="27">#REF!</definedName>
    <definedName name="__123Graph_C">#REF!</definedName>
    <definedName name="__123Graph_CBUDGET" localSheetId="0">#REF!</definedName>
    <definedName name="__123Graph_CBUDGET" localSheetId="1">#REF!</definedName>
    <definedName name="__123Graph_CBUDGET" localSheetId="11">#REF!</definedName>
    <definedName name="__123Graph_CBUDGET" localSheetId="27">#REF!</definedName>
    <definedName name="__123Graph_CBUDGET">#REF!</definedName>
    <definedName name="__123Graph_CCorrente" localSheetId="0">#REF!</definedName>
    <definedName name="__123Graph_CCorrente" localSheetId="1">#REF!</definedName>
    <definedName name="__123Graph_CCorrente" localSheetId="11">#REF!</definedName>
    <definedName name="__123Graph_CCorrente" localSheetId="27">#REF!</definedName>
    <definedName name="__123Graph_CCorrente">#REF!</definedName>
    <definedName name="__123Graph_CCURRENT" localSheetId="0">#REF!</definedName>
    <definedName name="__123Graph_CCURRENT" localSheetId="1">#REF!</definedName>
    <definedName name="__123Graph_CCURRENT" localSheetId="11">#REF!</definedName>
    <definedName name="__123Graph_CCURRENT" localSheetId="27">#REF!</definedName>
    <definedName name="__123Graph_CCURRENT">#REF!</definedName>
    <definedName name="__123Graph_CPRIOR" localSheetId="0">#REF!</definedName>
    <definedName name="__123Graph_CPRIOR" localSheetId="1">#REF!</definedName>
    <definedName name="__123Graph_CPRIOR" localSheetId="11">#REF!</definedName>
    <definedName name="__123Graph_CPRIOR" localSheetId="27">#REF!</definedName>
    <definedName name="__123Graph_CPRIOR">#REF!</definedName>
    <definedName name="__123Graph_D" localSheetId="0">#REF!</definedName>
    <definedName name="__123Graph_D" localSheetId="1">#REF!</definedName>
    <definedName name="__123Graph_D" localSheetId="11">#REF!</definedName>
    <definedName name="__123Graph_D" localSheetId="27">#REF!</definedName>
    <definedName name="__123Graph_D">#REF!</definedName>
    <definedName name="__123Graph_DBUDGET" localSheetId="0">#REF!</definedName>
    <definedName name="__123Graph_DBUDGET" localSheetId="1">#REF!</definedName>
    <definedName name="__123Graph_DBUDGET" localSheetId="11">#REF!</definedName>
    <definedName name="__123Graph_DBUDGET" localSheetId="27">#REF!</definedName>
    <definedName name="__123Graph_DBUDGET">#REF!</definedName>
    <definedName name="__123Graph_DCorrente" localSheetId="0">#REF!</definedName>
    <definedName name="__123Graph_DCorrente" localSheetId="1">#REF!</definedName>
    <definedName name="__123Graph_DCorrente" localSheetId="11">#REF!</definedName>
    <definedName name="__123Graph_DCorrente" localSheetId="27">#REF!</definedName>
    <definedName name="__123Graph_DCorrente">#REF!</definedName>
    <definedName name="__123Graph_DCURRENT" localSheetId="0">#REF!</definedName>
    <definedName name="__123Graph_DCURRENT" localSheetId="1">#REF!</definedName>
    <definedName name="__123Graph_DCURRENT" localSheetId="11">#REF!</definedName>
    <definedName name="__123Graph_DCURRENT" localSheetId="27">#REF!</definedName>
    <definedName name="__123Graph_DCURRENT">#REF!</definedName>
    <definedName name="__123Graph_DPRIOR" localSheetId="0">#REF!</definedName>
    <definedName name="__123Graph_DPRIOR" localSheetId="1">#REF!</definedName>
    <definedName name="__123Graph_DPRIOR" localSheetId="11">#REF!</definedName>
    <definedName name="__123Graph_DPRIOR" localSheetId="27">#REF!</definedName>
    <definedName name="__123Graph_DPRIOR">#REF!</definedName>
    <definedName name="__123Graph_E" localSheetId="0">#REF!</definedName>
    <definedName name="__123Graph_E" localSheetId="1">#REF!</definedName>
    <definedName name="__123Graph_E" localSheetId="11">#REF!</definedName>
    <definedName name="__123Graph_E" localSheetId="27">#REF!</definedName>
    <definedName name="__123Graph_E">#REF!</definedName>
    <definedName name="__123Graph_ECorrente" localSheetId="0">#REF!</definedName>
    <definedName name="__123Graph_ECorrente" localSheetId="1">#REF!</definedName>
    <definedName name="__123Graph_ECorrente" localSheetId="11">#REF!</definedName>
    <definedName name="__123Graph_ECorrente" localSheetId="27">#REF!</definedName>
    <definedName name="__123Graph_ECorrente">#REF!</definedName>
    <definedName name="__123Graph_F" localSheetId="0">#REF!</definedName>
    <definedName name="__123Graph_F" localSheetId="1">#REF!</definedName>
    <definedName name="__123Graph_F" localSheetId="11">#REF!</definedName>
    <definedName name="__123Graph_F" localSheetId="27">#REF!</definedName>
    <definedName name="__123Graph_F">#REF!</definedName>
    <definedName name="__123Graph_FCorrente" localSheetId="0">#REF!</definedName>
    <definedName name="__123Graph_FCorrente" localSheetId="1">#REF!</definedName>
    <definedName name="__123Graph_FCorrente" localSheetId="11">#REF!</definedName>
    <definedName name="__123Graph_FCorrente" localSheetId="27">#REF!</definedName>
    <definedName name="__123Graph_FCorrente">#REF!</definedName>
    <definedName name="__123Graph_X" localSheetId="0">#REF!</definedName>
    <definedName name="__123Graph_X" localSheetId="1">#REF!</definedName>
    <definedName name="__123Graph_X" localSheetId="11">#REF!</definedName>
    <definedName name="__123Graph_X" localSheetId="27">#REF!</definedName>
    <definedName name="__123Graph_X">#REF!</definedName>
    <definedName name="__123Graph_XBUDGET" localSheetId="0">#REF!</definedName>
    <definedName name="__123Graph_XBUDGET" localSheetId="1">#REF!</definedName>
    <definedName name="__123Graph_XBUDGET" localSheetId="11">#REF!</definedName>
    <definedName name="__123Graph_XBUDGET" localSheetId="27">#REF!</definedName>
    <definedName name="__123Graph_XBUDGET">#REF!</definedName>
    <definedName name="__123Graph_XCURRENT" localSheetId="0">#REF!</definedName>
    <definedName name="__123Graph_XCURRENT" localSheetId="1">#REF!</definedName>
    <definedName name="__123Graph_XCURRENT" localSheetId="11">#REF!</definedName>
    <definedName name="__123Graph_XCURRENT" localSheetId="27">#REF!</definedName>
    <definedName name="__123Graph_XCURRENT">#REF!</definedName>
    <definedName name="__123Graph_XPRIOR" localSheetId="0">#REF!</definedName>
    <definedName name="__123Graph_XPRIOR" localSheetId="1">#REF!</definedName>
    <definedName name="__123Graph_XPRIOR" localSheetId="11">#REF!</definedName>
    <definedName name="__123Graph_XPRIOR" localSheetId="27">#REF!</definedName>
    <definedName name="__123Graph_XPRIOR">#REF!</definedName>
    <definedName name="_10_0__123Grap" localSheetId="0">#REF!</definedName>
    <definedName name="_10_0__123Grap" localSheetId="1">#REF!</definedName>
    <definedName name="_10_0__123Grap" localSheetId="11">#REF!</definedName>
    <definedName name="_10_0__123Grap" localSheetId="27">#REF!</definedName>
    <definedName name="_10_0__123Grap">#REF!</definedName>
    <definedName name="_10_0_0_F" localSheetId="0">#REF!</definedName>
    <definedName name="_10_0_0_F" localSheetId="1">#REF!</definedName>
    <definedName name="_10_0_0_F" localSheetId="11">#REF!</definedName>
    <definedName name="_10_0_0_F" localSheetId="27">#REF!</definedName>
    <definedName name="_10_0_0_F">#REF!</definedName>
    <definedName name="_12_0__123Grap" localSheetId="0">#REF!</definedName>
    <definedName name="_12_0__123Grap" localSheetId="1">#REF!</definedName>
    <definedName name="_12_0__123Grap" localSheetId="11">#REF!</definedName>
    <definedName name="_12_0__123Grap" localSheetId="27">#REF!</definedName>
    <definedName name="_12_0__123Grap">#REF!</definedName>
    <definedName name="_12_0_0_F" localSheetId="0">#REF!</definedName>
    <definedName name="_12_0_0_F" localSheetId="1">#REF!</definedName>
    <definedName name="_12_0_0_F" localSheetId="11">#REF!</definedName>
    <definedName name="_12_0_0_F" localSheetId="27">#REF!</definedName>
    <definedName name="_12_0_0_F">#REF!</definedName>
    <definedName name="_14_0_0_F" localSheetId="0">#REF!</definedName>
    <definedName name="_14_0_0_F" localSheetId="1">#REF!</definedName>
    <definedName name="_14_0_0_F" localSheetId="11">#REF!</definedName>
    <definedName name="_14_0_0_F" localSheetId="27">#REF!</definedName>
    <definedName name="_14_0_0_F">#REF!</definedName>
    <definedName name="_1F" localSheetId="0">#REF!</definedName>
    <definedName name="_1F" localSheetId="1">#REF!</definedName>
    <definedName name="_1F" localSheetId="11">#REF!</definedName>
    <definedName name="_1F" localSheetId="27">#REF!</definedName>
    <definedName name="_1F">#REF!</definedName>
    <definedName name="_2_0__123Grap" localSheetId="0">#REF!</definedName>
    <definedName name="_2_0__123Grap" localSheetId="1">#REF!</definedName>
    <definedName name="_2_0__123Grap" localSheetId="11">#REF!</definedName>
    <definedName name="_2_0__123Grap" localSheetId="27">#REF!</definedName>
    <definedName name="_2_0__123Grap">#REF!</definedName>
    <definedName name="_3_0__123Grap" localSheetId="0">#REF!</definedName>
    <definedName name="_3_0__123Grap" localSheetId="1">#REF!</definedName>
    <definedName name="_3_0__123Grap" localSheetId="11">#REF!</definedName>
    <definedName name="_3_0__123Grap" localSheetId="27">#REF!</definedName>
    <definedName name="_3_0__123Grap">#REF!</definedName>
    <definedName name="_4_0__123Grap" localSheetId="0">#REF!</definedName>
    <definedName name="_4_0__123Grap" localSheetId="1">#REF!</definedName>
    <definedName name="_4_0__123Grap" localSheetId="11">#REF!</definedName>
    <definedName name="_4_0__123Grap" localSheetId="27">#REF!</definedName>
    <definedName name="_4_0__123Grap">#REF!</definedName>
    <definedName name="_4_0_0_F" localSheetId="0">#REF!</definedName>
    <definedName name="_4_0_0_F" localSheetId="1">#REF!</definedName>
    <definedName name="_4_0_0_F" localSheetId="11">#REF!</definedName>
    <definedName name="_4_0_0_F" localSheetId="27">#REF!</definedName>
    <definedName name="_4_0_0_F">#REF!</definedName>
    <definedName name="_5_0__123Grap" localSheetId="0">#REF!</definedName>
    <definedName name="_5_0__123Grap" localSheetId="1">#REF!</definedName>
    <definedName name="_5_0__123Grap" localSheetId="11">#REF!</definedName>
    <definedName name="_5_0__123Grap" localSheetId="27">#REF!</definedName>
    <definedName name="_5_0__123Grap">#REF!</definedName>
    <definedName name="_5F" localSheetId="0">#REF!</definedName>
    <definedName name="_5F" localSheetId="1">#REF!</definedName>
    <definedName name="_5F" localSheetId="11">#REF!</definedName>
    <definedName name="_5F" localSheetId="27">#REF!</definedName>
    <definedName name="_5F">#REF!</definedName>
    <definedName name="_6_0__123Grap" localSheetId="0">#REF!</definedName>
    <definedName name="_6_0__123Grap" localSheetId="1">#REF!</definedName>
    <definedName name="_6_0__123Grap" localSheetId="11">#REF!</definedName>
    <definedName name="_6_0__123Grap" localSheetId="27">#REF!</definedName>
    <definedName name="_6_0__123Grap">#REF!</definedName>
    <definedName name="_6F" localSheetId="0">#REF!</definedName>
    <definedName name="_6F" localSheetId="1">#REF!</definedName>
    <definedName name="_6F" localSheetId="11">#REF!</definedName>
    <definedName name="_6F" localSheetId="27">#REF!</definedName>
    <definedName name="_6F">#REF!</definedName>
    <definedName name="_7_0__123Grap" localSheetId="0">#REF!</definedName>
    <definedName name="_7_0__123Grap" localSheetId="1">#REF!</definedName>
    <definedName name="_7_0__123Grap" localSheetId="11">#REF!</definedName>
    <definedName name="_7_0__123Grap" localSheetId="27">#REF!</definedName>
    <definedName name="_7_0__123Grap">#REF!</definedName>
    <definedName name="_8_0__123Grap" localSheetId="0">#REF!</definedName>
    <definedName name="_8_0__123Grap" localSheetId="1">#REF!</definedName>
    <definedName name="_8_0__123Grap" localSheetId="11">#REF!</definedName>
    <definedName name="_8_0__123Grap" localSheetId="27">#REF!</definedName>
    <definedName name="_8_0__123Grap">#REF!</definedName>
    <definedName name="_Dist_Values" localSheetId="0">#REF!</definedName>
    <definedName name="_Dist_Values" localSheetId="1">#REF!</definedName>
    <definedName name="_Dist_Values" localSheetId="11">#REF!</definedName>
    <definedName name="_Dist_Values" localSheetId="27">#REF!</definedName>
    <definedName name="_Dist_Values">#REF!</definedName>
    <definedName name="_Fill" localSheetId="0">#REF!</definedName>
    <definedName name="_Fill" localSheetId="1">#REF!</definedName>
    <definedName name="_Fill" localSheetId="11">#REF!</definedName>
    <definedName name="_Fill" localSheetId="27">#REF!</definedName>
    <definedName name="_Fill">#REF!</definedName>
    <definedName name="_Key1" localSheetId="0">#REF!</definedName>
    <definedName name="_Key1" localSheetId="1">#REF!</definedName>
    <definedName name="_Key1" localSheetId="11">#REF!</definedName>
    <definedName name="_Key1" localSheetId="27">#REF!</definedName>
    <definedName name="_Key1">#REF!</definedName>
    <definedName name="_key11" localSheetId="0">#REF!</definedName>
    <definedName name="_key11" localSheetId="1">#REF!</definedName>
    <definedName name="_key11" localSheetId="11">#REF!</definedName>
    <definedName name="_key11" localSheetId="27">#REF!</definedName>
    <definedName name="_key11">#REF!</definedName>
    <definedName name="_KEY2" localSheetId="0">#REF!</definedName>
    <definedName name="_KEY2" localSheetId="1">#REF!</definedName>
    <definedName name="_KEY2" localSheetId="11">#REF!</definedName>
    <definedName name="_KEY2" localSheetId="27">#REF!</definedName>
    <definedName name="_KEY2">#REF!</definedName>
    <definedName name="_Sort" localSheetId="0">#REF!</definedName>
    <definedName name="_Sort" localSheetId="1">#REF!</definedName>
    <definedName name="_Sort" localSheetId="11">#REF!</definedName>
    <definedName name="_Sort" localSheetId="27">#REF!</definedName>
    <definedName name="_Sort">#REF!</definedName>
    <definedName name="AAAAA" localSheetId="27">#REF!</definedName>
    <definedName name="AAAAA">#REF!</definedName>
    <definedName name="AAAAAAAAA" localSheetId="27">#REF!</definedName>
    <definedName name="AAAAAAAAA">#REF!</definedName>
    <definedName name="adsfa" localSheetId="27">#REF!</definedName>
    <definedName name="adsfa">#REF!</definedName>
    <definedName name="AGNES" localSheetId="27">#REF!</definedName>
    <definedName name="AGNES">#REF!</definedName>
    <definedName name="ASDF" localSheetId="27">#REF!</definedName>
    <definedName name="ASDF">#REF!</definedName>
    <definedName name="asfas" localSheetId="27">#REF!</definedName>
    <definedName name="asfas">#REF!</definedName>
    <definedName name="asfasf" localSheetId="27">#REF!</definedName>
    <definedName name="asfasf">#REF!</definedName>
    <definedName name="bbbb" localSheetId="27">#REF!</definedName>
    <definedName name="bbbb">#REF!</definedName>
    <definedName name="bbbbbb" localSheetId="27">#REF!</definedName>
    <definedName name="bbbbbb">#REF!</definedName>
    <definedName name="cccc" localSheetId="27">#REF!</definedName>
    <definedName name="cccc">#REF!</definedName>
    <definedName name="ccccc" localSheetId="27">#REF!</definedName>
    <definedName name="ccccc">#REF!</definedName>
    <definedName name="CS" localSheetId="0">#REF!</definedName>
    <definedName name="CS" localSheetId="1">#REF!</definedName>
    <definedName name="CS" localSheetId="11">#REF!</definedName>
    <definedName name="CS" localSheetId="27">#REF!</definedName>
    <definedName name="CS">#REF!</definedName>
    <definedName name="cx" localSheetId="27">#REF!</definedName>
    <definedName name="cx">#REF!</definedName>
    <definedName name="DCOS07" localSheetId="27">#REF!</definedName>
    <definedName name="DCOS07">#REF!</definedName>
    <definedName name="dcos071" localSheetId="27">#REF!</definedName>
    <definedName name="dcos071">#REF!</definedName>
    <definedName name="ddddddddddddddd" localSheetId="27">#REF!</definedName>
    <definedName name="ddddddddddddddd">#REF!</definedName>
    <definedName name="dfsgsdfg" localSheetId="27">#REF!</definedName>
    <definedName name="dfsgsdfg">#REF!</definedName>
    <definedName name="ed" localSheetId="27">#REF!</definedName>
    <definedName name="ed">#REF!</definedName>
    <definedName name="ELVIS" localSheetId="27">#REF!</definedName>
    <definedName name="ELVIS">#REF!</definedName>
    <definedName name="ELVIS1" localSheetId="27">#REF!</definedName>
    <definedName name="ELVIS1">#REF!</definedName>
    <definedName name="ew" localSheetId="27">#REF!</definedName>
    <definedName name="ew">#REF!</definedName>
    <definedName name="fd" localSheetId="27">#REF!</definedName>
    <definedName name="fd">#REF!</definedName>
    <definedName name="fsd" localSheetId="27">#REF!</definedName>
    <definedName name="fsd">#REF!</definedName>
    <definedName name="fsdgsdfg" localSheetId="27">#REF!</definedName>
    <definedName name="fsdgsdfg">#REF!</definedName>
    <definedName name="fsggdfg" localSheetId="27">#REF!</definedName>
    <definedName name="fsggdfg">#REF!</definedName>
    <definedName name="GA" localSheetId="27">#REF!</definedName>
    <definedName name="GA">#REF!</definedName>
    <definedName name="gas" localSheetId="27">#REF!</definedName>
    <definedName name="gas">#REF!</definedName>
    <definedName name="gdsfgsd" localSheetId="27">#REF!</definedName>
    <definedName name="gdsfgsd">#REF!</definedName>
    <definedName name="gf" localSheetId="27">#REF!</definedName>
    <definedName name="gf">#REF!</definedName>
    <definedName name="gfsd" localSheetId="27">#REF!</definedName>
    <definedName name="gfsd">#REF!</definedName>
    <definedName name="gfsdgsadf" localSheetId="27">#REF!</definedName>
    <definedName name="gfsdgsadf">#REF!</definedName>
    <definedName name="GGGGG" localSheetId="27">#REF!</definedName>
    <definedName name="GGGGG">#REF!</definedName>
    <definedName name="ghd" localSheetId="27">#REF!</definedName>
    <definedName name="ghd">#REF!</definedName>
    <definedName name="gsdfgsd" localSheetId="27">#REF!</definedName>
    <definedName name="gsdfgsd">#REF!</definedName>
    <definedName name="gsdfgsfd" localSheetId="27">#REF!</definedName>
    <definedName name="gsdfgsfd">#REF!</definedName>
    <definedName name="gsertgae" localSheetId="27">#REF!</definedName>
    <definedName name="gsertgae">#REF!</definedName>
    <definedName name="gt" localSheetId="27">#REF!</definedName>
    <definedName name="gt">#REF!</definedName>
    <definedName name="gzdfgzd" localSheetId="27">#REF!</definedName>
    <definedName name="gzdfgzd">#REF!</definedName>
    <definedName name="hg" localSheetId="27">#REF!</definedName>
    <definedName name="hg">#REF!</definedName>
    <definedName name="hgdf" localSheetId="27">#REF!</definedName>
    <definedName name="hgdf">#REF!</definedName>
    <definedName name="hgf" localSheetId="27">#REF!</definedName>
    <definedName name="hgf">#REF!</definedName>
    <definedName name="hgfs" localSheetId="27">#REF!</definedName>
    <definedName name="hgfs">#REF!</definedName>
    <definedName name="hgsfs" localSheetId="27">#REF!</definedName>
    <definedName name="hgsfs">#REF!</definedName>
    <definedName name="hola1" localSheetId="27">#REF!</definedName>
    <definedName name="hola1">#REF!</definedName>
    <definedName name="hs" localSheetId="27">#REF!</definedName>
    <definedName name="hs">#REF!</definedName>
    <definedName name="hxgfn" localSheetId="27">#REF!</definedName>
    <definedName name="hxgfn">#REF!</definedName>
    <definedName name="hy" localSheetId="27">#REF!</definedName>
    <definedName name="hy">#REF!</definedName>
    <definedName name="INODCS" localSheetId="27">#REF!</definedName>
    <definedName name="INODCS">#REF!</definedName>
    <definedName name="J" localSheetId="0">#REF!</definedName>
    <definedName name="J" localSheetId="1">#REF!</definedName>
    <definedName name="J" localSheetId="11">#REF!</definedName>
    <definedName name="J" localSheetId="27">#REF!</definedName>
    <definedName name="J">#REF!</definedName>
    <definedName name="KK" localSheetId="0">#REF!</definedName>
    <definedName name="KK" localSheetId="1">#REF!</definedName>
    <definedName name="KK" localSheetId="11">#REF!</definedName>
    <definedName name="KK" localSheetId="27">#REF!</definedName>
    <definedName name="KK">#REF!</definedName>
    <definedName name="lbl_message" localSheetId="13">#REF!</definedName>
    <definedName name="lbl_message" localSheetId="0">#REF!</definedName>
    <definedName name="lbl_message" localSheetId="1">#REF!</definedName>
    <definedName name="lbl_message" localSheetId="29">#REF!</definedName>
    <definedName name="lbl_message" localSheetId="11">#REF!</definedName>
    <definedName name="lbl_message" localSheetId="30">#REF!</definedName>
    <definedName name="lbl_message" localSheetId="31">#REF!</definedName>
    <definedName name="lbl_message" localSheetId="27">#REF!</definedName>
    <definedName name="lbl_message">#REF!</definedName>
    <definedName name="pippo" localSheetId="0">#REF!</definedName>
    <definedName name="pippo" localSheetId="1">#REF!</definedName>
    <definedName name="pippo" localSheetId="11">#REF!</definedName>
    <definedName name="pippo" localSheetId="27">#REF!</definedName>
    <definedName name="pippo">#REF!</definedName>
    <definedName name="pluto" localSheetId="0">#REF!</definedName>
    <definedName name="pluto" localSheetId="1">#REF!</definedName>
    <definedName name="pluto" localSheetId="11">#REF!</definedName>
    <definedName name="pluto" localSheetId="27">#REF!</definedName>
    <definedName name="pluto">#REF!</definedName>
    <definedName name="sales" localSheetId="0">#REF!</definedName>
    <definedName name="sales" localSheetId="1">#REF!</definedName>
    <definedName name="sales" localSheetId="11">#REF!</definedName>
    <definedName name="sales" localSheetId="27">#REF!</definedName>
    <definedName name="sales">#REF!</definedName>
    <definedName name="SORT" localSheetId="0">#REF!</definedName>
    <definedName name="SORT" localSheetId="1">#REF!</definedName>
    <definedName name="SORT" localSheetId="11">#REF!</definedName>
    <definedName name="SORT" localSheetId="27">#REF!</definedName>
    <definedName name="SORT">#REF!</definedName>
    <definedName name="sort3" localSheetId="0">#REF!</definedName>
    <definedName name="sort3" localSheetId="1">#REF!</definedName>
    <definedName name="sort3" localSheetId="11">#REF!</definedName>
    <definedName name="sort3" localSheetId="27">#REF!</definedName>
    <definedName name="sort3">#REF!</definedName>
    <definedName name="sssssssssssss" localSheetId="0">#REF!</definedName>
    <definedName name="sssssssssssss" localSheetId="1">#REF!</definedName>
    <definedName name="sssssssssssss" localSheetId="11">#REF!</definedName>
    <definedName name="sssssssssssss" localSheetId="27">#REF!</definedName>
    <definedName name="sssssssssssss">#REF!</definedName>
    <definedName name="test" localSheetId="0">#REF!</definedName>
    <definedName name="test" localSheetId="1">#REF!</definedName>
    <definedName name="test" localSheetId="11">#REF!</definedName>
    <definedName name="test" localSheetId="27">#REF!</definedName>
    <definedName name="test">#REF!</definedName>
    <definedName name="TXTSH" localSheetId="13">#REF!</definedName>
    <definedName name="TXTSH" localSheetId="0">#REF!</definedName>
    <definedName name="TXTSH" localSheetId="1">#REF!</definedName>
    <definedName name="TXTSH" localSheetId="29">#REF!</definedName>
    <definedName name="TXTSH" localSheetId="11">#REF!</definedName>
    <definedName name="TXTSH" localSheetId="30">#REF!</definedName>
    <definedName name="TXTSH" localSheetId="31">#REF!</definedName>
    <definedName name="TXTSH" localSheetId="27">#REF!</definedName>
    <definedName name="TXTSH">#REF!</definedName>
    <definedName name="TXTUS" localSheetId="13">#REF!</definedName>
    <definedName name="TXTUS" localSheetId="0">#REF!</definedName>
    <definedName name="TXTUS" localSheetId="1">#REF!</definedName>
    <definedName name="TXTUS" localSheetId="29">#REF!</definedName>
    <definedName name="TXTUS" localSheetId="11">#REF!</definedName>
    <definedName name="TXTUS" localSheetId="30">#REF!</definedName>
    <definedName name="TXTUS" localSheetId="31">#REF!</definedName>
    <definedName name="TXTUS" localSheetId="27">#REF!</definedName>
    <definedName name="TXTUS">#REF!</definedName>
    <definedName name="variazione" localSheetId="0">#REF!</definedName>
    <definedName name="variazione" localSheetId="1">#REF!</definedName>
    <definedName name="variazione" localSheetId="11">#REF!</definedName>
    <definedName name="variazione" localSheetId="27">#REF!</definedName>
    <definedName name="variazion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1" l="1"/>
  <c r="D6" i="31"/>
  <c r="D5" i="31"/>
  <c r="D6" i="2"/>
  <c r="D5" i="2"/>
  <c r="D8" i="2"/>
  <c r="D9" i="2"/>
  <c r="D12" i="13" l="1"/>
  <c r="D26" i="20" l="1"/>
  <c r="AH26" i="20" s="1"/>
  <c r="D25" i="20"/>
  <c r="AF25" i="20" s="1"/>
  <c r="D24" i="20"/>
  <c r="AH24" i="20" s="1"/>
  <c r="D23" i="20"/>
  <c r="AF23" i="20" s="1"/>
  <c r="D22" i="20"/>
  <c r="AG22" i="20" s="1"/>
  <c r="D21" i="20"/>
  <c r="AE21" i="20" s="1"/>
  <c r="D20" i="20"/>
  <c r="AG20" i="20" s="1"/>
  <c r="D19" i="20"/>
  <c r="AE19" i="20" s="1"/>
  <c r="D18" i="20"/>
  <c r="AG18" i="20" s="1"/>
  <c r="D17" i="20"/>
  <c r="AE17" i="20" s="1"/>
  <c r="AD16" i="20"/>
  <c r="AE16" i="20" s="1"/>
  <c r="AF16" i="20" s="1"/>
  <c r="AG16" i="20" s="1"/>
  <c r="AH16" i="20" s="1"/>
  <c r="D89" i="34"/>
  <c r="AF89" i="34" s="1"/>
  <c r="D88" i="34"/>
  <c r="AH88" i="34" s="1"/>
  <c r="D86" i="34"/>
  <c r="AF86" i="34" s="1"/>
  <c r="D85" i="34"/>
  <c r="AH85" i="34" s="1"/>
  <c r="D73" i="34"/>
  <c r="AF73" i="34" s="1"/>
  <c r="D72" i="34"/>
  <c r="AH72" i="34" s="1"/>
  <c r="D56" i="34"/>
  <c r="AF56" i="34" s="1"/>
  <c r="D55" i="34"/>
  <c r="AH55" i="34" s="1"/>
  <c r="D42" i="34"/>
  <c r="AF42" i="34" s="1"/>
  <c r="D41" i="34"/>
  <c r="AH41" i="34" s="1"/>
  <c r="D68" i="34"/>
  <c r="AF68" i="34" s="1"/>
  <c r="D69" i="34"/>
  <c r="AF69" i="34" s="1"/>
  <c r="D93" i="34"/>
  <c r="AF93" i="34" s="1"/>
  <c r="D92" i="34"/>
  <c r="AF92" i="34" s="1"/>
  <c r="D91" i="34"/>
  <c r="AF91" i="34" s="1"/>
  <c r="D90" i="34"/>
  <c r="AF90" i="34" s="1"/>
  <c r="D87" i="34"/>
  <c r="AF87" i="34" s="1"/>
  <c r="D84" i="34"/>
  <c r="AE84" i="34" s="1"/>
  <c r="D83" i="34"/>
  <c r="D82" i="34"/>
  <c r="X82" i="34" s="1"/>
  <c r="AD81" i="34"/>
  <c r="AE81" i="34" s="1"/>
  <c r="AF81" i="34" s="1"/>
  <c r="AG81" i="34" s="1"/>
  <c r="AH81" i="34" s="1"/>
  <c r="D77" i="34"/>
  <c r="D76" i="34"/>
  <c r="AE76" i="34" s="1"/>
  <c r="D75" i="34"/>
  <c r="D74" i="34"/>
  <c r="AE74" i="34" s="1"/>
  <c r="D71" i="34"/>
  <c r="Y71" i="34" s="1"/>
  <c r="D70" i="34"/>
  <c r="AE70" i="34" s="1"/>
  <c r="D67" i="34"/>
  <c r="AE67" i="34" s="1"/>
  <c r="D66" i="34"/>
  <c r="AG66" i="34" s="1"/>
  <c r="D65" i="34"/>
  <c r="AE65" i="34" s="1"/>
  <c r="AD64" i="34"/>
  <c r="AE64" i="34" s="1"/>
  <c r="AF64" i="34" s="1"/>
  <c r="AG64" i="34" s="1"/>
  <c r="AH64" i="34" s="1"/>
  <c r="D39" i="2"/>
  <c r="AF39" i="2" s="1"/>
  <c r="D38" i="2"/>
  <c r="AH38" i="2" s="1"/>
  <c r="D37" i="2"/>
  <c r="AF37" i="2" s="1"/>
  <c r="D36" i="2"/>
  <c r="AF36" i="2" s="1"/>
  <c r="D35" i="2"/>
  <c r="AH35" i="2" s="1"/>
  <c r="D34" i="2"/>
  <c r="AF34" i="2" s="1"/>
  <c r="D33" i="2"/>
  <c r="D32" i="2"/>
  <c r="AF32" i="2" s="1"/>
  <c r="D31" i="2"/>
  <c r="AE31" i="2" s="1"/>
  <c r="AE30" i="2"/>
  <c r="AF30" i="2" s="1"/>
  <c r="AG30" i="2" s="1"/>
  <c r="AH30" i="2" s="1"/>
  <c r="AD30" i="2"/>
  <c r="D26" i="2"/>
  <c r="AF26" i="2" s="1"/>
  <c r="D25" i="2"/>
  <c r="AH25" i="2" s="1"/>
  <c r="D24" i="2"/>
  <c r="AF24" i="2" s="1"/>
  <c r="D23" i="2"/>
  <c r="AH23" i="2" s="1"/>
  <c r="D22" i="2"/>
  <c r="AF22" i="2" s="1"/>
  <c r="D21" i="2"/>
  <c r="AH21" i="2" s="1"/>
  <c r="D20" i="2"/>
  <c r="AF20" i="2" s="1"/>
  <c r="D19" i="2"/>
  <c r="AH19" i="2" s="1"/>
  <c r="D18" i="2"/>
  <c r="AF18" i="2" s="1"/>
  <c r="D17" i="2"/>
  <c r="AH17" i="2" s="1"/>
  <c r="AE16" i="2"/>
  <c r="AF16" i="2" s="1"/>
  <c r="AG16" i="2" s="1"/>
  <c r="AH16" i="2" s="1"/>
  <c r="AD16" i="2"/>
  <c r="V20" i="20" l="1"/>
  <c r="W26" i="20"/>
  <c r="AA26" i="20"/>
  <c r="AE26" i="20"/>
  <c r="T26" i="20"/>
  <c r="X26" i="20"/>
  <c r="AB26" i="20"/>
  <c r="AF26" i="20"/>
  <c r="U26" i="20"/>
  <c r="Y26" i="20"/>
  <c r="AC26" i="20"/>
  <c r="AG26" i="20"/>
  <c r="V26" i="20"/>
  <c r="Z26" i="20"/>
  <c r="AD26" i="20"/>
  <c r="AH18" i="20"/>
  <c r="V19" i="20"/>
  <c r="AB19" i="20"/>
  <c r="AG19" i="20"/>
  <c r="Z20" i="20"/>
  <c r="T21" i="20"/>
  <c r="Y21" i="20"/>
  <c r="AD21" i="20"/>
  <c r="AH22" i="20"/>
  <c r="Y23" i="20"/>
  <c r="AG23" i="20"/>
  <c r="U25" i="20"/>
  <c r="AC25" i="20"/>
  <c r="X19" i="20"/>
  <c r="AC19" i="20"/>
  <c r="AH19" i="20"/>
  <c r="AD20" i="20"/>
  <c r="U21" i="20"/>
  <c r="Z21" i="20"/>
  <c r="AF21" i="20"/>
  <c r="V22" i="20"/>
  <c r="Z23" i="20"/>
  <c r="AH23" i="20"/>
  <c r="V25" i="20"/>
  <c r="AD25" i="20"/>
  <c r="X17" i="20"/>
  <c r="AC17" i="20"/>
  <c r="AH17" i="20"/>
  <c r="AD18" i="20"/>
  <c r="U19" i="20"/>
  <c r="Z19" i="20"/>
  <c r="AF19" i="20"/>
  <c r="T17" i="20"/>
  <c r="Y17" i="20"/>
  <c r="AD17" i="20"/>
  <c r="U17" i="20"/>
  <c r="Z17" i="20"/>
  <c r="AF17" i="20"/>
  <c r="V18" i="20"/>
  <c r="V17" i="20"/>
  <c r="AB17" i="20"/>
  <c r="AG17" i="20"/>
  <c r="Z18" i="20"/>
  <c r="T19" i="20"/>
  <c r="Y19" i="20"/>
  <c r="AD19" i="20"/>
  <c r="AH20" i="20"/>
  <c r="V21" i="20"/>
  <c r="AB21" i="20"/>
  <c r="AG21" i="20"/>
  <c r="Z22" i="20"/>
  <c r="U23" i="20"/>
  <c r="AC23" i="20"/>
  <c r="Y25" i="20"/>
  <c r="AG25" i="20"/>
  <c r="X21" i="20"/>
  <c r="AC21" i="20"/>
  <c r="AH21" i="20"/>
  <c r="AD22" i="20"/>
  <c r="V23" i="20"/>
  <c r="AD23" i="20"/>
  <c r="Z25" i="20"/>
  <c r="AH25" i="20"/>
  <c r="AA22" i="20"/>
  <c r="AE22" i="20"/>
  <c r="X24" i="20"/>
  <c r="T18" i="20"/>
  <c r="X18" i="20"/>
  <c r="AB18" i="20"/>
  <c r="AF18" i="20"/>
  <c r="T20" i="20"/>
  <c r="X20" i="20"/>
  <c r="AB20" i="20"/>
  <c r="AF20" i="20"/>
  <c r="T22" i="20"/>
  <c r="X22" i="20"/>
  <c r="AB22" i="20"/>
  <c r="AF22" i="20"/>
  <c r="W25" i="20"/>
  <c r="AA25" i="20"/>
  <c r="AE25" i="20"/>
  <c r="W24" i="20"/>
  <c r="AA24" i="20"/>
  <c r="AE24" i="20"/>
  <c r="W18" i="20"/>
  <c r="AA18" i="20"/>
  <c r="AE18" i="20"/>
  <c r="W20" i="20"/>
  <c r="AA20" i="20"/>
  <c r="AE20" i="20"/>
  <c r="W22" i="20"/>
  <c r="T24" i="20"/>
  <c r="AB24" i="20"/>
  <c r="AF24" i="20"/>
  <c r="W23" i="20"/>
  <c r="AA23" i="20"/>
  <c r="AE23" i="20"/>
  <c r="U24" i="20"/>
  <c r="Y24" i="20"/>
  <c r="AC24" i="20"/>
  <c r="AG24" i="20"/>
  <c r="W17" i="20"/>
  <c r="AA17" i="20"/>
  <c r="U18" i="20"/>
  <c r="Y18" i="20"/>
  <c r="AC18" i="20"/>
  <c r="W19" i="20"/>
  <c r="AA19" i="20"/>
  <c r="U20" i="20"/>
  <c r="Y20" i="20"/>
  <c r="AC20" i="20"/>
  <c r="W21" i="20"/>
  <c r="AA21" i="20"/>
  <c r="U22" i="20"/>
  <c r="Y22" i="20"/>
  <c r="AC22" i="20"/>
  <c r="T23" i="20"/>
  <c r="X23" i="20"/>
  <c r="AB23" i="20"/>
  <c r="V24" i="20"/>
  <c r="Z24" i="20"/>
  <c r="AD24" i="20"/>
  <c r="T25" i="20"/>
  <c r="X25" i="20"/>
  <c r="AB25" i="20"/>
  <c r="W70" i="34"/>
  <c r="U89" i="34"/>
  <c r="AC89" i="34"/>
  <c r="V89" i="34"/>
  <c r="AD89" i="34"/>
  <c r="Y89" i="34"/>
  <c r="AG89" i="34"/>
  <c r="Z89" i="34"/>
  <c r="AH89" i="34"/>
  <c r="W88" i="34"/>
  <c r="AA88" i="34"/>
  <c r="AE88" i="34"/>
  <c r="T88" i="34"/>
  <c r="X88" i="34"/>
  <c r="AB88" i="34"/>
  <c r="AF88" i="34"/>
  <c r="U88" i="34"/>
  <c r="Y88" i="34"/>
  <c r="AC88" i="34"/>
  <c r="AG88" i="34"/>
  <c r="W89" i="34"/>
  <c r="AA89" i="34"/>
  <c r="AE89" i="34"/>
  <c r="V88" i="34"/>
  <c r="Z88" i="34"/>
  <c r="AD88" i="34"/>
  <c r="T89" i="34"/>
  <c r="X89" i="34"/>
  <c r="AB89" i="34"/>
  <c r="W85" i="34"/>
  <c r="AA85" i="34"/>
  <c r="AE85" i="34"/>
  <c r="U86" i="34"/>
  <c r="Y86" i="34"/>
  <c r="AC86" i="34"/>
  <c r="AG86" i="34"/>
  <c r="T85" i="34"/>
  <c r="X85" i="34"/>
  <c r="AB85" i="34"/>
  <c r="AF85" i="34"/>
  <c r="V86" i="34"/>
  <c r="Z86" i="34"/>
  <c r="AD86" i="34"/>
  <c r="AH86" i="34"/>
  <c r="W86" i="34"/>
  <c r="AA86" i="34"/>
  <c r="AE86" i="34"/>
  <c r="U85" i="34"/>
  <c r="Y85" i="34"/>
  <c r="AC85" i="34"/>
  <c r="AG85" i="34"/>
  <c r="V85" i="34"/>
  <c r="Z85" i="34"/>
  <c r="AD85" i="34"/>
  <c r="T86" i="34"/>
  <c r="X86" i="34"/>
  <c r="AB86" i="34"/>
  <c r="W73" i="34"/>
  <c r="AA73" i="34"/>
  <c r="AE73" i="34"/>
  <c r="W72" i="34"/>
  <c r="AA72" i="34"/>
  <c r="AE72" i="34"/>
  <c r="U73" i="34"/>
  <c r="Y73" i="34"/>
  <c r="AC73" i="34"/>
  <c r="AG73" i="34"/>
  <c r="T72" i="34"/>
  <c r="X72" i="34"/>
  <c r="AB72" i="34"/>
  <c r="AF72" i="34"/>
  <c r="V73" i="34"/>
  <c r="Z73" i="34"/>
  <c r="AD73" i="34"/>
  <c r="AH73" i="34"/>
  <c r="U72" i="34"/>
  <c r="Y72" i="34"/>
  <c r="AC72" i="34"/>
  <c r="AG72" i="34"/>
  <c r="V72" i="34"/>
  <c r="Z72" i="34"/>
  <c r="AD72" i="34"/>
  <c r="T73" i="34"/>
  <c r="X73" i="34"/>
  <c r="AB73" i="34"/>
  <c r="W55" i="34"/>
  <c r="AA55" i="34"/>
  <c r="AE55" i="34"/>
  <c r="U56" i="34"/>
  <c r="Y56" i="34"/>
  <c r="AC56" i="34"/>
  <c r="AG56" i="34"/>
  <c r="T55" i="34"/>
  <c r="X55" i="34"/>
  <c r="AB55" i="34"/>
  <c r="AF55" i="34"/>
  <c r="V56" i="34"/>
  <c r="Z56" i="34"/>
  <c r="AD56" i="34"/>
  <c r="AH56" i="34"/>
  <c r="W56" i="34"/>
  <c r="AA56" i="34"/>
  <c r="AE56" i="34"/>
  <c r="U55" i="34"/>
  <c r="Y55" i="34"/>
  <c r="AC55" i="34"/>
  <c r="AG55" i="34"/>
  <c r="V55" i="34"/>
  <c r="Z55" i="34"/>
  <c r="AD55" i="34"/>
  <c r="T56" i="34"/>
  <c r="X56" i="34"/>
  <c r="AB56" i="34"/>
  <c r="AG69" i="34"/>
  <c r="W42" i="34"/>
  <c r="AA42" i="34"/>
  <c r="AE42" i="34"/>
  <c r="W41" i="34"/>
  <c r="AA41" i="34"/>
  <c r="AE41" i="34"/>
  <c r="U42" i="34"/>
  <c r="Y42" i="34"/>
  <c r="AC42" i="34"/>
  <c r="AG42" i="34"/>
  <c r="T41" i="34"/>
  <c r="X41" i="34"/>
  <c r="AB41" i="34"/>
  <c r="AF41" i="34"/>
  <c r="V42" i="34"/>
  <c r="Z42" i="34"/>
  <c r="AD42" i="34"/>
  <c r="AH42" i="34"/>
  <c r="U41" i="34"/>
  <c r="Y41" i="34"/>
  <c r="AC41" i="34"/>
  <c r="AG41" i="34"/>
  <c r="V41" i="34"/>
  <c r="Z41" i="34"/>
  <c r="AD41" i="34"/>
  <c r="T42" i="34"/>
  <c r="X42" i="34"/>
  <c r="AB42" i="34"/>
  <c r="U91" i="34"/>
  <c r="AG68" i="34"/>
  <c r="W90" i="34"/>
  <c r="U68" i="34"/>
  <c r="U69" i="34"/>
  <c r="T76" i="34"/>
  <c r="U93" i="34"/>
  <c r="Y68" i="34"/>
  <c r="Y69" i="34"/>
  <c r="AD76" i="34"/>
  <c r="AC68" i="34"/>
  <c r="AC69" i="34"/>
  <c r="Z67" i="34"/>
  <c r="V68" i="34"/>
  <c r="Z68" i="34"/>
  <c r="AD68" i="34"/>
  <c r="AH68" i="34"/>
  <c r="V69" i="34"/>
  <c r="Z69" i="34"/>
  <c r="AD69" i="34"/>
  <c r="AH69" i="34"/>
  <c r="W68" i="34"/>
  <c r="AA68" i="34"/>
  <c r="AE68" i="34"/>
  <c r="W69" i="34"/>
  <c r="AA69" i="34"/>
  <c r="AE69" i="34"/>
  <c r="T68" i="34"/>
  <c r="X68" i="34"/>
  <c r="AB68" i="34"/>
  <c r="T69" i="34"/>
  <c r="X69" i="34"/>
  <c r="AB69" i="34"/>
  <c r="V66" i="34"/>
  <c r="T67" i="34"/>
  <c r="AF67" i="34"/>
  <c r="U70" i="34"/>
  <c r="AF70" i="34"/>
  <c r="AB74" i="34"/>
  <c r="Z66" i="34"/>
  <c r="U67" i="34"/>
  <c r="Y70" i="34"/>
  <c r="AG74" i="34"/>
  <c r="U76" i="34"/>
  <c r="AF76" i="34"/>
  <c r="X90" i="34"/>
  <c r="AC91" i="34"/>
  <c r="V93" i="34"/>
  <c r="Y76" i="34"/>
  <c r="AE90" i="34"/>
  <c r="AC93" i="34"/>
  <c r="AD66" i="34"/>
  <c r="Z70" i="34"/>
  <c r="AA67" i="34"/>
  <c r="T70" i="34"/>
  <c r="AD70" i="34"/>
  <c r="V74" i="34"/>
  <c r="Z76" i="34"/>
  <c r="AD93" i="34"/>
  <c r="AB82" i="34"/>
  <c r="Y87" i="34"/>
  <c r="AG87" i="34"/>
  <c r="AC65" i="34"/>
  <c r="X74" i="34"/>
  <c r="AC74" i="34"/>
  <c r="AH74" i="34"/>
  <c r="U82" i="34"/>
  <c r="AF82" i="34"/>
  <c r="Z87" i="34"/>
  <c r="AH87" i="34"/>
  <c r="V91" i="34"/>
  <c r="AD91" i="34"/>
  <c r="X92" i="34"/>
  <c r="V65" i="34"/>
  <c r="AB65" i="34"/>
  <c r="AG65" i="34"/>
  <c r="T65" i="34"/>
  <c r="Y65" i="34"/>
  <c r="AD65" i="34"/>
  <c r="AH66" i="34"/>
  <c r="V67" i="34"/>
  <c r="AD67" i="34"/>
  <c r="V70" i="34"/>
  <c r="AB70" i="34"/>
  <c r="AG70" i="34"/>
  <c r="T74" i="34"/>
  <c r="Y74" i="34"/>
  <c r="AD74" i="34"/>
  <c r="V76" i="34"/>
  <c r="AB76" i="34"/>
  <c r="AG76" i="34"/>
  <c r="W82" i="34"/>
  <c r="AG82" i="34"/>
  <c r="U87" i="34"/>
  <c r="AC87" i="34"/>
  <c r="Y91" i="34"/>
  <c r="AG91" i="34"/>
  <c r="Y93" i="34"/>
  <c r="AG93" i="34"/>
  <c r="X65" i="34"/>
  <c r="AH65" i="34"/>
  <c r="U65" i="34"/>
  <c r="Z65" i="34"/>
  <c r="AF65" i="34"/>
  <c r="X67" i="34"/>
  <c r="X70" i="34"/>
  <c r="AC70" i="34"/>
  <c r="AH70" i="34"/>
  <c r="U74" i="34"/>
  <c r="Z74" i="34"/>
  <c r="AF74" i="34"/>
  <c r="X76" i="34"/>
  <c r="AC76" i="34"/>
  <c r="AH76" i="34"/>
  <c r="AA82" i="34"/>
  <c r="V87" i="34"/>
  <c r="AD87" i="34"/>
  <c r="Z91" i="34"/>
  <c r="AH91" i="34"/>
  <c r="Z93" i="34"/>
  <c r="AH93" i="34"/>
  <c r="AG71" i="34"/>
  <c r="AC71" i="34"/>
  <c r="U71" i="34"/>
  <c r="X71" i="34"/>
  <c r="AD71" i="34"/>
  <c r="AG75" i="34"/>
  <c r="AC75" i="34"/>
  <c r="Y75" i="34"/>
  <c r="U75" i="34"/>
  <c r="X75" i="34"/>
  <c r="AD75" i="34"/>
  <c r="AG77" i="34"/>
  <c r="AC77" i="34"/>
  <c r="Y77" i="34"/>
  <c r="U77" i="34"/>
  <c r="X77" i="34"/>
  <c r="AD77" i="34"/>
  <c r="AF83" i="34"/>
  <c r="AB83" i="34"/>
  <c r="X83" i="34"/>
  <c r="T83" i="34"/>
  <c r="Y83" i="34"/>
  <c r="AD83" i="34"/>
  <c r="W66" i="34"/>
  <c r="Z71" i="34"/>
  <c r="AE71" i="34"/>
  <c r="Z75" i="34"/>
  <c r="T77" i="34"/>
  <c r="AE83" i="34"/>
  <c r="X66" i="34"/>
  <c r="AF66" i="34"/>
  <c r="V71" i="34"/>
  <c r="V75" i="34"/>
  <c r="AA75" i="34"/>
  <c r="AF75" i="34"/>
  <c r="V77" i="34"/>
  <c r="AA77" i="34"/>
  <c r="AF77" i="34"/>
  <c r="AH84" i="34"/>
  <c r="AD84" i="34"/>
  <c r="Z84" i="34"/>
  <c r="V84" i="34"/>
  <c r="AG84" i="34"/>
  <c r="AC84" i="34"/>
  <c r="Y84" i="34"/>
  <c r="U84" i="34"/>
  <c r="AA84" i="34"/>
  <c r="AA66" i="34"/>
  <c r="AE66" i="34"/>
  <c r="T71" i="34"/>
  <c r="T75" i="34"/>
  <c r="AE75" i="34"/>
  <c r="Z77" i="34"/>
  <c r="AE77" i="34"/>
  <c r="U83" i="34"/>
  <c r="Z83" i="34"/>
  <c r="T84" i="34"/>
  <c r="AB84" i="34"/>
  <c r="AH92" i="34"/>
  <c r="AD92" i="34"/>
  <c r="Z92" i="34"/>
  <c r="V92" i="34"/>
  <c r="AG92" i="34"/>
  <c r="AC92" i="34"/>
  <c r="Y92" i="34"/>
  <c r="U92" i="34"/>
  <c r="AA92" i="34"/>
  <c r="T66" i="34"/>
  <c r="AB66" i="34"/>
  <c r="AA71" i="34"/>
  <c r="AF71" i="34"/>
  <c r="AH82" i="34"/>
  <c r="AD82" i="34"/>
  <c r="Z82" i="34"/>
  <c r="V82" i="34"/>
  <c r="AC82" i="34"/>
  <c r="V83" i="34"/>
  <c r="AA83" i="34"/>
  <c r="AG83" i="34"/>
  <c r="W84" i="34"/>
  <c r="AH90" i="34"/>
  <c r="AD90" i="34"/>
  <c r="Z90" i="34"/>
  <c r="V90" i="34"/>
  <c r="AG90" i="34"/>
  <c r="AC90" i="34"/>
  <c r="Y90" i="34"/>
  <c r="U90" i="34"/>
  <c r="AA90" i="34"/>
  <c r="T92" i="34"/>
  <c r="AB92" i="34"/>
  <c r="W65" i="34"/>
  <c r="AA65" i="34"/>
  <c r="U66" i="34"/>
  <c r="Y66" i="34"/>
  <c r="AC66" i="34"/>
  <c r="AG67" i="34"/>
  <c r="AC67" i="34"/>
  <c r="Y67" i="34"/>
  <c r="W67" i="34"/>
  <c r="AB67" i="34"/>
  <c r="AH67" i="34"/>
  <c r="W71" i="34"/>
  <c r="AB71" i="34"/>
  <c r="AH71" i="34"/>
  <c r="W75" i="34"/>
  <c r="AB75" i="34"/>
  <c r="AH75" i="34"/>
  <c r="W77" i="34"/>
  <c r="AB77" i="34"/>
  <c r="AH77" i="34"/>
  <c r="T82" i="34"/>
  <c r="Y82" i="34"/>
  <c r="AE82" i="34"/>
  <c r="W83" i="34"/>
  <c r="AC83" i="34"/>
  <c r="AH83" i="34"/>
  <c r="X84" i="34"/>
  <c r="AF84" i="34"/>
  <c r="T90" i="34"/>
  <c r="AB90" i="34"/>
  <c r="W92" i="34"/>
  <c r="AE92" i="34"/>
  <c r="W87" i="34"/>
  <c r="AA87" i="34"/>
  <c r="AE87" i="34"/>
  <c r="W91" i="34"/>
  <c r="AA91" i="34"/>
  <c r="AE91" i="34"/>
  <c r="W93" i="34"/>
  <c r="AA93" i="34"/>
  <c r="AE93" i="34"/>
  <c r="AA70" i="34"/>
  <c r="W74" i="34"/>
  <c r="AA74" i="34"/>
  <c r="W76" i="34"/>
  <c r="AA76" i="34"/>
  <c r="T87" i="34"/>
  <c r="X87" i="34"/>
  <c r="AB87" i="34"/>
  <c r="T91" i="34"/>
  <c r="X91" i="34"/>
  <c r="AB91" i="34"/>
  <c r="T93" i="34"/>
  <c r="X93" i="34"/>
  <c r="AB93" i="34"/>
  <c r="AC18" i="2"/>
  <c r="AC32" i="2"/>
  <c r="T38" i="2"/>
  <c r="Y18" i="2"/>
  <c r="U20" i="2"/>
  <c r="V34" i="2"/>
  <c r="U36" i="2"/>
  <c r="U24" i="2"/>
  <c r="U32" i="2"/>
  <c r="Y36" i="2"/>
  <c r="W34" i="2"/>
  <c r="AC22" i="2"/>
  <c r="Y24" i="2"/>
  <c r="Y32" i="2"/>
  <c r="AC36" i="2"/>
  <c r="W35" i="2"/>
  <c r="AG34" i="2"/>
  <c r="AG18" i="2"/>
  <c r="Y20" i="2"/>
  <c r="AG22" i="2"/>
  <c r="AA31" i="2"/>
  <c r="U34" i="2"/>
  <c r="W25" i="2"/>
  <c r="U18" i="2"/>
  <c r="AC20" i="2"/>
  <c r="U22" i="2"/>
  <c r="AC24" i="2"/>
  <c r="AG32" i="2"/>
  <c r="Y34" i="2"/>
  <c r="AG36" i="2"/>
  <c r="T25" i="2"/>
  <c r="X25" i="2"/>
  <c r="AG20" i="2"/>
  <c r="Y22" i="2"/>
  <c r="AG24" i="2"/>
  <c r="AC34" i="2"/>
  <c r="U25" i="2"/>
  <c r="AH33" i="2"/>
  <c r="AD33" i="2"/>
  <c r="Z33" i="2"/>
  <c r="V33" i="2"/>
  <c r="AG33" i="2"/>
  <c r="AC33" i="2"/>
  <c r="Y33" i="2"/>
  <c r="U33" i="2"/>
  <c r="AA33" i="2"/>
  <c r="AF33" i="2"/>
  <c r="AB33" i="2"/>
  <c r="X33" i="2"/>
  <c r="T33" i="2"/>
  <c r="AE33" i="2"/>
  <c r="W33" i="2"/>
  <c r="AH31" i="2"/>
  <c r="AD31" i="2"/>
  <c r="Z31" i="2"/>
  <c r="V31" i="2"/>
  <c r="AG31" i="2"/>
  <c r="AC31" i="2"/>
  <c r="Y31" i="2"/>
  <c r="U31" i="2"/>
  <c r="AF31" i="2"/>
  <c r="AB31" i="2"/>
  <c r="X31" i="2"/>
  <c r="T31" i="2"/>
  <c r="W31" i="2"/>
  <c r="AA35" i="2"/>
  <c r="AE35" i="2"/>
  <c r="U37" i="2"/>
  <c r="Y37" i="2"/>
  <c r="AC37" i="2"/>
  <c r="AG37" i="2"/>
  <c r="W38" i="2"/>
  <c r="AA38" i="2"/>
  <c r="AE38" i="2"/>
  <c r="U39" i="2"/>
  <c r="Y39" i="2"/>
  <c r="AC39" i="2"/>
  <c r="AG39" i="2"/>
  <c r="V32" i="2"/>
  <c r="Z32" i="2"/>
  <c r="AD32" i="2"/>
  <c r="AH32" i="2"/>
  <c r="Z34" i="2"/>
  <c r="AD34" i="2"/>
  <c r="AH34" i="2"/>
  <c r="T35" i="2"/>
  <c r="X35" i="2"/>
  <c r="AB35" i="2"/>
  <c r="AF35" i="2"/>
  <c r="V36" i="2"/>
  <c r="Z36" i="2"/>
  <c r="AD36" i="2"/>
  <c r="AH36" i="2"/>
  <c r="V37" i="2"/>
  <c r="Z37" i="2"/>
  <c r="AD37" i="2"/>
  <c r="AH37" i="2"/>
  <c r="X38" i="2"/>
  <c r="AB38" i="2"/>
  <c r="AF38" i="2"/>
  <c r="V39" i="2"/>
  <c r="Z39" i="2"/>
  <c r="AD39" i="2"/>
  <c r="AH39" i="2"/>
  <c r="W36" i="2"/>
  <c r="AA36" i="2"/>
  <c r="AE36" i="2"/>
  <c r="W39" i="2"/>
  <c r="AA39" i="2"/>
  <c r="AE39" i="2"/>
  <c r="W32" i="2"/>
  <c r="AA32" i="2"/>
  <c r="AE32" i="2"/>
  <c r="AA34" i="2"/>
  <c r="AE34" i="2"/>
  <c r="U35" i="2"/>
  <c r="Y35" i="2"/>
  <c r="AC35" i="2"/>
  <c r="AG35" i="2"/>
  <c r="W37" i="2"/>
  <c r="AA37" i="2"/>
  <c r="AE37" i="2"/>
  <c r="U38" i="2"/>
  <c r="Y38" i="2"/>
  <c r="AC38" i="2"/>
  <c r="AG38" i="2"/>
  <c r="T32" i="2"/>
  <c r="X32" i="2"/>
  <c r="AB32" i="2"/>
  <c r="T34" i="2"/>
  <c r="X34" i="2"/>
  <c r="AB34" i="2"/>
  <c r="V35" i="2"/>
  <c r="Z35" i="2"/>
  <c r="AD35" i="2"/>
  <c r="T36" i="2"/>
  <c r="X36" i="2"/>
  <c r="AB36" i="2"/>
  <c r="T37" i="2"/>
  <c r="X37" i="2"/>
  <c r="AB37" i="2"/>
  <c r="V38" i="2"/>
  <c r="Z38" i="2"/>
  <c r="AD38" i="2"/>
  <c r="T39" i="2"/>
  <c r="X39" i="2"/>
  <c r="AB39" i="2"/>
  <c r="W17" i="2"/>
  <c r="AE17" i="2"/>
  <c r="AA19" i="2"/>
  <c r="W23" i="2"/>
  <c r="AA23" i="2"/>
  <c r="AE23" i="2"/>
  <c r="AA25" i="2"/>
  <c r="AE25" i="2"/>
  <c r="U26" i="2"/>
  <c r="Y26" i="2"/>
  <c r="AC26" i="2"/>
  <c r="AG26" i="2"/>
  <c r="T17" i="2"/>
  <c r="X17" i="2"/>
  <c r="AB17" i="2"/>
  <c r="AF17" i="2"/>
  <c r="V18" i="2"/>
  <c r="Z18" i="2"/>
  <c r="AD18" i="2"/>
  <c r="AH18" i="2"/>
  <c r="T19" i="2"/>
  <c r="X19" i="2"/>
  <c r="AB19" i="2"/>
  <c r="AF19" i="2"/>
  <c r="V20" i="2"/>
  <c r="Z20" i="2"/>
  <c r="AD20" i="2"/>
  <c r="AH20" i="2"/>
  <c r="T21" i="2"/>
  <c r="X21" i="2"/>
  <c r="AB21" i="2"/>
  <c r="AF21" i="2"/>
  <c r="V22" i="2"/>
  <c r="Z22" i="2"/>
  <c r="AD22" i="2"/>
  <c r="AH22" i="2"/>
  <c r="T23" i="2"/>
  <c r="X23" i="2"/>
  <c r="AB23" i="2"/>
  <c r="AF23" i="2"/>
  <c r="V24" i="2"/>
  <c r="Z24" i="2"/>
  <c r="AD24" i="2"/>
  <c r="AH24" i="2"/>
  <c r="AB25" i="2"/>
  <c r="AF25" i="2"/>
  <c r="V26" i="2"/>
  <c r="Z26" i="2"/>
  <c r="AD26" i="2"/>
  <c r="AH26" i="2"/>
  <c r="W19" i="2"/>
  <c r="AE19" i="2"/>
  <c r="W21" i="2"/>
  <c r="AA21" i="2"/>
  <c r="AE21" i="2"/>
  <c r="U17" i="2"/>
  <c r="Y17" i="2"/>
  <c r="AC17" i="2"/>
  <c r="AG17" i="2"/>
  <c r="W18" i="2"/>
  <c r="AA18" i="2"/>
  <c r="AE18" i="2"/>
  <c r="U19" i="2"/>
  <c r="Y19" i="2"/>
  <c r="AC19" i="2"/>
  <c r="AG19" i="2"/>
  <c r="AA22" i="2"/>
  <c r="AE22" i="2"/>
  <c r="U23" i="2"/>
  <c r="AC23" i="2"/>
  <c r="W26" i="2"/>
  <c r="AA26" i="2"/>
  <c r="AE26" i="2"/>
  <c r="AA17" i="2"/>
  <c r="W20" i="2"/>
  <c r="AA20" i="2"/>
  <c r="AE20" i="2"/>
  <c r="U21" i="2"/>
  <c r="Y21" i="2"/>
  <c r="AC21" i="2"/>
  <c r="AG21" i="2"/>
  <c r="W22" i="2"/>
  <c r="Y23" i="2"/>
  <c r="AG23" i="2"/>
  <c r="W24" i="2"/>
  <c r="AA24" i="2"/>
  <c r="AE24" i="2"/>
  <c r="Y25" i="2"/>
  <c r="AC25" i="2"/>
  <c r="AG25" i="2"/>
  <c r="V17" i="2"/>
  <c r="Z17" i="2"/>
  <c r="AD17" i="2"/>
  <c r="T18" i="2"/>
  <c r="X18" i="2"/>
  <c r="AB18" i="2"/>
  <c r="V19" i="2"/>
  <c r="Z19" i="2"/>
  <c r="AD19" i="2"/>
  <c r="T20" i="2"/>
  <c r="X20" i="2"/>
  <c r="AB20" i="2"/>
  <c r="V21" i="2"/>
  <c r="Z21" i="2"/>
  <c r="AD21" i="2"/>
  <c r="T22" i="2"/>
  <c r="X22" i="2"/>
  <c r="AB22" i="2"/>
  <c r="V23" i="2"/>
  <c r="Z23" i="2"/>
  <c r="AD23" i="2"/>
  <c r="T24" i="2"/>
  <c r="X24" i="2"/>
  <c r="AB24" i="2"/>
  <c r="V25" i="2"/>
  <c r="Z25" i="2"/>
  <c r="AD25" i="2"/>
  <c r="T26" i="2"/>
  <c r="X26" i="2"/>
  <c r="AB26" i="2"/>
  <c r="W15" i="20" l="1"/>
  <c r="Z15" i="20"/>
  <c r="T15" i="20"/>
  <c r="Y15" i="20"/>
  <c r="AJ26" i="20"/>
  <c r="AE15" i="20"/>
  <c r="AG15" i="20"/>
  <c r="X15" i="20"/>
  <c r="AH15" i="20"/>
  <c r="AF15" i="20"/>
  <c r="AB15" i="20"/>
  <c r="AJ21" i="20"/>
  <c r="V15" i="20"/>
  <c r="U15" i="20"/>
  <c r="AA15" i="20"/>
  <c r="AD15" i="20"/>
  <c r="AC15" i="20"/>
  <c r="AJ25" i="20"/>
  <c r="AJ19" i="20"/>
  <c r="AJ22" i="20"/>
  <c r="AJ20" i="20"/>
  <c r="AJ18" i="20"/>
  <c r="AJ23" i="20"/>
  <c r="AJ24" i="20"/>
  <c r="AJ17" i="20"/>
  <c r="W63" i="34"/>
  <c r="V80" i="34"/>
  <c r="T63" i="34"/>
  <c r="W80" i="34"/>
  <c r="AJ88" i="34"/>
  <c r="AJ89" i="34"/>
  <c r="AJ85" i="34"/>
  <c r="AJ86" i="34"/>
  <c r="AJ72" i="34"/>
  <c r="AJ73" i="34"/>
  <c r="AJ56" i="34"/>
  <c r="AJ55" i="34"/>
  <c r="AJ42" i="34"/>
  <c r="AJ41" i="34"/>
  <c r="AJ68" i="34"/>
  <c r="AJ69" i="34"/>
  <c r="Y63" i="34"/>
  <c r="AJ76" i="34"/>
  <c r="AJ70" i="34"/>
  <c r="X80" i="34"/>
  <c r="AJ93" i="34"/>
  <c r="AG80" i="34"/>
  <c r="AE63" i="34"/>
  <c r="X63" i="34"/>
  <c r="AJ74" i="34"/>
  <c r="AJ67" i="34"/>
  <c r="AC63" i="34"/>
  <c r="AF80" i="34"/>
  <c r="AA80" i="34"/>
  <c r="AF63" i="34"/>
  <c r="AG63" i="34"/>
  <c r="AD80" i="34"/>
  <c r="U80" i="34"/>
  <c r="AB80" i="34"/>
  <c r="AB63" i="34"/>
  <c r="U63" i="34"/>
  <c r="AE80" i="34"/>
  <c r="AA63" i="34"/>
  <c r="AJ75" i="34"/>
  <c r="AJ65" i="34"/>
  <c r="Y80" i="34"/>
  <c r="AC80" i="34"/>
  <c r="V63" i="34"/>
  <c r="AJ87" i="34"/>
  <c r="T80" i="34"/>
  <c r="AJ82" i="34"/>
  <c r="AJ84" i="34"/>
  <c r="Z63" i="34"/>
  <c r="AD63" i="34"/>
  <c r="AJ90" i="34"/>
  <c r="AH80" i="34"/>
  <c r="AJ71" i="34"/>
  <c r="AJ91" i="34"/>
  <c r="AH63" i="34"/>
  <c r="AJ92" i="34"/>
  <c r="Z80" i="34"/>
  <c r="AJ66" i="34"/>
  <c r="AJ77" i="34"/>
  <c r="AJ83" i="34"/>
  <c r="T29" i="2"/>
  <c r="AE29" i="2"/>
  <c r="AC15" i="2"/>
  <c r="AB29" i="2"/>
  <c r="AJ36" i="2"/>
  <c r="AH29" i="2"/>
  <c r="U29" i="2"/>
  <c r="AG15" i="2"/>
  <c r="U15" i="2"/>
  <c r="AH15" i="2"/>
  <c r="AA29" i="2"/>
  <c r="V15" i="2"/>
  <c r="AJ39" i="2"/>
  <c r="V29" i="2"/>
  <c r="AJ32" i="2"/>
  <c r="X29" i="2"/>
  <c r="Y29" i="2"/>
  <c r="Z29" i="2"/>
  <c r="AJ38" i="2"/>
  <c r="AJ37" i="2"/>
  <c r="AJ34" i="2"/>
  <c r="W29" i="2"/>
  <c r="AC29" i="2"/>
  <c r="AD29" i="2"/>
  <c r="AJ33" i="2"/>
  <c r="AJ35" i="2"/>
  <c r="AJ31" i="2"/>
  <c r="AF29" i="2"/>
  <c r="AG29" i="2"/>
  <c r="X15" i="2"/>
  <c r="AJ18" i="2"/>
  <c r="AJ25" i="2"/>
  <c r="AJ23" i="2"/>
  <c r="AJ21" i="2"/>
  <c r="AJ19" i="2"/>
  <c r="T15" i="2"/>
  <c r="AJ17" i="2"/>
  <c r="AE15" i="2"/>
  <c r="AJ22" i="2"/>
  <c r="AD15" i="2"/>
  <c r="AA15" i="2"/>
  <c r="AF15" i="2"/>
  <c r="W15" i="2"/>
  <c r="AJ26" i="2"/>
  <c r="AJ24" i="2"/>
  <c r="AJ20" i="2"/>
  <c r="Z15" i="2"/>
  <c r="Y15" i="2"/>
  <c r="AB15" i="2"/>
  <c r="AI15" i="20" l="1"/>
  <c r="AI63" i="34"/>
  <c r="AI80" i="34"/>
  <c r="AI29" i="2"/>
  <c r="AI15" i="2"/>
  <c r="D26" i="31" l="1"/>
  <c r="AF26" i="31" s="1"/>
  <c r="D25" i="31"/>
  <c r="AE25" i="31" s="1"/>
  <c r="D24" i="31"/>
  <c r="AF24" i="31" s="1"/>
  <c r="D23" i="31"/>
  <c r="AE23" i="31" s="1"/>
  <c r="D22" i="31"/>
  <c r="AF22" i="31" s="1"/>
  <c r="D21" i="31"/>
  <c r="D20" i="31"/>
  <c r="AF20" i="31" s="1"/>
  <c r="D19" i="31"/>
  <c r="AB19" i="31" s="1"/>
  <c r="D18" i="31"/>
  <c r="AF18" i="31" s="1"/>
  <c r="D17" i="31"/>
  <c r="AF17" i="31" s="1"/>
  <c r="AE16" i="31"/>
  <c r="AF16" i="31" s="1"/>
  <c r="AG16" i="31" s="1"/>
  <c r="AH16" i="31" s="1"/>
  <c r="AD16" i="31"/>
  <c r="D39" i="25"/>
  <c r="AH39" i="25" s="1"/>
  <c r="D38" i="25"/>
  <c r="AH38" i="25" s="1"/>
  <c r="D37" i="25"/>
  <c r="AH37" i="25" s="1"/>
  <c r="D36" i="25"/>
  <c r="AH36" i="25" s="1"/>
  <c r="D35" i="25"/>
  <c r="AH35" i="25" s="1"/>
  <c r="D34" i="25"/>
  <c r="AH34" i="25" s="1"/>
  <c r="D33" i="25"/>
  <c r="AH33" i="25" s="1"/>
  <c r="D32" i="25"/>
  <c r="AH32" i="25" s="1"/>
  <c r="D31" i="25"/>
  <c r="AH31" i="25" s="1"/>
  <c r="D30" i="25"/>
  <c r="AH30" i="25" s="1"/>
  <c r="D29" i="25"/>
  <c r="AH29" i="25" s="1"/>
  <c r="AE28" i="25"/>
  <c r="AF28" i="25" s="1"/>
  <c r="AG28" i="25" s="1"/>
  <c r="AH28" i="25" s="1"/>
  <c r="AD28" i="25"/>
  <c r="D51" i="24"/>
  <c r="AC20" i="31" l="1"/>
  <c r="AD24" i="31"/>
  <c r="AD20" i="31"/>
  <c r="T23" i="31"/>
  <c r="U24" i="31"/>
  <c r="W17" i="31"/>
  <c r="U20" i="31"/>
  <c r="X23" i="31"/>
  <c r="V24" i="31"/>
  <c r="T25" i="31"/>
  <c r="V20" i="31"/>
  <c r="AB23" i="31"/>
  <c r="AC24" i="31"/>
  <c r="U26" i="31"/>
  <c r="Y26" i="31"/>
  <c r="AC26" i="31"/>
  <c r="AG26" i="31"/>
  <c r="V26" i="31"/>
  <c r="Z26" i="31"/>
  <c r="AD26" i="31"/>
  <c r="AH26" i="31"/>
  <c r="W26" i="31"/>
  <c r="AA26" i="31"/>
  <c r="AE26" i="31"/>
  <c r="T26" i="31"/>
  <c r="X26" i="31"/>
  <c r="AB26" i="31"/>
  <c r="X17" i="31"/>
  <c r="U18" i="31"/>
  <c r="AC18" i="31"/>
  <c r="Y20" i="31"/>
  <c r="AG20" i="31"/>
  <c r="U22" i="31"/>
  <c r="AC22" i="31"/>
  <c r="AF23" i="31"/>
  <c r="Y24" i="31"/>
  <c r="AG24" i="31"/>
  <c r="X25" i="31"/>
  <c r="Z18" i="31"/>
  <c r="AH18" i="31"/>
  <c r="AE17" i="31"/>
  <c r="V18" i="31"/>
  <c r="AD18" i="31"/>
  <c r="Z20" i="31"/>
  <c r="AH20" i="31"/>
  <c r="V22" i="31"/>
  <c r="AD22" i="31"/>
  <c r="Z24" i="31"/>
  <c r="AH24" i="31"/>
  <c r="AB25" i="31"/>
  <c r="Z22" i="31"/>
  <c r="AH22" i="31"/>
  <c r="Y18" i="31"/>
  <c r="AG18" i="31"/>
  <c r="Y22" i="31"/>
  <c r="AG22" i="31"/>
  <c r="AF25" i="31"/>
  <c r="X19" i="31"/>
  <c r="AF19" i="31"/>
  <c r="AH21" i="31"/>
  <c r="AD21" i="31"/>
  <c r="Z21" i="31"/>
  <c r="V21" i="31"/>
  <c r="AG21" i="31"/>
  <c r="AC21" i="31"/>
  <c r="Y21" i="31"/>
  <c r="U21" i="31"/>
  <c r="AA21" i="31"/>
  <c r="AH17" i="31"/>
  <c r="AD17" i="31"/>
  <c r="Z17" i="31"/>
  <c r="V17" i="31"/>
  <c r="AG17" i="31"/>
  <c r="AC17" i="31"/>
  <c r="Y17" i="31"/>
  <c r="U17" i="31"/>
  <c r="AA17" i="31"/>
  <c r="T19" i="31"/>
  <c r="W21" i="31"/>
  <c r="AE21" i="31"/>
  <c r="AH19" i="31"/>
  <c r="AD19" i="31"/>
  <c r="Z19" i="31"/>
  <c r="V19" i="31"/>
  <c r="AG19" i="31"/>
  <c r="AC19" i="31"/>
  <c r="Y19" i="31"/>
  <c r="U19" i="31"/>
  <c r="AA19" i="31"/>
  <c r="T21" i="31"/>
  <c r="AB21" i="31"/>
  <c r="T17" i="31"/>
  <c r="AB17" i="31"/>
  <c r="W19" i="31"/>
  <c r="AE19" i="31"/>
  <c r="X21" i="31"/>
  <c r="AF21" i="31"/>
  <c r="W18" i="31"/>
  <c r="AA18" i="31"/>
  <c r="AE18" i="31"/>
  <c r="W20" i="31"/>
  <c r="AA20" i="31"/>
  <c r="AE20" i="31"/>
  <c r="W22" i="31"/>
  <c r="AA22" i="31"/>
  <c r="AE22" i="31"/>
  <c r="U23" i="31"/>
  <c r="Y23" i="31"/>
  <c r="AC23" i="31"/>
  <c r="AG23" i="31"/>
  <c r="W24" i="31"/>
  <c r="AA24" i="31"/>
  <c r="AE24" i="31"/>
  <c r="U25" i="31"/>
  <c r="Y25" i="31"/>
  <c r="AC25" i="31"/>
  <c r="AG25" i="31"/>
  <c r="T18" i="31"/>
  <c r="X18" i="31"/>
  <c r="AB18" i="31"/>
  <c r="T20" i="31"/>
  <c r="X20" i="31"/>
  <c r="AB20" i="31"/>
  <c r="T22" i="31"/>
  <c r="X22" i="31"/>
  <c r="AB22" i="31"/>
  <c r="V23" i="31"/>
  <c r="Z23" i="31"/>
  <c r="AD23" i="31"/>
  <c r="AH23" i="31"/>
  <c r="T24" i="31"/>
  <c r="X24" i="31"/>
  <c r="AB24" i="31"/>
  <c r="V25" i="31"/>
  <c r="Z25" i="31"/>
  <c r="AD25" i="31"/>
  <c r="AH25" i="31"/>
  <c r="W23" i="31"/>
  <c r="AA23" i="31"/>
  <c r="W25" i="31"/>
  <c r="AA25" i="31"/>
  <c r="T36" i="25"/>
  <c r="V37" i="25"/>
  <c r="T37" i="25"/>
  <c r="AH27" i="25"/>
  <c r="AE39" i="25"/>
  <c r="T38" i="25"/>
  <c r="X38" i="25"/>
  <c r="AB38" i="25"/>
  <c r="AF38" i="25"/>
  <c r="T39" i="25"/>
  <c r="X39" i="25"/>
  <c r="AB39" i="25"/>
  <c r="AF39" i="25"/>
  <c r="W38" i="25"/>
  <c r="AA39" i="25"/>
  <c r="U38" i="25"/>
  <c r="Y38" i="25"/>
  <c r="AC38" i="25"/>
  <c r="AG38" i="25"/>
  <c r="U39" i="25"/>
  <c r="Y39" i="25"/>
  <c r="AC39" i="25"/>
  <c r="AG39" i="25"/>
  <c r="AA38" i="25"/>
  <c r="AE38" i="25"/>
  <c r="W39" i="25"/>
  <c r="V38" i="25"/>
  <c r="Z38" i="25"/>
  <c r="AD38" i="25"/>
  <c r="V39" i="25"/>
  <c r="Z39" i="25"/>
  <c r="AD39" i="25"/>
  <c r="W29" i="25"/>
  <c r="AA29" i="25"/>
  <c r="AE29" i="25"/>
  <c r="W32" i="25"/>
  <c r="AA32" i="25"/>
  <c r="AE32" i="25"/>
  <c r="AE37" i="25"/>
  <c r="T29" i="25"/>
  <c r="X29" i="25"/>
  <c r="AB29" i="25"/>
  <c r="AF29" i="25"/>
  <c r="T30" i="25"/>
  <c r="X30" i="25"/>
  <c r="AB30" i="25"/>
  <c r="AF30" i="25"/>
  <c r="T31" i="25"/>
  <c r="X31" i="25"/>
  <c r="AB31" i="25"/>
  <c r="AF31" i="25"/>
  <c r="T32" i="25"/>
  <c r="X32" i="25"/>
  <c r="AB32" i="25"/>
  <c r="AF32" i="25"/>
  <c r="T33" i="25"/>
  <c r="X33" i="25"/>
  <c r="AB33" i="25"/>
  <c r="AF33" i="25"/>
  <c r="T34" i="25"/>
  <c r="X34" i="25"/>
  <c r="AB34" i="25"/>
  <c r="AF34" i="25"/>
  <c r="T35" i="25"/>
  <c r="X35" i="25"/>
  <c r="AB35" i="25"/>
  <c r="AF35" i="25"/>
  <c r="X36" i="25"/>
  <c r="AB36" i="25"/>
  <c r="AF36" i="25"/>
  <c r="X37" i="25"/>
  <c r="AB37" i="25"/>
  <c r="AF37" i="25"/>
  <c r="W30" i="25"/>
  <c r="AA30" i="25"/>
  <c r="AE30" i="25"/>
  <c r="W33" i="25"/>
  <c r="AA33" i="25"/>
  <c r="AE33" i="25"/>
  <c r="W34" i="25"/>
  <c r="AE34" i="25"/>
  <c r="W37" i="25"/>
  <c r="U29" i="25"/>
  <c r="Y29" i="25"/>
  <c r="AC29" i="25"/>
  <c r="AG29" i="25"/>
  <c r="U30" i="25"/>
  <c r="Y30" i="25"/>
  <c r="AC30" i="25"/>
  <c r="AG30" i="25"/>
  <c r="U31" i="25"/>
  <c r="Y31" i="25"/>
  <c r="AC31" i="25"/>
  <c r="AG31" i="25"/>
  <c r="U32" i="25"/>
  <c r="Y32" i="25"/>
  <c r="AC32" i="25"/>
  <c r="AG32" i="25"/>
  <c r="U33" i="25"/>
  <c r="Y33" i="25"/>
  <c r="AC33" i="25"/>
  <c r="AG33" i="25"/>
  <c r="U34" i="25"/>
  <c r="Y34" i="25"/>
  <c r="AC34" i="25"/>
  <c r="AG34" i="25"/>
  <c r="U35" i="25"/>
  <c r="Y35" i="25"/>
  <c r="AC35" i="25"/>
  <c r="AG35" i="25"/>
  <c r="U36" i="25"/>
  <c r="Y36" i="25"/>
  <c r="AC36" i="25"/>
  <c r="AG36" i="25"/>
  <c r="U37" i="25"/>
  <c r="Y37" i="25"/>
  <c r="AC37" i="25"/>
  <c r="AG37" i="25"/>
  <c r="W31" i="25"/>
  <c r="AA31" i="25"/>
  <c r="AE31" i="25"/>
  <c r="AA34" i="25"/>
  <c r="W35" i="25"/>
  <c r="AA35" i="25"/>
  <c r="AE35" i="25"/>
  <c r="W36" i="25"/>
  <c r="AA36" i="25"/>
  <c r="AE36" i="25"/>
  <c r="AA37" i="25"/>
  <c r="V29" i="25"/>
  <c r="Z29" i="25"/>
  <c r="AD29" i="25"/>
  <c r="V30" i="25"/>
  <c r="Z30" i="25"/>
  <c r="AD30" i="25"/>
  <c r="V31" i="25"/>
  <c r="Z31" i="25"/>
  <c r="AD31" i="25"/>
  <c r="V32" i="25"/>
  <c r="Z32" i="25"/>
  <c r="AD32" i="25"/>
  <c r="V33" i="25"/>
  <c r="Z33" i="25"/>
  <c r="AD33" i="25"/>
  <c r="V34" i="25"/>
  <c r="Z34" i="25"/>
  <c r="AD34" i="25"/>
  <c r="V35" i="25"/>
  <c r="Z35" i="25"/>
  <c r="AD35" i="25"/>
  <c r="V36" i="25"/>
  <c r="Z36" i="25"/>
  <c r="AD36" i="25"/>
  <c r="Z37" i="25"/>
  <c r="AD37" i="25"/>
  <c r="AF15" i="31" l="1"/>
  <c r="Y15" i="31"/>
  <c r="Z15" i="31"/>
  <c r="AC15" i="31"/>
  <c r="AD15" i="31"/>
  <c r="W15" i="31"/>
  <c r="AB15" i="31"/>
  <c r="AA15" i="31"/>
  <c r="AG15" i="31"/>
  <c r="AH15" i="31"/>
  <c r="AE15" i="31"/>
  <c r="T15" i="31"/>
  <c r="U15" i="31"/>
  <c r="V15" i="31"/>
  <c r="X15" i="31"/>
  <c r="AJ26" i="31"/>
  <c r="AJ25" i="31"/>
  <c r="T27" i="25"/>
  <c r="AJ22" i="31"/>
  <c r="AJ23" i="31"/>
  <c r="AJ17" i="31"/>
  <c r="AJ24" i="31"/>
  <c r="AJ18" i="31"/>
  <c r="AJ21" i="31"/>
  <c r="AJ19" i="31"/>
  <c r="AJ20" i="31"/>
  <c r="AC27" i="25"/>
  <c r="AF27" i="25"/>
  <c r="AE27" i="25"/>
  <c r="AD27" i="25"/>
  <c r="Y27" i="25"/>
  <c r="AB27" i="25"/>
  <c r="AA27" i="25"/>
  <c r="Z27" i="25"/>
  <c r="U27" i="25"/>
  <c r="X27" i="25"/>
  <c r="W27" i="25"/>
  <c r="V27" i="25"/>
  <c r="AG27" i="25"/>
  <c r="AI15" i="31" l="1"/>
  <c r="D54" i="24"/>
  <c r="AK54" i="24" s="1"/>
  <c r="D53" i="24"/>
  <c r="AK53" i="24" s="1"/>
  <c r="D52" i="24"/>
  <c r="AK52" i="24" s="1"/>
  <c r="AK51" i="24"/>
  <c r="D50" i="24"/>
  <c r="AK50" i="24" s="1"/>
  <c r="D49" i="24"/>
  <c r="D48" i="24"/>
  <c r="D47" i="24"/>
  <c r="AD47" i="24" s="1"/>
  <c r="D46" i="24"/>
  <c r="AH46" i="24" s="1"/>
  <c r="D45" i="24"/>
  <c r="AD45" i="24" s="1"/>
  <c r="D44" i="24"/>
  <c r="AD44" i="24" s="1"/>
  <c r="AF43" i="24"/>
  <c r="AG43" i="24" s="1"/>
  <c r="AH43" i="24" s="1"/>
  <c r="AI43" i="24" s="1"/>
  <c r="AJ43" i="24" s="1"/>
  <c r="AK43" i="24" s="1"/>
  <c r="D39" i="24"/>
  <c r="AK39" i="24" s="1"/>
  <c r="D38" i="24"/>
  <c r="AK38" i="24" s="1"/>
  <c r="D37" i="24"/>
  <c r="AJ37" i="24" s="1"/>
  <c r="D36" i="24"/>
  <c r="AJ36" i="24" s="1"/>
  <c r="D35" i="24"/>
  <c r="AJ35" i="24" s="1"/>
  <c r="D34" i="24"/>
  <c r="AJ34" i="24" s="1"/>
  <c r="D33" i="24"/>
  <c r="AJ33" i="24" s="1"/>
  <c r="D32" i="24"/>
  <c r="AJ32" i="24" s="1"/>
  <c r="D31" i="24"/>
  <c r="AJ31" i="24" s="1"/>
  <c r="D30" i="24"/>
  <c r="AJ30" i="24" s="1"/>
  <c r="D29" i="24"/>
  <c r="AJ29" i="24" s="1"/>
  <c r="AG28" i="24"/>
  <c r="AH28" i="24" s="1"/>
  <c r="AI28" i="24" s="1"/>
  <c r="AJ28" i="24" s="1"/>
  <c r="AK28" i="24" s="1"/>
  <c r="AF28" i="24"/>
  <c r="D24" i="24"/>
  <c r="AJ24" i="24" s="1"/>
  <c r="D23" i="24"/>
  <c r="AJ23" i="24" s="1"/>
  <c r="D22" i="24"/>
  <c r="AJ22" i="24" s="1"/>
  <c r="D21" i="24"/>
  <c r="AJ21" i="24" s="1"/>
  <c r="D20" i="24"/>
  <c r="AJ20" i="24" s="1"/>
  <c r="D19" i="24"/>
  <c r="AJ19" i="24" s="1"/>
  <c r="D18" i="24"/>
  <c r="AJ18" i="24" s="1"/>
  <c r="D17" i="24"/>
  <c r="AJ17" i="24" s="1"/>
  <c r="D16" i="24"/>
  <c r="AJ16" i="24" s="1"/>
  <c r="AF15" i="24"/>
  <c r="AG15" i="24" s="1"/>
  <c r="AH15" i="24" s="1"/>
  <c r="AI15" i="24" s="1"/>
  <c r="AJ15" i="24" s="1"/>
  <c r="AK15" i="24" s="1"/>
  <c r="AH45" i="26"/>
  <c r="AD37" i="26"/>
  <c r="AE37" i="26" s="1"/>
  <c r="AF37" i="26" s="1"/>
  <c r="AG37" i="26" s="1"/>
  <c r="AH37" i="26" s="1"/>
  <c r="AD45" i="26"/>
  <c r="AE45" i="26"/>
  <c r="AF45" i="26"/>
  <c r="AG45" i="26"/>
  <c r="AE3" i="33"/>
  <c r="AF3" i="33" s="1"/>
  <c r="AG3" i="33" s="1"/>
  <c r="AH3" i="33" s="1"/>
  <c r="AD3" i="33"/>
  <c r="D8" i="33"/>
  <c r="AA8" i="33" s="1"/>
  <c r="AD3" i="16"/>
  <c r="AE3" i="16" s="1"/>
  <c r="AF3" i="16" s="1"/>
  <c r="AG3" i="16" s="1"/>
  <c r="AH3" i="16" s="1"/>
  <c r="AE17" i="16"/>
  <c r="AF17" i="16" s="1"/>
  <c r="AG17" i="16" s="1"/>
  <c r="AH17" i="16" s="1"/>
  <c r="AD17" i="16"/>
  <c r="D25" i="16"/>
  <c r="AE25" i="16" s="1"/>
  <c r="AK49" i="24" l="1"/>
  <c r="Z49" i="24"/>
  <c r="AK48" i="24"/>
  <c r="AB48" i="24"/>
  <c r="Y32" i="24"/>
  <c r="AC35" i="24"/>
  <c r="AH45" i="24"/>
  <c r="AD46" i="24"/>
  <c r="AK44" i="24"/>
  <c r="AG44" i="24"/>
  <c r="AC44" i="24"/>
  <c r="Y44" i="24"/>
  <c r="AI44" i="24"/>
  <c r="AA44" i="24"/>
  <c r="AJ44" i="24"/>
  <c r="AF44" i="24"/>
  <c r="AB44" i="24"/>
  <c r="X44" i="24"/>
  <c r="AE44" i="24"/>
  <c r="W44" i="24"/>
  <c r="AK47" i="24"/>
  <c r="AG47" i="24"/>
  <c r="AC47" i="24"/>
  <c r="Y47" i="24"/>
  <c r="AE47" i="24"/>
  <c r="W47" i="24"/>
  <c r="AJ47" i="24"/>
  <c r="AF47" i="24"/>
  <c r="AB47" i="24"/>
  <c r="X47" i="24"/>
  <c r="AI47" i="24"/>
  <c r="AA47" i="24"/>
  <c r="AH47" i="24"/>
  <c r="AH44" i="24"/>
  <c r="AK45" i="24"/>
  <c r="AG45" i="24"/>
  <c r="AC45" i="24"/>
  <c r="Y45" i="24"/>
  <c r="AI45" i="24"/>
  <c r="AA45" i="24"/>
  <c r="AJ45" i="24"/>
  <c r="AF45" i="24"/>
  <c r="AB45" i="24"/>
  <c r="X45" i="24"/>
  <c r="AE45" i="24"/>
  <c r="W45" i="24"/>
  <c r="AK46" i="24"/>
  <c r="AG46" i="24"/>
  <c r="AC46" i="24"/>
  <c r="Y46" i="24"/>
  <c r="AI46" i="24"/>
  <c r="AA46" i="24"/>
  <c r="AJ46" i="24"/>
  <c r="AF46" i="24"/>
  <c r="AB46" i="24"/>
  <c r="X46" i="24"/>
  <c r="AE46" i="24"/>
  <c r="W46" i="24"/>
  <c r="Z44" i="24"/>
  <c r="Z45" i="24"/>
  <c r="Z46" i="24"/>
  <c r="Z47" i="24"/>
  <c r="AD48" i="24"/>
  <c r="AD49" i="24"/>
  <c r="AH49" i="24"/>
  <c r="Z52" i="24"/>
  <c r="AD52" i="24"/>
  <c r="AH52" i="24"/>
  <c r="Z53" i="24"/>
  <c r="AD53" i="24"/>
  <c r="AH53" i="24"/>
  <c r="Z54" i="24"/>
  <c r="AH54" i="24"/>
  <c r="AA48" i="24"/>
  <c r="AI48" i="24"/>
  <c r="AA49" i="24"/>
  <c r="AI49" i="24"/>
  <c r="AA50" i="24"/>
  <c r="AI50" i="24"/>
  <c r="AA51" i="24"/>
  <c r="AI51" i="24"/>
  <c r="AA52" i="24"/>
  <c r="AI52" i="24"/>
  <c r="AA53" i="24"/>
  <c r="AI53" i="24"/>
  <c r="AA54" i="24"/>
  <c r="AI54" i="24"/>
  <c r="X48" i="24"/>
  <c r="AF48" i="24"/>
  <c r="AJ48" i="24"/>
  <c r="X49" i="24"/>
  <c r="AB49" i="24"/>
  <c r="AF49" i="24"/>
  <c r="AJ49" i="24"/>
  <c r="X50" i="24"/>
  <c r="AB50" i="24"/>
  <c r="AF50" i="24"/>
  <c r="AJ50" i="24"/>
  <c r="X51" i="24"/>
  <c r="AB51" i="24"/>
  <c r="AF51" i="24"/>
  <c r="AJ51" i="24"/>
  <c r="X52" i="24"/>
  <c r="AB52" i="24"/>
  <c r="AF52" i="24"/>
  <c r="AJ52" i="24"/>
  <c r="X53" i="24"/>
  <c r="AB53" i="24"/>
  <c r="AF53" i="24"/>
  <c r="AJ53" i="24"/>
  <c r="X54" i="24"/>
  <c r="AB54" i="24"/>
  <c r="AF54" i="24"/>
  <c r="AJ54" i="24"/>
  <c r="Z48" i="24"/>
  <c r="AH48" i="24"/>
  <c r="Z50" i="24"/>
  <c r="AD50" i="24"/>
  <c r="AH50" i="24"/>
  <c r="Z51" i="24"/>
  <c r="AD51" i="24"/>
  <c r="AH51" i="24"/>
  <c r="AD54" i="24"/>
  <c r="W48" i="24"/>
  <c r="AE48" i="24"/>
  <c r="W49" i="24"/>
  <c r="AE49" i="24"/>
  <c r="W50" i="24"/>
  <c r="AE50" i="24"/>
  <c r="W51" i="24"/>
  <c r="AE51" i="24"/>
  <c r="W52" i="24"/>
  <c r="AE52" i="24"/>
  <c r="W53" i="24"/>
  <c r="AE53" i="24"/>
  <c r="W54" i="24"/>
  <c r="AE54" i="24"/>
  <c r="Y48" i="24"/>
  <c r="AC48" i="24"/>
  <c r="AG48" i="24"/>
  <c r="Y49" i="24"/>
  <c r="AC49" i="24"/>
  <c r="AG49" i="24"/>
  <c r="Y50" i="24"/>
  <c r="AC50" i="24"/>
  <c r="AG50" i="24"/>
  <c r="Y51" i="24"/>
  <c r="AC51" i="24"/>
  <c r="AG51" i="24"/>
  <c r="Y52" i="24"/>
  <c r="AC52" i="24"/>
  <c r="AG52" i="24"/>
  <c r="Y53" i="24"/>
  <c r="AC53" i="24"/>
  <c r="AG53" i="24"/>
  <c r="Y54" i="24"/>
  <c r="AC54" i="24"/>
  <c r="AG54" i="24"/>
  <c r="Y36" i="24"/>
  <c r="AH39" i="24"/>
  <c r="W38" i="24"/>
  <c r="AA38" i="24"/>
  <c r="AE38" i="24"/>
  <c r="AI38" i="24"/>
  <c r="W39" i="24"/>
  <c r="AA39" i="24"/>
  <c r="AE39" i="24"/>
  <c r="AI39" i="24"/>
  <c r="Z38" i="24"/>
  <c r="AH38" i="24"/>
  <c r="Z39" i="24"/>
  <c r="X38" i="24"/>
  <c r="AB38" i="24"/>
  <c r="AF38" i="24"/>
  <c r="AJ38" i="24"/>
  <c r="X39" i="24"/>
  <c r="AB39" i="24"/>
  <c r="AF39" i="24"/>
  <c r="AJ39" i="24"/>
  <c r="AD38" i="24"/>
  <c r="AD39" i="24"/>
  <c r="Y38" i="24"/>
  <c r="AC38" i="24"/>
  <c r="AG38" i="24"/>
  <c r="Y39" i="24"/>
  <c r="AC39" i="24"/>
  <c r="AG39" i="24"/>
  <c r="AK30" i="24"/>
  <c r="AG31" i="24"/>
  <c r="AC32" i="24"/>
  <c r="Y33" i="24"/>
  <c r="AK34" i="24"/>
  <c r="AG35" i="24"/>
  <c r="AC36" i="24"/>
  <c r="Y37" i="24"/>
  <c r="AK31" i="24"/>
  <c r="AG32" i="24"/>
  <c r="AC33" i="24"/>
  <c r="Y34" i="24"/>
  <c r="AK35" i="24"/>
  <c r="AG36" i="24"/>
  <c r="AC37" i="24"/>
  <c r="AG30" i="24"/>
  <c r="AC31" i="24"/>
  <c r="Y30" i="24"/>
  <c r="AC30" i="24"/>
  <c r="Y31" i="24"/>
  <c r="AK32" i="24"/>
  <c r="AG33" i="24"/>
  <c r="AC34" i="24"/>
  <c r="Y35" i="24"/>
  <c r="AK36" i="24"/>
  <c r="AG37" i="24"/>
  <c r="AK33" i="24"/>
  <c r="AG34" i="24"/>
  <c r="AK37" i="24"/>
  <c r="Y29" i="24"/>
  <c r="AG29" i="24"/>
  <c r="Z32" i="24"/>
  <c r="AD32" i="24"/>
  <c r="AH32" i="24"/>
  <c r="Z37" i="24"/>
  <c r="AD37" i="24"/>
  <c r="AH37" i="24"/>
  <c r="Z29" i="24"/>
  <c r="AD29" i="24"/>
  <c r="AH29" i="24"/>
  <c r="Z30" i="24"/>
  <c r="AD30" i="24"/>
  <c r="AH30" i="24"/>
  <c r="AD31" i="24"/>
  <c r="Z33" i="24"/>
  <c r="AD33" i="24"/>
  <c r="AH33" i="24"/>
  <c r="Z34" i="24"/>
  <c r="AH34" i="24"/>
  <c r="Z36" i="24"/>
  <c r="AD36" i="24"/>
  <c r="AH36" i="24"/>
  <c r="W29" i="24"/>
  <c r="AA29" i="24"/>
  <c r="AE29" i="24"/>
  <c r="AI29" i="24"/>
  <c r="W30" i="24"/>
  <c r="AA30" i="24"/>
  <c r="AE30" i="24"/>
  <c r="AI30" i="24"/>
  <c r="W31" i="24"/>
  <c r="AA31" i="24"/>
  <c r="AE31" i="24"/>
  <c r="AI31" i="24"/>
  <c r="W32" i="24"/>
  <c r="AA32" i="24"/>
  <c r="AE32" i="24"/>
  <c r="AI32" i="24"/>
  <c r="W33" i="24"/>
  <c r="AA33" i="24"/>
  <c r="AE33" i="24"/>
  <c r="AI33" i="24"/>
  <c r="W34" i="24"/>
  <c r="AA34" i="24"/>
  <c r="AE34" i="24"/>
  <c r="AI34" i="24"/>
  <c r="W35" i="24"/>
  <c r="AA35" i="24"/>
  <c r="AE35" i="24"/>
  <c r="AI35" i="24"/>
  <c r="W36" i="24"/>
  <c r="AA36" i="24"/>
  <c r="AE36" i="24"/>
  <c r="AI36" i="24"/>
  <c r="W37" i="24"/>
  <c r="AA37" i="24"/>
  <c r="AE37" i="24"/>
  <c r="AI37" i="24"/>
  <c r="AC29" i="24"/>
  <c r="AK29" i="24"/>
  <c r="Z31" i="24"/>
  <c r="AH31" i="24"/>
  <c r="AD34" i="24"/>
  <c r="Z35" i="24"/>
  <c r="AD35" i="24"/>
  <c r="AH35" i="24"/>
  <c r="X29" i="24"/>
  <c r="AB29" i="24"/>
  <c r="AF29" i="24"/>
  <c r="X30" i="24"/>
  <c r="AB30" i="24"/>
  <c r="AF30" i="24"/>
  <c r="X31" i="24"/>
  <c r="AB31" i="24"/>
  <c r="AF31" i="24"/>
  <c r="X32" i="24"/>
  <c r="AB32" i="24"/>
  <c r="AF32" i="24"/>
  <c r="X33" i="24"/>
  <c r="AB33" i="24"/>
  <c r="AF33" i="24"/>
  <c r="X34" i="24"/>
  <c r="AB34" i="24"/>
  <c r="AF34" i="24"/>
  <c r="X35" i="24"/>
  <c r="AB35" i="24"/>
  <c r="AF35" i="24"/>
  <c r="X36" i="24"/>
  <c r="AB36" i="24"/>
  <c r="AF36" i="24"/>
  <c r="X37" i="24"/>
  <c r="AB37" i="24"/>
  <c r="AF37" i="24"/>
  <c r="Y19" i="24"/>
  <c r="Y18" i="24"/>
  <c r="AC19" i="24"/>
  <c r="AC18" i="24"/>
  <c r="AG18" i="24"/>
  <c r="Y22" i="24"/>
  <c r="Y23" i="24"/>
  <c r="Y20" i="24"/>
  <c r="AC22" i="24"/>
  <c r="AC23" i="24"/>
  <c r="AG22" i="24"/>
  <c r="Y24" i="24"/>
  <c r="AK17" i="24"/>
  <c r="AK21" i="24"/>
  <c r="Y17" i="24"/>
  <c r="AK18" i="24"/>
  <c r="AG19" i="24"/>
  <c r="AC20" i="24"/>
  <c r="Y21" i="24"/>
  <c r="AK22" i="24"/>
  <c r="AG23" i="24"/>
  <c r="AC24" i="24"/>
  <c r="AC17" i="24"/>
  <c r="AK19" i="24"/>
  <c r="AG20" i="24"/>
  <c r="AC21" i="24"/>
  <c r="AK23" i="24"/>
  <c r="AG24" i="24"/>
  <c r="AJ14" i="24"/>
  <c r="AG17" i="24"/>
  <c r="AK20" i="24"/>
  <c r="AG21" i="24"/>
  <c r="AK24" i="24"/>
  <c r="AC16" i="24"/>
  <c r="AG16" i="24"/>
  <c r="Z19" i="24"/>
  <c r="AD19" i="24"/>
  <c r="AH19" i="24"/>
  <c r="Z24" i="24"/>
  <c r="AD24" i="24"/>
  <c r="AH24" i="24"/>
  <c r="Z16" i="24"/>
  <c r="AD16" i="24"/>
  <c r="AH16" i="24"/>
  <c r="Z18" i="24"/>
  <c r="AD18" i="24"/>
  <c r="AH18" i="24"/>
  <c r="Z21" i="24"/>
  <c r="AD21" i="24"/>
  <c r="AH21" i="24"/>
  <c r="Z23" i="24"/>
  <c r="AD23" i="24"/>
  <c r="AH23" i="24"/>
  <c r="W16" i="24"/>
  <c r="AA16" i="24"/>
  <c r="AE16" i="24"/>
  <c r="AI16" i="24"/>
  <c r="W17" i="24"/>
  <c r="AA17" i="24"/>
  <c r="AE17" i="24"/>
  <c r="AI17" i="24"/>
  <c r="W18" i="24"/>
  <c r="AA18" i="24"/>
  <c r="AE18" i="24"/>
  <c r="AI18" i="24"/>
  <c r="W19" i="24"/>
  <c r="AA19" i="24"/>
  <c r="AE19" i="24"/>
  <c r="AI19" i="24"/>
  <c r="W20" i="24"/>
  <c r="AA20" i="24"/>
  <c r="AE20" i="24"/>
  <c r="AI20" i="24"/>
  <c r="W21" i="24"/>
  <c r="AA21" i="24"/>
  <c r="AE21" i="24"/>
  <c r="AI21" i="24"/>
  <c r="W22" i="24"/>
  <c r="AA22" i="24"/>
  <c r="AE22" i="24"/>
  <c r="AI22" i="24"/>
  <c r="W23" i="24"/>
  <c r="AA23" i="24"/>
  <c r="AE23" i="24"/>
  <c r="AI23" i="24"/>
  <c r="W24" i="24"/>
  <c r="AA24" i="24"/>
  <c r="AE24" i="24"/>
  <c r="AI24" i="24"/>
  <c r="Y16" i="24"/>
  <c r="AK16" i="24"/>
  <c r="Z17" i="24"/>
  <c r="AD17" i="24"/>
  <c r="AH17" i="24"/>
  <c r="Z20" i="24"/>
  <c r="AD20" i="24"/>
  <c r="AH20" i="24"/>
  <c r="Z22" i="24"/>
  <c r="AD22" i="24"/>
  <c r="AH22" i="24"/>
  <c r="X16" i="24"/>
  <c r="AB16" i="24"/>
  <c r="AF16" i="24"/>
  <c r="X17" i="24"/>
  <c r="AB17" i="24"/>
  <c r="AF17" i="24"/>
  <c r="X18" i="24"/>
  <c r="AB18" i="24"/>
  <c r="AF18" i="24"/>
  <c r="X19" i="24"/>
  <c r="AB19" i="24"/>
  <c r="AF19" i="24"/>
  <c r="X20" i="24"/>
  <c r="AB20" i="24"/>
  <c r="AF20" i="24"/>
  <c r="X21" i="24"/>
  <c r="AB21" i="24"/>
  <c r="AF21" i="24"/>
  <c r="X22" i="24"/>
  <c r="AB22" i="24"/>
  <c r="AF22" i="24"/>
  <c r="X23" i="24"/>
  <c r="AB23" i="24"/>
  <c r="AF23" i="24"/>
  <c r="X24" i="24"/>
  <c r="AB24" i="24"/>
  <c r="AF24" i="24"/>
  <c r="AF8" i="33"/>
  <c r="AE8" i="33"/>
  <c r="AH8" i="33"/>
  <c r="AD8" i="33"/>
  <c r="AG8" i="33"/>
  <c r="V8" i="33"/>
  <c r="Z8" i="33"/>
  <c r="T8" i="33"/>
  <c r="X8" i="33"/>
  <c r="AB8" i="33"/>
  <c r="U8" i="33"/>
  <c r="Y8" i="33"/>
  <c r="AC8" i="33"/>
  <c r="W8" i="33"/>
  <c r="X25" i="16"/>
  <c r="AF25" i="16"/>
  <c r="U25" i="16"/>
  <c r="Y25" i="16"/>
  <c r="AC25" i="16"/>
  <c r="AG25" i="16"/>
  <c r="T25" i="16"/>
  <c r="AB25" i="16"/>
  <c r="V25" i="16"/>
  <c r="Z25" i="16"/>
  <c r="AD25" i="16"/>
  <c r="AH25" i="16"/>
  <c r="W25" i="16"/>
  <c r="AA25" i="16"/>
  <c r="AC34" i="28"/>
  <c r="AD34" i="28" s="1"/>
  <c r="AE34" i="28" s="1"/>
  <c r="AF34" i="28" s="1"/>
  <c r="AG34" i="28" s="1"/>
  <c r="AH34" i="28" s="1"/>
  <c r="AC21" i="28"/>
  <c r="AD21" i="28" s="1"/>
  <c r="AE21" i="28" s="1"/>
  <c r="AF21" i="28" s="1"/>
  <c r="AG21" i="28" s="1"/>
  <c r="AH21" i="28" s="1"/>
  <c r="AC3" i="28"/>
  <c r="AD3" i="28" s="1"/>
  <c r="AE3" i="28" s="1"/>
  <c r="AF3" i="28" s="1"/>
  <c r="AG3" i="28" s="1"/>
  <c r="AH3" i="28" s="1"/>
  <c r="D28" i="28"/>
  <c r="AC28" i="28" s="1"/>
  <c r="D27" i="28"/>
  <c r="AG27" i="28" s="1"/>
  <c r="AH3" i="29"/>
  <c r="AD3" i="29"/>
  <c r="AE3" i="29" s="1"/>
  <c r="AF3" i="29" s="1"/>
  <c r="AG3" i="29" s="1"/>
  <c r="AD3" i="30"/>
  <c r="AE3" i="30"/>
  <c r="AF3" i="30"/>
  <c r="AG3" i="30" s="1"/>
  <c r="AH3" i="30" s="1"/>
  <c r="AC3" i="30"/>
  <c r="D9" i="30"/>
  <c r="AC9" i="30" s="1"/>
  <c r="D9" i="29"/>
  <c r="Z9" i="29" s="1"/>
  <c r="AD14" i="17"/>
  <c r="AE14" i="17" s="1"/>
  <c r="AF14" i="17" s="1"/>
  <c r="AG14" i="17" s="1"/>
  <c r="AH14" i="17" s="1"/>
  <c r="AD3" i="17"/>
  <c r="AE3" i="17" s="1"/>
  <c r="AF3" i="17" s="1"/>
  <c r="AG3" i="17" s="1"/>
  <c r="AH3" i="17" s="1"/>
  <c r="D20" i="17"/>
  <c r="AA20" i="17" s="1"/>
  <c r="D22" i="17"/>
  <c r="AA22" i="17" s="1"/>
  <c r="D21" i="17"/>
  <c r="AA21" i="17" s="1"/>
  <c r="D19" i="17"/>
  <c r="AA19" i="17" s="1"/>
  <c r="D18" i="17"/>
  <c r="Z18" i="17" s="1"/>
  <c r="D17" i="17"/>
  <c r="AA17" i="17" s="1"/>
  <c r="D16" i="17"/>
  <c r="AA16" i="17" s="1"/>
  <c r="D15" i="17"/>
  <c r="AA15" i="17" s="1"/>
  <c r="AE3" i="18"/>
  <c r="AF3" i="18" s="1"/>
  <c r="AG3" i="18" s="1"/>
  <c r="AH3" i="18" s="1"/>
  <c r="AD3" i="18"/>
  <c r="AE15" i="18"/>
  <c r="AF15" i="18" s="1"/>
  <c r="AG15" i="18" s="1"/>
  <c r="AH15" i="18" s="1"/>
  <c r="AD15" i="18"/>
  <c r="D22" i="18"/>
  <c r="Z22" i="18" s="1"/>
  <c r="D24" i="18"/>
  <c r="T24" i="18" s="1"/>
  <c r="D23" i="18"/>
  <c r="D21" i="18"/>
  <c r="AC21" i="18" s="1"/>
  <c r="D20" i="18"/>
  <c r="AA20" i="18" s="1"/>
  <c r="D19" i="18"/>
  <c r="AB19" i="18" s="1"/>
  <c r="D18" i="18"/>
  <c r="D17" i="18"/>
  <c r="AB17" i="18" s="1"/>
  <c r="D16" i="18"/>
  <c r="AA16" i="18" s="1"/>
  <c r="AE15" i="25"/>
  <c r="AF15" i="25" s="1"/>
  <c r="AG15" i="25" s="1"/>
  <c r="AH15" i="25" s="1"/>
  <c r="AD15" i="25"/>
  <c r="AD27" i="24" l="1"/>
  <c r="AA42" i="24"/>
  <c r="AA27" i="24"/>
  <c r="AC42" i="24"/>
  <c r="W42" i="24"/>
  <c r="AC27" i="24"/>
  <c r="AJ27" i="24"/>
  <c r="AI27" i="24"/>
  <c r="AH27" i="24"/>
  <c r="AF27" i="24"/>
  <c r="AE27" i="24"/>
  <c r="AG27" i="24"/>
  <c r="X27" i="24"/>
  <c r="W27" i="24"/>
  <c r="AB27" i="24"/>
  <c r="AK27" i="24"/>
  <c r="Z27" i="24"/>
  <c r="Y27" i="24"/>
  <c r="AD42" i="24"/>
  <c r="Z42" i="24"/>
  <c r="AF42" i="24"/>
  <c r="AH42" i="24"/>
  <c r="X42" i="24"/>
  <c r="AG42" i="24"/>
  <c r="Y42" i="24"/>
  <c r="AE42" i="24"/>
  <c r="AJ42" i="24"/>
  <c r="AB42" i="24"/>
  <c r="AI42" i="24"/>
  <c r="AK42" i="24"/>
  <c r="AK14" i="24"/>
  <c r="AG14" i="24"/>
  <c r="Y14" i="24"/>
  <c r="AC14" i="24"/>
  <c r="AE14" i="24"/>
  <c r="AH14" i="24"/>
  <c r="AI14" i="24"/>
  <c r="AF14" i="24"/>
  <c r="AA14" i="24"/>
  <c r="AD14" i="24"/>
  <c r="X14" i="24"/>
  <c r="AB14" i="24"/>
  <c r="W14" i="24"/>
  <c r="Z14" i="24"/>
  <c r="AJ25" i="16"/>
  <c r="AJ8" i="33"/>
  <c r="AH9" i="29"/>
  <c r="AE28" i="28"/>
  <c r="AF27" i="28"/>
  <c r="AH28" i="28"/>
  <c r="AD28" i="28"/>
  <c r="AE27" i="28"/>
  <c r="AG28" i="28"/>
  <c r="AH27" i="28"/>
  <c r="AD27" i="28"/>
  <c r="AF28" i="28"/>
  <c r="W28" i="28"/>
  <c r="AA28" i="28"/>
  <c r="Z28" i="28"/>
  <c r="T28" i="28"/>
  <c r="X28" i="28"/>
  <c r="AB28" i="28"/>
  <c r="V28" i="28"/>
  <c r="U28" i="28"/>
  <c r="Y28" i="28"/>
  <c r="AG9" i="30"/>
  <c r="AF9" i="30"/>
  <c r="AH9" i="30"/>
  <c r="AD9" i="30"/>
  <c r="AE9" i="30"/>
  <c r="AG9" i="29"/>
  <c r="AF9" i="29"/>
  <c r="AD9" i="29"/>
  <c r="AE9" i="29"/>
  <c r="W9" i="30"/>
  <c r="AA9" i="30"/>
  <c r="V9" i="30"/>
  <c r="T9" i="30"/>
  <c r="X9" i="30"/>
  <c r="AB9" i="30"/>
  <c r="Z9" i="30"/>
  <c r="U9" i="30"/>
  <c r="Y9" i="30"/>
  <c r="W9" i="29"/>
  <c r="T9" i="29"/>
  <c r="AB9" i="29"/>
  <c r="U9" i="29"/>
  <c r="Y9" i="29"/>
  <c r="AC9" i="29"/>
  <c r="AA9" i="29"/>
  <c r="X9" i="29"/>
  <c r="V9" i="29"/>
  <c r="AE17" i="18"/>
  <c r="AE21" i="18"/>
  <c r="AF16" i="18"/>
  <c r="AE20" i="17"/>
  <c r="AD18" i="17"/>
  <c r="AF22" i="18"/>
  <c r="AF20" i="18"/>
  <c r="AH21" i="17"/>
  <c r="AF19" i="17"/>
  <c r="AE16" i="17"/>
  <c r="AG20" i="18"/>
  <c r="AD22" i="18"/>
  <c r="AG19" i="18"/>
  <c r="AD21" i="17"/>
  <c r="AH18" i="17"/>
  <c r="AF15" i="17"/>
  <c r="AF20" i="17"/>
  <c r="AG18" i="17"/>
  <c r="AC18" i="18"/>
  <c r="AE18" i="18"/>
  <c r="AD18" i="18"/>
  <c r="AH18" i="18"/>
  <c r="AF18" i="18"/>
  <c r="AG18" i="18"/>
  <c r="AH22" i="18"/>
  <c r="AH21" i="18"/>
  <c r="AD21" i="18"/>
  <c r="AE20" i="18"/>
  <c r="AF19" i="18"/>
  <c r="AH17" i="18"/>
  <c r="AD17" i="18"/>
  <c r="AE16" i="18"/>
  <c r="AF22" i="17"/>
  <c r="AG21" i="17"/>
  <c r="AH20" i="17"/>
  <c r="AD20" i="17"/>
  <c r="AE19" i="17"/>
  <c r="AF18" i="17"/>
  <c r="AG17" i="17"/>
  <c r="AH16" i="17"/>
  <c r="AD16" i="17"/>
  <c r="AE15" i="17"/>
  <c r="AG22" i="17"/>
  <c r="AH17" i="17"/>
  <c r="AD17" i="17"/>
  <c r="AG22" i="18"/>
  <c r="AG21" i="18"/>
  <c r="AH20" i="18"/>
  <c r="AD20" i="18"/>
  <c r="AE19" i="18"/>
  <c r="AG17" i="18"/>
  <c r="AH16" i="18"/>
  <c r="AD16" i="18"/>
  <c r="AE22" i="18"/>
  <c r="AE22" i="17"/>
  <c r="AF21" i="17"/>
  <c r="AG20" i="17"/>
  <c r="AH19" i="17"/>
  <c r="AD19" i="17"/>
  <c r="AE18" i="17"/>
  <c r="AF17" i="17"/>
  <c r="AG16" i="17"/>
  <c r="AH15" i="17"/>
  <c r="AD15" i="17"/>
  <c r="AF21" i="18"/>
  <c r="AH19" i="18"/>
  <c r="AD19" i="18"/>
  <c r="AF17" i="18"/>
  <c r="AG16" i="18"/>
  <c r="AH22" i="17"/>
  <c r="AD22" i="17"/>
  <c r="AE21" i="17"/>
  <c r="AG19" i="17"/>
  <c r="AE17" i="17"/>
  <c r="AF16" i="17"/>
  <c r="AG15" i="17"/>
  <c r="T20" i="17"/>
  <c r="AB20" i="17"/>
  <c r="U20" i="17"/>
  <c r="AC20" i="17"/>
  <c r="Y20" i="17"/>
  <c r="X20" i="17"/>
  <c r="V20" i="17"/>
  <c r="Z20" i="17"/>
  <c r="W20" i="17"/>
  <c r="Y15" i="17"/>
  <c r="T15" i="17"/>
  <c r="T17" i="17"/>
  <c r="X21" i="17"/>
  <c r="X19" i="17"/>
  <c r="AC19" i="17"/>
  <c r="Y21" i="17"/>
  <c r="T22" i="17"/>
  <c r="U15" i="17"/>
  <c r="Z15" i="17"/>
  <c r="T16" i="17"/>
  <c r="AB16" i="17"/>
  <c r="X17" i="17"/>
  <c r="T19" i="17"/>
  <c r="Y19" i="17"/>
  <c r="V15" i="17"/>
  <c r="AB15" i="17"/>
  <c r="U16" i="17"/>
  <c r="AC16" i="17"/>
  <c r="AB17" i="17"/>
  <c r="U19" i="17"/>
  <c r="Z19" i="17"/>
  <c r="T21" i="17"/>
  <c r="AB21" i="17"/>
  <c r="X22" i="17"/>
  <c r="Y16" i="17"/>
  <c r="X15" i="17"/>
  <c r="AC15" i="17"/>
  <c r="X16" i="17"/>
  <c r="V19" i="17"/>
  <c r="AB19" i="17"/>
  <c r="U21" i="17"/>
  <c r="AC21" i="17"/>
  <c r="AB22" i="17"/>
  <c r="W15" i="17"/>
  <c r="V16" i="17"/>
  <c r="Z16" i="17"/>
  <c r="U17" i="17"/>
  <c r="Y17" i="17"/>
  <c r="AC17" i="17"/>
  <c r="T18" i="17"/>
  <c r="X18" i="17"/>
  <c r="AB18" i="17"/>
  <c r="W19" i="17"/>
  <c r="V21" i="17"/>
  <c r="Z21" i="17"/>
  <c r="U22" i="17"/>
  <c r="Y22" i="17"/>
  <c r="AC22" i="17"/>
  <c r="W18" i="17"/>
  <c r="AA18" i="17"/>
  <c r="AA13" i="17" s="1"/>
  <c r="W16" i="17"/>
  <c r="V17" i="17"/>
  <c r="Z17" i="17"/>
  <c r="U18" i="17"/>
  <c r="Y18" i="17"/>
  <c r="AC18" i="17"/>
  <c r="W21" i="17"/>
  <c r="V22" i="17"/>
  <c r="Z22" i="17"/>
  <c r="W17" i="17"/>
  <c r="V18" i="17"/>
  <c r="W22" i="17"/>
  <c r="W22" i="18"/>
  <c r="AA22" i="18"/>
  <c r="T22" i="18"/>
  <c r="X22" i="18"/>
  <c r="AB22" i="18"/>
  <c r="U22" i="18"/>
  <c r="Y22" i="18"/>
  <c r="AC22" i="18"/>
  <c r="V22" i="18"/>
  <c r="Y20" i="18"/>
  <c r="Z18" i="18"/>
  <c r="T20" i="18"/>
  <c r="U20" i="18"/>
  <c r="Y19" i="18"/>
  <c r="V18" i="18"/>
  <c r="Z20" i="18"/>
  <c r="T16" i="18"/>
  <c r="Z19" i="18"/>
  <c r="U16" i="18"/>
  <c r="Z16" i="18"/>
  <c r="U19" i="18"/>
  <c r="AC19" i="18"/>
  <c r="V20" i="18"/>
  <c r="AB20" i="18"/>
  <c r="X16" i="18"/>
  <c r="AC16" i="18"/>
  <c r="Y16" i="18"/>
  <c r="V16" i="18"/>
  <c r="AB16" i="18"/>
  <c r="V19" i="18"/>
  <c r="X20" i="18"/>
  <c r="AC20" i="18"/>
  <c r="W17" i="18"/>
  <c r="AA17" i="18"/>
  <c r="W18" i="18"/>
  <c r="AA18" i="18"/>
  <c r="U21" i="18"/>
  <c r="Y21" i="18"/>
  <c r="U17" i="18"/>
  <c r="Y17" i="18"/>
  <c r="AC17" i="18"/>
  <c r="T18" i="18"/>
  <c r="X18" i="18"/>
  <c r="AB18" i="18"/>
  <c r="W19" i="18"/>
  <c r="AA19" i="18"/>
  <c r="V21" i="18"/>
  <c r="Z21" i="18"/>
  <c r="W16" i="18"/>
  <c r="V17" i="18"/>
  <c r="Z17" i="18"/>
  <c r="U18" i="18"/>
  <c r="Y18" i="18"/>
  <c r="T19" i="18"/>
  <c r="X19" i="18"/>
  <c r="W20" i="18"/>
  <c r="W21" i="18"/>
  <c r="AA21" i="18"/>
  <c r="X21" i="18"/>
  <c r="AB21" i="18"/>
  <c r="T17" i="18"/>
  <c r="X17" i="18"/>
  <c r="AJ28" i="28" l="1"/>
  <c r="AJ9" i="30"/>
  <c r="AJ9" i="29"/>
  <c r="AG13" i="17"/>
  <c r="AF13" i="17"/>
  <c r="AJ20" i="18"/>
  <c r="AJ22" i="17"/>
  <c r="AJ20" i="17"/>
  <c r="AJ22" i="18"/>
  <c r="AJ21" i="17"/>
  <c r="AJ16" i="17"/>
  <c r="AJ17" i="17"/>
  <c r="AJ19" i="18"/>
  <c r="AJ18" i="18"/>
  <c r="AJ19" i="17"/>
  <c r="AJ15" i="17"/>
  <c r="AD13" i="17"/>
  <c r="AE13" i="17"/>
  <c r="AJ17" i="18"/>
  <c r="AJ21" i="18"/>
  <c r="AJ16" i="18"/>
  <c r="AJ18" i="17"/>
  <c r="AH13" i="17"/>
  <c r="V13" i="17"/>
  <c r="AB13" i="17"/>
  <c r="Y13" i="17"/>
  <c r="X13" i="17"/>
  <c r="T13" i="17"/>
  <c r="Z13" i="17"/>
  <c r="AC13" i="17"/>
  <c r="U13" i="17"/>
  <c r="W13" i="17"/>
  <c r="AI13" i="17" l="1"/>
  <c r="D19" i="25" l="1"/>
  <c r="AB19" i="25" l="1"/>
  <c r="AG19" i="25"/>
  <c r="AD19" i="25"/>
  <c r="AH19" i="25"/>
  <c r="AE19" i="25"/>
  <c r="AF19" i="25"/>
  <c r="U19" i="25"/>
  <c r="Y19" i="25"/>
  <c r="AC19" i="25"/>
  <c r="V19" i="25"/>
  <c r="Z19" i="25"/>
  <c r="AA19" i="25"/>
  <c r="W19" i="25"/>
  <c r="T19" i="25"/>
  <c r="X19" i="25"/>
  <c r="D40" i="34" l="1"/>
  <c r="Y40" i="34" s="1"/>
  <c r="D60" i="34"/>
  <c r="AF60" i="34" s="1"/>
  <c r="D59" i="34"/>
  <c r="AH59" i="34" s="1"/>
  <c r="D58" i="34"/>
  <c r="AF58" i="34" s="1"/>
  <c r="D57" i="34"/>
  <c r="AH57" i="34" s="1"/>
  <c r="D54" i="34"/>
  <c r="AF54" i="34" s="1"/>
  <c r="D53" i="34"/>
  <c r="AH53" i="34" s="1"/>
  <c r="D52" i="34"/>
  <c r="AF52" i="34" s="1"/>
  <c r="D51" i="34"/>
  <c r="AH51" i="34" s="1"/>
  <c r="AD50" i="34"/>
  <c r="AE50" i="34" s="1"/>
  <c r="AF50" i="34" s="1"/>
  <c r="AG50" i="34" s="1"/>
  <c r="AH50" i="34" s="1"/>
  <c r="AD35" i="34"/>
  <c r="AE35" i="34" s="1"/>
  <c r="AF35" i="34" s="1"/>
  <c r="AG35" i="34" s="1"/>
  <c r="AH35" i="34" s="1"/>
  <c r="AE3" i="3"/>
  <c r="AF3" i="3" s="1"/>
  <c r="AG3" i="3" s="1"/>
  <c r="AH3" i="3" s="1"/>
  <c r="AD3" i="3"/>
  <c r="D9" i="3"/>
  <c r="AD9" i="3" s="1"/>
  <c r="AE3" i="2"/>
  <c r="AF3" i="2" s="1"/>
  <c r="AG3" i="2" s="1"/>
  <c r="AH3" i="2" s="1"/>
  <c r="AD3" i="2"/>
  <c r="AE3" i="31"/>
  <c r="AF3" i="31" s="1"/>
  <c r="AG3" i="31" s="1"/>
  <c r="AH3" i="31" s="1"/>
  <c r="AD3" i="31"/>
  <c r="D9" i="31"/>
  <c r="AF9" i="31" s="1"/>
  <c r="AD3" i="20"/>
  <c r="AE3" i="20" s="1"/>
  <c r="AF3" i="20" s="1"/>
  <c r="AG3" i="20" s="1"/>
  <c r="AH3" i="20" s="1"/>
  <c r="D9" i="20"/>
  <c r="AE9" i="20" s="1"/>
  <c r="D11" i="19"/>
  <c r="AH11" i="19" s="1"/>
  <c r="AD3" i="19"/>
  <c r="AE3" i="19" s="1"/>
  <c r="AF3" i="19" s="1"/>
  <c r="AG3" i="19" s="1"/>
  <c r="AH3" i="19" s="1"/>
  <c r="AH40" i="34" l="1"/>
  <c r="AE40" i="34"/>
  <c r="X40" i="34"/>
  <c r="AB40" i="34"/>
  <c r="U40" i="34"/>
  <c r="AC40" i="34"/>
  <c r="AG40" i="34"/>
  <c r="W40" i="34"/>
  <c r="AA40" i="34"/>
  <c r="T40" i="34"/>
  <c r="AF40" i="34"/>
  <c r="V40" i="34"/>
  <c r="Z40" i="34"/>
  <c r="AD40" i="34"/>
  <c r="U51" i="34"/>
  <c r="U59" i="34"/>
  <c r="Y51" i="34"/>
  <c r="Y59" i="34"/>
  <c r="AG53" i="34"/>
  <c r="AG57" i="34"/>
  <c r="AC51" i="34"/>
  <c r="U53" i="34"/>
  <c r="U57" i="34"/>
  <c r="AC59" i="34"/>
  <c r="AG51" i="34"/>
  <c r="Y53" i="34"/>
  <c r="Y57" i="34"/>
  <c r="AG59" i="34"/>
  <c r="AC53" i="34"/>
  <c r="AC57" i="34"/>
  <c r="W54" i="34"/>
  <c r="AA54" i="34"/>
  <c r="AE54" i="34"/>
  <c r="W53" i="34"/>
  <c r="AA53" i="34"/>
  <c r="AE53" i="34"/>
  <c r="W59" i="34"/>
  <c r="AA59" i="34"/>
  <c r="AE59" i="34"/>
  <c r="U60" i="34"/>
  <c r="Y60" i="34"/>
  <c r="AC60" i="34"/>
  <c r="AG60" i="34"/>
  <c r="W51" i="34"/>
  <c r="AA51" i="34"/>
  <c r="AE51" i="34"/>
  <c r="U52" i="34"/>
  <c r="Y52" i="34"/>
  <c r="AC52" i="34"/>
  <c r="AG52" i="34"/>
  <c r="U54" i="34"/>
  <c r="Y54" i="34"/>
  <c r="AC54" i="34"/>
  <c r="AG54" i="34"/>
  <c r="W57" i="34"/>
  <c r="AA57" i="34"/>
  <c r="AE57" i="34"/>
  <c r="U58" i="34"/>
  <c r="Y58" i="34"/>
  <c r="AC58" i="34"/>
  <c r="AG58" i="34"/>
  <c r="T51" i="34"/>
  <c r="X51" i="34"/>
  <c r="AB51" i="34"/>
  <c r="AF51" i="34"/>
  <c r="V52" i="34"/>
  <c r="Z52" i="34"/>
  <c r="AD52" i="34"/>
  <c r="AH52" i="34"/>
  <c r="T53" i="34"/>
  <c r="X53" i="34"/>
  <c r="AB53" i="34"/>
  <c r="AF53" i="34"/>
  <c r="V54" i="34"/>
  <c r="Z54" i="34"/>
  <c r="AD54" i="34"/>
  <c r="AH54" i="34"/>
  <c r="T57" i="34"/>
  <c r="X57" i="34"/>
  <c r="AB57" i="34"/>
  <c r="AF57" i="34"/>
  <c r="V58" i="34"/>
  <c r="Z58" i="34"/>
  <c r="AD58" i="34"/>
  <c r="AH58" i="34"/>
  <c r="T59" i="34"/>
  <c r="X59" i="34"/>
  <c r="AB59" i="34"/>
  <c r="AF59" i="34"/>
  <c r="V60" i="34"/>
  <c r="Z60" i="34"/>
  <c r="AD60" i="34"/>
  <c r="AH60" i="34"/>
  <c r="W52" i="34"/>
  <c r="AA52" i="34"/>
  <c r="AE52" i="34"/>
  <c r="W58" i="34"/>
  <c r="AA58" i="34"/>
  <c r="AE58" i="34"/>
  <c r="W60" i="34"/>
  <c r="AA60" i="34"/>
  <c r="AE60" i="34"/>
  <c r="V51" i="34"/>
  <c r="Z51" i="34"/>
  <c r="AD51" i="34"/>
  <c r="T52" i="34"/>
  <c r="X52" i="34"/>
  <c r="AB52" i="34"/>
  <c r="V53" i="34"/>
  <c r="Z53" i="34"/>
  <c r="AD53" i="34"/>
  <c r="T54" i="34"/>
  <c r="X54" i="34"/>
  <c r="AB54" i="34"/>
  <c r="V57" i="34"/>
  <c r="Z57" i="34"/>
  <c r="AD57" i="34"/>
  <c r="T58" i="34"/>
  <c r="X58" i="34"/>
  <c r="AB58" i="34"/>
  <c r="V59" i="34"/>
  <c r="Z59" i="34"/>
  <c r="AD59" i="34"/>
  <c r="T60" i="34"/>
  <c r="X60" i="34"/>
  <c r="AB60" i="34"/>
  <c r="AG9" i="3"/>
  <c r="V9" i="3"/>
  <c r="Y9" i="31"/>
  <c r="AE9" i="31"/>
  <c r="T9" i="31"/>
  <c r="AB9" i="31"/>
  <c r="AD9" i="31"/>
  <c r="Z9" i="3"/>
  <c r="U9" i="31"/>
  <c r="AC9" i="31"/>
  <c r="X9" i="31"/>
  <c r="AH9" i="31"/>
  <c r="Z9" i="2"/>
  <c r="AE9" i="2"/>
  <c r="AF9" i="2"/>
  <c r="AG9" i="2"/>
  <c r="AH9" i="2"/>
  <c r="AD9" i="2"/>
  <c r="W9" i="3"/>
  <c r="AA9" i="3"/>
  <c r="AF9" i="3"/>
  <c r="V9" i="31"/>
  <c r="Z9" i="31"/>
  <c r="AG9" i="31"/>
  <c r="T9" i="3"/>
  <c r="X9" i="3"/>
  <c r="AB9" i="3"/>
  <c r="AE9" i="3"/>
  <c r="W9" i="31"/>
  <c r="AA9" i="31"/>
  <c r="U9" i="3"/>
  <c r="Y9" i="3"/>
  <c r="AC9" i="3"/>
  <c r="AH9" i="3"/>
  <c r="AA9" i="2"/>
  <c r="T9" i="2"/>
  <c r="X9" i="2"/>
  <c r="AB9" i="2"/>
  <c r="W9" i="2"/>
  <c r="U9" i="2"/>
  <c r="Y9" i="2"/>
  <c r="AC9" i="2"/>
  <c r="V9" i="2"/>
  <c r="T9" i="20"/>
  <c r="X9" i="20"/>
  <c r="AB9" i="20"/>
  <c r="AG9" i="20"/>
  <c r="T11" i="19"/>
  <c r="X11" i="19"/>
  <c r="AB11" i="19"/>
  <c r="AF11" i="19"/>
  <c r="AG11" i="19"/>
  <c r="W9" i="20"/>
  <c r="AA9" i="20"/>
  <c r="AF9" i="20"/>
  <c r="W11" i="19"/>
  <c r="AA11" i="19"/>
  <c r="AE11" i="19"/>
  <c r="U9" i="20"/>
  <c r="Y9" i="20"/>
  <c r="AC9" i="20"/>
  <c r="AH9" i="20"/>
  <c r="U11" i="19"/>
  <c r="Y11" i="19"/>
  <c r="AC11" i="19"/>
  <c r="V9" i="20"/>
  <c r="Z9" i="20"/>
  <c r="AD9" i="20"/>
  <c r="V11" i="19"/>
  <c r="Z11" i="19"/>
  <c r="AD11" i="19"/>
  <c r="D38" i="16"/>
  <c r="T38" i="16" s="1"/>
  <c r="AD32" i="16"/>
  <c r="AE32" i="16" s="1"/>
  <c r="AF32" i="16" s="1"/>
  <c r="AG32" i="16" s="1"/>
  <c r="AH32" i="16" s="1"/>
  <c r="D44" i="34"/>
  <c r="V49" i="34" l="1"/>
  <c r="AG49" i="34"/>
  <c r="AC49" i="34"/>
  <c r="AJ40" i="34"/>
  <c r="AH49" i="34"/>
  <c r="Y49" i="34"/>
  <c r="U49" i="34"/>
  <c r="AJ60" i="34"/>
  <c r="AJ54" i="34"/>
  <c r="AJ52" i="34"/>
  <c r="X49" i="34"/>
  <c r="AE49" i="34"/>
  <c r="AB49" i="34"/>
  <c r="AD49" i="34"/>
  <c r="AJ59" i="34"/>
  <c r="AJ57" i="34"/>
  <c r="AJ53" i="34"/>
  <c r="T49" i="34"/>
  <c r="AJ51" i="34"/>
  <c r="AA49" i="34"/>
  <c r="AJ58" i="34"/>
  <c r="Z49" i="34"/>
  <c r="AF49" i="34"/>
  <c r="W49" i="34"/>
  <c r="AJ9" i="31"/>
  <c r="AF44" i="34"/>
  <c r="AG44" i="34"/>
  <c r="AD44" i="34"/>
  <c r="AH44" i="34"/>
  <c r="AE44" i="34"/>
  <c r="AJ9" i="2"/>
  <c r="AJ9" i="3"/>
  <c r="AJ11" i="19"/>
  <c r="AJ9" i="20"/>
  <c r="AE38" i="16"/>
  <c r="W38" i="16"/>
  <c r="AD38" i="16"/>
  <c r="Z38" i="16"/>
  <c r="AG38" i="16"/>
  <c r="AC38" i="16"/>
  <c r="Y38" i="16"/>
  <c r="U38" i="16"/>
  <c r="AA38" i="16"/>
  <c r="AH38" i="16"/>
  <c r="V38" i="16"/>
  <c r="AF38" i="16"/>
  <c r="AB38" i="16"/>
  <c r="X38" i="16"/>
  <c r="D21" i="14"/>
  <c r="AH21" i="14" s="1"/>
  <c r="AE15" i="14"/>
  <c r="AF15" i="14" s="1"/>
  <c r="AG15" i="14" s="1"/>
  <c r="AH15" i="14" s="1"/>
  <c r="AD15" i="14"/>
  <c r="AE3" i="14"/>
  <c r="AF3" i="14" s="1"/>
  <c r="AG3" i="14" s="1"/>
  <c r="AH3" i="14" s="1"/>
  <c r="AD3" i="14"/>
  <c r="D24" i="14"/>
  <c r="AF24" i="14" s="1"/>
  <c r="D23" i="14"/>
  <c r="AH23" i="14" s="1"/>
  <c r="D22" i="14"/>
  <c r="AF22" i="14" s="1"/>
  <c r="D20" i="14"/>
  <c r="AF20" i="14" s="1"/>
  <c r="D19" i="14"/>
  <c r="AH19" i="14" s="1"/>
  <c r="D18" i="14"/>
  <c r="AF18" i="14" s="1"/>
  <c r="D17" i="14"/>
  <c r="AA17" i="14" s="1"/>
  <c r="D16" i="14"/>
  <c r="AF16" i="14" s="1"/>
  <c r="AD3" i="13"/>
  <c r="AE3" i="13" s="1"/>
  <c r="AF3" i="13" s="1"/>
  <c r="AG3" i="13" s="1"/>
  <c r="AH3" i="13" s="1"/>
  <c r="D9" i="13"/>
  <c r="AC9" i="13" s="1"/>
  <c r="AI49" i="34" l="1"/>
  <c r="AJ38" i="16"/>
  <c r="V18" i="14"/>
  <c r="Y18" i="14"/>
  <c r="AD9" i="13"/>
  <c r="AH9" i="13"/>
  <c r="AC16" i="14"/>
  <c r="Y22" i="14"/>
  <c r="AE9" i="13"/>
  <c r="AC22" i="14"/>
  <c r="AF9" i="13"/>
  <c r="AD18" i="14"/>
  <c r="U20" i="14"/>
  <c r="U22" i="14"/>
  <c r="AD22" i="14"/>
  <c r="U24" i="14"/>
  <c r="AG9" i="13"/>
  <c r="U16" i="14"/>
  <c r="U18" i="14"/>
  <c r="AG18" i="14"/>
  <c r="AC20" i="14"/>
  <c r="V22" i="14"/>
  <c r="AG22" i="14"/>
  <c r="AC24" i="14"/>
  <c r="V16" i="14"/>
  <c r="AD16" i="14"/>
  <c r="Z18" i="14"/>
  <c r="AH18" i="14"/>
  <c r="V20" i="14"/>
  <c r="AD20" i="14"/>
  <c r="Z22" i="14"/>
  <c r="AH22" i="14"/>
  <c r="V24" i="14"/>
  <c r="AD24" i="14"/>
  <c r="Y16" i="14"/>
  <c r="AG16" i="14"/>
  <c r="AC18" i="14"/>
  <c r="Y20" i="14"/>
  <c r="AG20" i="14"/>
  <c r="Y24" i="14"/>
  <c r="AG24" i="14"/>
  <c r="Z16" i="14"/>
  <c r="AH16" i="14"/>
  <c r="Z20" i="14"/>
  <c r="AH20" i="14"/>
  <c r="Z24" i="14"/>
  <c r="AH24" i="14"/>
  <c r="AH17" i="14"/>
  <c r="AD17" i="14"/>
  <c r="Z17" i="14"/>
  <c r="V17" i="14"/>
  <c r="AF17" i="14"/>
  <c r="AB17" i="14"/>
  <c r="T17" i="14"/>
  <c r="AE17" i="14"/>
  <c r="AG17" i="14"/>
  <c r="AC17" i="14"/>
  <c r="Y17" i="14"/>
  <c r="U17" i="14"/>
  <c r="X17" i="14"/>
  <c r="W17" i="14"/>
  <c r="W19" i="14"/>
  <c r="AA19" i="14"/>
  <c r="W21" i="14"/>
  <c r="AA21" i="14"/>
  <c r="AE21" i="14"/>
  <c r="T19" i="14"/>
  <c r="AB19" i="14"/>
  <c r="AF19" i="14"/>
  <c r="T23" i="14"/>
  <c r="AB23" i="14"/>
  <c r="AF23" i="14"/>
  <c r="W16" i="14"/>
  <c r="AA16" i="14"/>
  <c r="AE16" i="14"/>
  <c r="W18" i="14"/>
  <c r="AA18" i="14"/>
  <c r="AE18" i="14"/>
  <c r="U19" i="14"/>
  <c r="Y19" i="14"/>
  <c r="AC19" i="14"/>
  <c r="AG19" i="14"/>
  <c r="W24" i="14"/>
  <c r="AA24" i="14"/>
  <c r="AE24" i="14"/>
  <c r="AE19" i="14"/>
  <c r="W23" i="14"/>
  <c r="AA23" i="14"/>
  <c r="AE23" i="14"/>
  <c r="X19" i="14"/>
  <c r="T21" i="14"/>
  <c r="X21" i="14"/>
  <c r="AB21" i="14"/>
  <c r="AF21" i="14"/>
  <c r="X23" i="14"/>
  <c r="W20" i="14"/>
  <c r="AA20" i="14"/>
  <c r="AE20" i="14"/>
  <c r="U21" i="14"/>
  <c r="Y21" i="14"/>
  <c r="AC21" i="14"/>
  <c r="AG21" i="14"/>
  <c r="W22" i="14"/>
  <c r="AA22" i="14"/>
  <c r="AE22" i="14"/>
  <c r="U23" i="14"/>
  <c r="Y23" i="14"/>
  <c r="AC23" i="14"/>
  <c r="AG23" i="14"/>
  <c r="T16" i="14"/>
  <c r="X16" i="14"/>
  <c r="AB16" i="14"/>
  <c r="T18" i="14"/>
  <c r="X18" i="14"/>
  <c r="AB18" i="14"/>
  <c r="V19" i="14"/>
  <c r="Z19" i="14"/>
  <c r="AD19" i="14"/>
  <c r="T20" i="14"/>
  <c r="X20" i="14"/>
  <c r="AB20" i="14"/>
  <c r="V21" i="14"/>
  <c r="Z21" i="14"/>
  <c r="AD21" i="14"/>
  <c r="T22" i="14"/>
  <c r="X22" i="14"/>
  <c r="AB22" i="14"/>
  <c r="V23" i="14"/>
  <c r="Z23" i="14"/>
  <c r="AD23" i="14"/>
  <c r="T24" i="14"/>
  <c r="X24" i="14"/>
  <c r="AB24" i="14"/>
  <c r="W9" i="13"/>
  <c r="AA9" i="13"/>
  <c r="V9" i="13"/>
  <c r="T9" i="13"/>
  <c r="X9" i="13"/>
  <c r="AB9" i="13"/>
  <c r="Z9" i="13"/>
  <c r="U9" i="13"/>
  <c r="Y9" i="13"/>
  <c r="D11" i="12"/>
  <c r="AG11" i="12" s="1"/>
  <c r="AE3" i="12"/>
  <c r="AF3" i="12" s="1"/>
  <c r="AG3" i="12" s="1"/>
  <c r="AH3" i="12" s="1"/>
  <c r="AD3" i="12"/>
  <c r="AJ16" i="14" l="1"/>
  <c r="AJ17" i="14"/>
  <c r="AJ23" i="14"/>
  <c r="AJ9" i="13"/>
  <c r="AJ22" i="14"/>
  <c r="AJ18" i="14"/>
  <c r="AJ24" i="14"/>
  <c r="AJ20" i="14"/>
  <c r="AJ21" i="14"/>
  <c r="AJ19" i="14"/>
  <c r="AC14" i="14"/>
  <c r="AA14" i="14"/>
  <c r="Y14" i="14"/>
  <c r="Z14" i="14"/>
  <c r="U14" i="14"/>
  <c r="AG14" i="14"/>
  <c r="AF14" i="14"/>
  <c r="AH14" i="14"/>
  <c r="T14" i="14"/>
  <c r="W14" i="14"/>
  <c r="AD14" i="14"/>
  <c r="AB14" i="14"/>
  <c r="X14" i="14"/>
  <c r="AE14" i="14"/>
  <c r="V14" i="14"/>
  <c r="AD11" i="12"/>
  <c r="AH11" i="12"/>
  <c r="AE11" i="12"/>
  <c r="U11" i="12"/>
  <c r="AF11" i="12"/>
  <c r="Y11" i="12"/>
  <c r="AC11" i="12"/>
  <c r="V11" i="12"/>
  <c r="AA11" i="12"/>
  <c r="W11" i="12"/>
  <c r="X11" i="12"/>
  <c r="AB11" i="12"/>
  <c r="T11" i="12"/>
  <c r="Z11" i="12"/>
  <c r="AI14" i="14" l="1"/>
  <c r="AJ11" i="12"/>
  <c r="D21" i="11" l="1"/>
  <c r="D24" i="11"/>
  <c r="AE24" i="11" s="1"/>
  <c r="D23" i="11"/>
  <c r="AF23" i="11" s="1"/>
  <c r="D22" i="11"/>
  <c r="D20" i="11"/>
  <c r="AF20" i="11" s="1"/>
  <c r="D19" i="11"/>
  <c r="AF19" i="11" s="1"/>
  <c r="D18" i="11"/>
  <c r="AF18" i="11" s="1"/>
  <c r="D17" i="11"/>
  <c r="D16" i="11"/>
  <c r="AF16" i="11" s="1"/>
  <c r="AE15" i="11"/>
  <c r="AF15" i="11" s="1"/>
  <c r="AG15" i="11" s="1"/>
  <c r="AH15" i="11" s="1"/>
  <c r="AD15" i="11"/>
  <c r="AD3" i="11"/>
  <c r="AE3" i="11" s="1"/>
  <c r="AF3" i="11" s="1"/>
  <c r="AG3" i="11" s="1"/>
  <c r="AH3" i="11" s="1"/>
  <c r="U20" i="11" l="1"/>
  <c r="Y18" i="11"/>
  <c r="Y20" i="11"/>
  <c r="AF21" i="11"/>
  <c r="AB21" i="11"/>
  <c r="X21" i="11"/>
  <c r="T21" i="11"/>
  <c r="AE21" i="11"/>
  <c r="AA21" i="11"/>
  <c r="W21" i="11"/>
  <c r="AH21" i="11"/>
  <c r="AD21" i="11"/>
  <c r="Z21" i="11"/>
  <c r="V21" i="11"/>
  <c r="AG21" i="11"/>
  <c r="AC21" i="11"/>
  <c r="Y21" i="11"/>
  <c r="U21" i="11"/>
  <c r="AC18" i="11"/>
  <c r="AC20" i="11"/>
  <c r="U18" i="11"/>
  <c r="AD20" i="11"/>
  <c r="Y16" i="11"/>
  <c r="AD18" i="11"/>
  <c r="AG16" i="11"/>
  <c r="V18" i="11"/>
  <c r="AG18" i="11"/>
  <c r="V20" i="11"/>
  <c r="AG20" i="11"/>
  <c r="Z16" i="11"/>
  <c r="AH16" i="11"/>
  <c r="T19" i="11"/>
  <c r="U16" i="11"/>
  <c r="AC16" i="11"/>
  <c r="AB19" i="11"/>
  <c r="U23" i="11"/>
  <c r="V16" i="11"/>
  <c r="AD16" i="11"/>
  <c r="Z18" i="11"/>
  <c r="AH18" i="11"/>
  <c r="Z20" i="11"/>
  <c r="AH20" i="11"/>
  <c r="Y23" i="11"/>
  <c r="AC23" i="11"/>
  <c r="AG23" i="11"/>
  <c r="AH22" i="11"/>
  <c r="AD22" i="11"/>
  <c r="Z22" i="11"/>
  <c r="V22" i="11"/>
  <c r="AG22" i="11"/>
  <c r="AC22" i="11"/>
  <c r="Y22" i="11"/>
  <c r="U22" i="11"/>
  <c r="AF22" i="11"/>
  <c r="AB22" i="11"/>
  <c r="X22" i="11"/>
  <c r="T22" i="11"/>
  <c r="AH17" i="11"/>
  <c r="AD17" i="11"/>
  <c r="Z17" i="11"/>
  <c r="V17" i="11"/>
  <c r="AG17" i="11"/>
  <c r="AC17" i="11"/>
  <c r="Y17" i="11"/>
  <c r="U17" i="11"/>
  <c r="AE22" i="11"/>
  <c r="T17" i="11"/>
  <c r="AB17" i="11"/>
  <c r="W19" i="11"/>
  <c r="AE19" i="11"/>
  <c r="W17" i="11"/>
  <c r="AE17" i="11"/>
  <c r="X19" i="11"/>
  <c r="W22" i="11"/>
  <c r="AA17" i="11"/>
  <c r="X17" i="11"/>
  <c r="AF17" i="11"/>
  <c r="AH19" i="11"/>
  <c r="AD19" i="11"/>
  <c r="Z19" i="11"/>
  <c r="V19" i="11"/>
  <c r="AG19" i="11"/>
  <c r="AC19" i="11"/>
  <c r="Y19" i="11"/>
  <c r="U19" i="11"/>
  <c r="AA19" i="11"/>
  <c r="AA22" i="11"/>
  <c r="W23" i="11"/>
  <c r="AA23" i="11"/>
  <c r="AE23" i="11"/>
  <c r="U24" i="11"/>
  <c r="Y24" i="11"/>
  <c r="AC24" i="11"/>
  <c r="AG24" i="11"/>
  <c r="V23" i="11"/>
  <c r="Z23" i="11"/>
  <c r="AD23" i="11"/>
  <c r="AH23" i="11"/>
  <c r="T24" i="11"/>
  <c r="X24" i="11"/>
  <c r="AB24" i="11"/>
  <c r="AF24" i="11"/>
  <c r="W16" i="11"/>
  <c r="AA16" i="11"/>
  <c r="AE16" i="11"/>
  <c r="W18" i="11"/>
  <c r="AA18" i="11"/>
  <c r="AE18" i="11"/>
  <c r="W20" i="11"/>
  <c r="AA20" i="11"/>
  <c r="AE20" i="11"/>
  <c r="T16" i="11"/>
  <c r="X16" i="11"/>
  <c r="AB16" i="11"/>
  <c r="T18" i="11"/>
  <c r="X18" i="11"/>
  <c r="AB18" i="11"/>
  <c r="T20" i="11"/>
  <c r="X20" i="11"/>
  <c r="AB20" i="11"/>
  <c r="T23" i="11"/>
  <c r="X23" i="11"/>
  <c r="AB23" i="11"/>
  <c r="V24" i="11"/>
  <c r="Z24" i="11"/>
  <c r="AD24" i="11"/>
  <c r="AH24" i="11"/>
  <c r="W24" i="11"/>
  <c r="AA24" i="11"/>
  <c r="AJ16" i="11" l="1"/>
  <c r="AJ21" i="11"/>
  <c r="AJ19" i="11"/>
  <c r="AF14" i="11"/>
  <c r="AH14" i="11"/>
  <c r="Z14" i="11"/>
  <c r="AJ18" i="11"/>
  <c r="W14" i="11"/>
  <c r="V14" i="11"/>
  <c r="AD14" i="11"/>
  <c r="AJ24" i="11"/>
  <c r="AJ20" i="11"/>
  <c r="AB14" i="11"/>
  <c r="AC14" i="11"/>
  <c r="Y14" i="11"/>
  <c r="AJ23" i="11"/>
  <c r="X14" i="11"/>
  <c r="AE14" i="11"/>
  <c r="AJ17" i="11"/>
  <c r="AG14" i="11"/>
  <c r="T14" i="11"/>
  <c r="AA14" i="11"/>
  <c r="U14" i="11"/>
  <c r="AJ22" i="11"/>
  <c r="D40" i="26"/>
  <c r="AF40" i="26" l="1"/>
  <c r="AG40" i="26"/>
  <c r="AD40" i="26"/>
  <c r="AH40" i="26"/>
  <c r="AE40" i="26"/>
  <c r="AI14" i="11"/>
  <c r="X40" i="26"/>
  <c r="W40" i="26"/>
  <c r="T40" i="26"/>
  <c r="D38" i="26"/>
  <c r="D44" i="26"/>
  <c r="D42" i="26"/>
  <c r="D41" i="26"/>
  <c r="D39" i="26"/>
  <c r="X41" i="26" l="1"/>
  <c r="AH41" i="26"/>
  <c r="AG41" i="26"/>
  <c r="AE41" i="26"/>
  <c r="AD41" i="26"/>
  <c r="AF41" i="26"/>
  <c r="AH42" i="26"/>
  <c r="AG42" i="26"/>
  <c r="AD42" i="26"/>
  <c r="AE42" i="26"/>
  <c r="AF42" i="26"/>
  <c r="X44" i="26"/>
  <c r="AG44" i="26"/>
  <c r="AD44" i="26"/>
  <c r="AH44" i="26"/>
  <c r="AE44" i="26"/>
  <c r="AF44" i="26"/>
  <c r="AF39" i="26"/>
  <c r="AG39" i="26"/>
  <c r="AH39" i="26"/>
  <c r="AD39" i="26"/>
  <c r="AE39" i="26"/>
  <c r="AF38" i="26"/>
  <c r="AH38" i="26"/>
  <c r="AG38" i="26"/>
  <c r="AD38" i="26"/>
  <c r="AE38" i="26"/>
  <c r="U40" i="26"/>
  <c r="Y38" i="26"/>
  <c r="Y45" i="26"/>
  <c r="Y44" i="26"/>
  <c r="Y42" i="26"/>
  <c r="Y41" i="26"/>
  <c r="U38" i="26"/>
  <c r="V38" i="26"/>
  <c r="W38" i="26"/>
  <c r="X38" i="26"/>
  <c r="Z38" i="26"/>
  <c r="AA38" i="26"/>
  <c r="AB38" i="26"/>
  <c r="AC38" i="26"/>
  <c r="U39" i="26"/>
  <c r="V39" i="26"/>
  <c r="W39" i="26"/>
  <c r="X39" i="26"/>
  <c r="Y39" i="26"/>
  <c r="Z39" i="26"/>
  <c r="AA39" i="26"/>
  <c r="AB39" i="26"/>
  <c r="AC39" i="26"/>
  <c r="V40" i="26"/>
  <c r="Y40" i="26"/>
  <c r="Z40" i="26"/>
  <c r="AA40" i="26"/>
  <c r="AB40" i="26"/>
  <c r="AC40" i="26"/>
  <c r="U41" i="26"/>
  <c r="V41" i="26"/>
  <c r="W41" i="26"/>
  <c r="Z41" i="26"/>
  <c r="AA41" i="26"/>
  <c r="AB41" i="26"/>
  <c r="AC41" i="26"/>
  <c r="U42" i="26"/>
  <c r="V42" i="26"/>
  <c r="W42" i="26"/>
  <c r="X42" i="26"/>
  <c r="Z42" i="26"/>
  <c r="AA42" i="26"/>
  <c r="AB42" i="26"/>
  <c r="AC42" i="26"/>
  <c r="U44" i="26"/>
  <c r="V44" i="26"/>
  <c r="W44" i="26"/>
  <c r="Z44" i="26"/>
  <c r="AA44" i="26"/>
  <c r="AB44" i="26"/>
  <c r="AC44" i="26"/>
  <c r="U45" i="26"/>
  <c r="V45" i="26"/>
  <c r="W45" i="26"/>
  <c r="X45" i="26"/>
  <c r="Z45" i="26"/>
  <c r="AA45" i="26"/>
  <c r="AB45" i="26"/>
  <c r="AC45" i="26"/>
  <c r="T45" i="26"/>
  <c r="T44" i="26"/>
  <c r="T42" i="26"/>
  <c r="T41" i="26"/>
  <c r="T39" i="26"/>
  <c r="T38" i="26"/>
  <c r="D46" i="34"/>
  <c r="D38" i="34"/>
  <c r="U38" i="34" s="1"/>
  <c r="V38" i="34" l="1"/>
  <c r="AE38" i="34"/>
  <c r="AG38" i="34"/>
  <c r="AH38" i="34"/>
  <c r="AD38" i="34"/>
  <c r="AF38" i="34"/>
  <c r="AD46" i="34"/>
  <c r="AH46" i="34"/>
  <c r="AE46" i="34"/>
  <c r="AF46" i="34"/>
  <c r="AG46" i="34"/>
  <c r="T38" i="34"/>
  <c r="AA38" i="34"/>
  <c r="X38" i="34"/>
  <c r="AB38" i="34"/>
  <c r="Y38" i="34"/>
  <c r="AC38" i="34"/>
  <c r="Z38" i="34"/>
  <c r="W38" i="34"/>
  <c r="AJ38" i="34" l="1"/>
  <c r="D43" i="34"/>
  <c r="D39" i="34"/>
  <c r="T39" i="34" s="1"/>
  <c r="D22" i="28"/>
  <c r="D23" i="28"/>
  <c r="D24" i="28"/>
  <c r="D25" i="28"/>
  <c r="D26" i="28"/>
  <c r="D29" i="28"/>
  <c r="D30" i="28"/>
  <c r="D37" i="34"/>
  <c r="D36" i="34"/>
  <c r="D45" i="34"/>
  <c r="Z46" i="34"/>
  <c r="D11" i="30"/>
  <c r="D11" i="14"/>
  <c r="D33" i="16"/>
  <c r="D35" i="16"/>
  <c r="D36" i="16"/>
  <c r="D37" i="16"/>
  <c r="D39" i="16"/>
  <c r="D40" i="16"/>
  <c r="D41" i="16"/>
  <c r="D34" i="16"/>
  <c r="AA30" i="28" l="1"/>
  <c r="AD30" i="28"/>
  <c r="AH30" i="28"/>
  <c r="AE30" i="28"/>
  <c r="AF30" i="28"/>
  <c r="AG30" i="28"/>
  <c r="X24" i="28"/>
  <c r="AF24" i="28"/>
  <c r="AG24" i="28"/>
  <c r="AD24" i="28"/>
  <c r="AH24" i="28"/>
  <c r="AE24" i="28"/>
  <c r="V26" i="28"/>
  <c r="AD26" i="28"/>
  <c r="AH26" i="28"/>
  <c r="AE26" i="28"/>
  <c r="AF26" i="28"/>
  <c r="AG26" i="28"/>
  <c r="W25" i="28"/>
  <c r="AE25" i="28"/>
  <c r="AF25" i="28"/>
  <c r="AG25" i="28"/>
  <c r="AD25" i="28"/>
  <c r="AH25" i="28"/>
  <c r="AB29" i="28"/>
  <c r="AE29" i="28"/>
  <c r="AF29" i="28"/>
  <c r="AG29" i="28"/>
  <c r="AD29" i="28"/>
  <c r="AH29" i="28"/>
  <c r="Y23" i="28"/>
  <c r="AG23" i="28"/>
  <c r="AD23" i="28"/>
  <c r="AH23" i="28"/>
  <c r="AE23" i="28"/>
  <c r="AF23" i="28"/>
  <c r="AB22" i="28"/>
  <c r="AD22" i="28"/>
  <c r="AH22" i="28"/>
  <c r="AE22" i="28"/>
  <c r="AF22" i="28"/>
  <c r="AG22" i="28"/>
  <c r="AG11" i="30"/>
  <c r="AF11" i="30"/>
  <c r="AD11" i="30"/>
  <c r="AH11" i="30"/>
  <c r="AE11" i="30"/>
  <c r="T36" i="34"/>
  <c r="AD36" i="34"/>
  <c r="AH36" i="34"/>
  <c r="AE36" i="34"/>
  <c r="AF36" i="34"/>
  <c r="AG36" i="34"/>
  <c r="V39" i="34"/>
  <c r="AD39" i="34"/>
  <c r="AH39" i="34"/>
  <c r="AE39" i="34"/>
  <c r="AF39" i="34"/>
  <c r="AG39" i="34"/>
  <c r="U45" i="34"/>
  <c r="AE45" i="34"/>
  <c r="AF45" i="34"/>
  <c r="AG45" i="34"/>
  <c r="AH45" i="34"/>
  <c r="AD45" i="34"/>
  <c r="AG37" i="34"/>
  <c r="AD37" i="34"/>
  <c r="AH37" i="34"/>
  <c r="AE37" i="34"/>
  <c r="AF37" i="34"/>
  <c r="V43" i="34"/>
  <c r="AG43" i="34"/>
  <c r="AD43" i="34"/>
  <c r="AH43" i="34"/>
  <c r="AE43" i="34"/>
  <c r="AF43" i="34"/>
  <c r="AG34" i="16"/>
  <c r="AD34" i="16"/>
  <c r="AH34" i="16"/>
  <c r="AE34" i="16"/>
  <c r="AF34" i="16"/>
  <c r="AD37" i="16"/>
  <c r="AH37" i="16"/>
  <c r="AE37" i="16"/>
  <c r="AF37" i="16"/>
  <c r="AG37" i="16"/>
  <c r="AC41" i="16"/>
  <c r="AE41" i="16"/>
  <c r="AF41" i="16"/>
  <c r="AG41" i="16"/>
  <c r="AD41" i="16"/>
  <c r="AH41" i="16"/>
  <c r="AE36" i="16"/>
  <c r="AF36" i="16"/>
  <c r="AG36" i="16"/>
  <c r="AD36" i="16"/>
  <c r="AH36" i="16"/>
  <c r="Y40" i="16"/>
  <c r="AF40" i="16"/>
  <c r="AG40" i="16"/>
  <c r="AD40" i="16"/>
  <c r="AH40" i="16"/>
  <c r="AE40" i="16"/>
  <c r="AF35" i="16"/>
  <c r="AG35" i="16"/>
  <c r="AD35" i="16"/>
  <c r="AH35" i="16"/>
  <c r="AE35" i="16"/>
  <c r="AC39" i="16"/>
  <c r="AG39" i="16"/>
  <c r="AD39" i="16"/>
  <c r="AH39" i="16"/>
  <c r="AE39" i="16"/>
  <c r="AF39" i="16"/>
  <c r="AB33" i="16"/>
  <c r="AD33" i="16"/>
  <c r="AH33" i="16"/>
  <c r="AE33" i="16"/>
  <c r="AF33" i="16"/>
  <c r="AG33" i="16"/>
  <c r="AF11" i="14"/>
  <c r="AG11" i="14"/>
  <c r="AE11" i="14"/>
  <c r="AH11" i="14"/>
  <c r="AD11" i="14"/>
  <c r="Z37" i="34"/>
  <c r="T37" i="34"/>
  <c r="T22" i="28"/>
  <c r="T23" i="28"/>
  <c r="T24" i="28"/>
  <c r="T25" i="28"/>
  <c r="T26" i="28"/>
  <c r="T29" i="28"/>
  <c r="Y37" i="34"/>
  <c r="X30" i="28"/>
  <c r="X25" i="28"/>
  <c r="Z45" i="34"/>
  <c r="V25" i="28"/>
  <c r="AC23" i="28"/>
  <c r="Y45" i="34"/>
  <c r="V45" i="34"/>
  <c r="X23" i="28"/>
  <c r="V23" i="28"/>
  <c r="W30" i="28"/>
  <c r="T45" i="34"/>
  <c r="AA25" i="28"/>
  <c r="AC24" i="28"/>
  <c r="U23" i="28"/>
  <c r="AA43" i="34"/>
  <c r="Y43" i="34"/>
  <c r="X43" i="34"/>
  <c r="W37" i="34"/>
  <c r="AC26" i="28"/>
  <c r="AB24" i="28"/>
  <c r="AA22" i="28"/>
  <c r="AB45" i="34"/>
  <c r="AA26" i="28"/>
  <c r="Y24" i="28"/>
  <c r="Y22" i="28"/>
  <c r="AB43" i="34"/>
  <c r="Z43" i="34"/>
  <c r="T30" i="28"/>
  <c r="W43" i="34"/>
  <c r="AA45" i="34"/>
  <c r="U43" i="34"/>
  <c r="AB30" i="28"/>
  <c r="U26" i="28"/>
  <c r="W24" i="28"/>
  <c r="AC43" i="34"/>
  <c r="T43" i="34"/>
  <c r="Z30" i="28"/>
  <c r="AB25" i="28"/>
  <c r="U24" i="28"/>
  <c r="AC39" i="34"/>
  <c r="X39" i="34"/>
  <c r="U39" i="34"/>
  <c r="AA39" i="34"/>
  <c r="Z39" i="34"/>
  <c r="Y39" i="34"/>
  <c r="W39" i="34"/>
  <c r="AB39" i="34"/>
  <c r="X22" i="28"/>
  <c r="AA29" i="28"/>
  <c r="X46" i="34"/>
  <c r="X37" i="34"/>
  <c r="Z36" i="34"/>
  <c r="Y30" i="28"/>
  <c r="Z29" i="28"/>
  <c r="AB26" i="28"/>
  <c r="AC25" i="28"/>
  <c r="U25" i="28"/>
  <c r="V24" i="28"/>
  <c r="W23" i="28"/>
  <c r="W22" i="28"/>
  <c r="U22" i="28"/>
  <c r="V22" i="28"/>
  <c r="AA46" i="34"/>
  <c r="Y46" i="34"/>
  <c r="AA36" i="34"/>
  <c r="W46" i="34"/>
  <c r="Y29" i="28"/>
  <c r="X36" i="34"/>
  <c r="X29" i="28"/>
  <c r="Z26" i="28"/>
  <c r="AC46" i="34"/>
  <c r="U46" i="34"/>
  <c r="X45" i="34"/>
  <c r="AC37" i="34"/>
  <c r="U37" i="34"/>
  <c r="W36" i="34"/>
  <c r="V30" i="28"/>
  <c r="W29" i="28"/>
  <c r="Y26" i="28"/>
  <c r="Z25" i="28"/>
  <c r="AA24" i="28"/>
  <c r="AB23" i="28"/>
  <c r="AC22" i="28"/>
  <c r="Z22" i="28"/>
  <c r="Y36" i="34"/>
  <c r="V46" i="34"/>
  <c r="V37" i="34"/>
  <c r="AB46" i="34"/>
  <c r="T46" i="34"/>
  <c r="W45" i="34"/>
  <c r="AB37" i="34"/>
  <c r="V36" i="34"/>
  <c r="AC30" i="28"/>
  <c r="U30" i="28"/>
  <c r="V29" i="28"/>
  <c r="X26" i="28"/>
  <c r="Y25" i="28"/>
  <c r="Z24" i="28"/>
  <c r="AA23" i="28"/>
  <c r="Z23" i="28"/>
  <c r="AA37" i="34"/>
  <c r="AC36" i="34"/>
  <c r="U36" i="34"/>
  <c r="AC29" i="28"/>
  <c r="U29" i="28"/>
  <c r="W26" i="28"/>
  <c r="AC45" i="34"/>
  <c r="AB36" i="34"/>
  <c r="AA34" i="16"/>
  <c r="T34" i="16"/>
  <c r="Y37" i="16"/>
  <c r="AB37" i="16"/>
  <c r="X37" i="16"/>
  <c r="V37" i="16"/>
  <c r="Z37" i="16"/>
  <c r="T37" i="16"/>
  <c r="AA37" i="16"/>
  <c r="V40" i="16"/>
  <c r="AA40" i="16"/>
  <c r="T33" i="16"/>
  <c r="V41" i="16"/>
  <c r="AA41" i="16"/>
  <c r="AB41" i="16"/>
  <c r="W41" i="16"/>
  <c r="T41" i="16"/>
  <c r="U41" i="16"/>
  <c r="Z41" i="16"/>
  <c r="X41" i="16"/>
  <c r="Y41" i="16"/>
  <c r="AC36" i="16"/>
  <c r="T36" i="16"/>
  <c r="U37" i="16"/>
  <c r="AC37" i="16"/>
  <c r="W40" i="16"/>
  <c r="AB40" i="16"/>
  <c r="Z35" i="16"/>
  <c r="T35" i="16"/>
  <c r="W37" i="16"/>
  <c r="T40" i="16"/>
  <c r="X40" i="16"/>
  <c r="AC40" i="16"/>
  <c r="U40" i="16"/>
  <c r="Z40" i="16"/>
  <c r="Y34" i="16"/>
  <c r="V39" i="16"/>
  <c r="Y33" i="16"/>
  <c r="V33" i="16"/>
  <c r="X34" i="16"/>
  <c r="AC34" i="16"/>
  <c r="Z36" i="16"/>
  <c r="Z39" i="16"/>
  <c r="AA39" i="16"/>
  <c r="Z33" i="16"/>
  <c r="U34" i="16"/>
  <c r="Z34" i="16"/>
  <c r="U33" i="16"/>
  <c r="AC33" i="16"/>
  <c r="V34" i="16"/>
  <c r="AB34" i="16"/>
  <c r="V36" i="16"/>
  <c r="W39" i="16"/>
  <c r="W35" i="16"/>
  <c r="AA35" i="16"/>
  <c r="W36" i="16"/>
  <c r="AA36" i="16"/>
  <c r="U35" i="16"/>
  <c r="Y35" i="16"/>
  <c r="AC35" i="16"/>
  <c r="X36" i="16"/>
  <c r="AB36" i="16"/>
  <c r="X39" i="16"/>
  <c r="AB39" i="16"/>
  <c r="X35" i="16"/>
  <c r="AB35" i="16"/>
  <c r="W33" i="16"/>
  <c r="AA33" i="16"/>
  <c r="X33" i="16"/>
  <c r="W34" i="16"/>
  <c r="V35" i="16"/>
  <c r="U36" i="16"/>
  <c r="Y36" i="16"/>
  <c r="U39" i="16"/>
  <c r="Y39" i="16"/>
  <c r="D24" i="25"/>
  <c r="D23" i="25"/>
  <c r="D22" i="25"/>
  <c r="D21" i="25"/>
  <c r="D20" i="25"/>
  <c r="D18" i="25"/>
  <c r="D17" i="25"/>
  <c r="D16" i="25"/>
  <c r="D11" i="29"/>
  <c r="AH11" i="29" s="1"/>
  <c r="AE20" i="28" l="1"/>
  <c r="AJ25" i="28"/>
  <c r="AJ24" i="28"/>
  <c r="AH20" i="28"/>
  <c r="AJ29" i="28"/>
  <c r="AJ23" i="28"/>
  <c r="AJ30" i="28"/>
  <c r="AJ26" i="28"/>
  <c r="AJ22" i="28"/>
  <c r="AG20" i="28"/>
  <c r="AD20" i="28"/>
  <c r="AF20" i="28"/>
  <c r="AE11" i="29"/>
  <c r="AF11" i="29"/>
  <c r="AG11" i="29"/>
  <c r="AD11" i="29"/>
  <c r="AA17" i="25"/>
  <c r="AE17" i="25"/>
  <c r="AF17" i="25"/>
  <c r="AG17" i="25"/>
  <c r="AH17" i="25"/>
  <c r="AD17" i="25"/>
  <c r="X18" i="25"/>
  <c r="AD18" i="25"/>
  <c r="AH18" i="25"/>
  <c r="AE18" i="25"/>
  <c r="AF18" i="25"/>
  <c r="AG18" i="25"/>
  <c r="AB23" i="25"/>
  <c r="AG23" i="25"/>
  <c r="AD23" i="25"/>
  <c r="AH23" i="25"/>
  <c r="AE23" i="25"/>
  <c r="AF23" i="25"/>
  <c r="W24" i="25"/>
  <c r="AF24" i="25"/>
  <c r="AG24" i="25"/>
  <c r="AD24" i="25"/>
  <c r="AH24" i="25"/>
  <c r="AE24" i="25"/>
  <c r="AA20" i="25"/>
  <c r="AF20" i="25"/>
  <c r="AG20" i="25"/>
  <c r="AD20" i="25"/>
  <c r="AH20" i="25"/>
  <c r="AE20" i="25"/>
  <c r="Z16" i="25"/>
  <c r="AF16" i="25"/>
  <c r="AG16" i="25"/>
  <c r="AD16" i="25"/>
  <c r="AH16" i="25"/>
  <c r="AE16" i="25"/>
  <c r="V21" i="25"/>
  <c r="AE21" i="25"/>
  <c r="AF21" i="25"/>
  <c r="AG21" i="25"/>
  <c r="AH21" i="25"/>
  <c r="AD21" i="25"/>
  <c r="Y22" i="25"/>
  <c r="AD22" i="25"/>
  <c r="AH22" i="25"/>
  <c r="AE22" i="25"/>
  <c r="AF22" i="25"/>
  <c r="AG22" i="25"/>
  <c r="AJ46" i="34"/>
  <c r="AE34" i="34"/>
  <c r="AG31" i="16"/>
  <c r="AD31" i="16"/>
  <c r="AH34" i="34"/>
  <c r="AJ43" i="34"/>
  <c r="AJ37" i="34"/>
  <c r="AG34" i="34"/>
  <c r="AD34" i="34"/>
  <c r="AJ39" i="34"/>
  <c r="AJ45" i="34"/>
  <c r="AF34" i="34"/>
  <c r="AJ36" i="34"/>
  <c r="AE31" i="16"/>
  <c r="AH31" i="16"/>
  <c r="AJ37" i="16"/>
  <c r="AJ36" i="16"/>
  <c r="AF31" i="16"/>
  <c r="AJ39" i="16"/>
  <c r="AJ34" i="16"/>
  <c r="AJ33" i="16"/>
  <c r="AJ40" i="16"/>
  <c r="AJ35" i="16"/>
  <c r="AJ41" i="16"/>
  <c r="AB31" i="16"/>
  <c r="U31" i="16"/>
  <c r="AC31" i="16"/>
  <c r="AA31" i="16"/>
  <c r="T31" i="16"/>
  <c r="X31" i="16"/>
  <c r="U17" i="25"/>
  <c r="V17" i="25"/>
  <c r="W17" i="25"/>
  <c r="X17" i="25"/>
  <c r="Z17" i="25"/>
  <c r="Y17" i="25"/>
  <c r="U20" i="25"/>
  <c r="W21" i="25"/>
  <c r="AC20" i="25"/>
  <c r="T20" i="25"/>
  <c r="V20" i="25"/>
  <c r="X21" i="25"/>
  <c r="AB17" i="25"/>
  <c r="W20" i="25"/>
  <c r="Y21" i="25"/>
  <c r="T17" i="25"/>
  <c r="AC17" i="25"/>
  <c r="X20" i="25"/>
  <c r="Z21" i="25"/>
  <c r="Z20" i="25"/>
  <c r="Y18" i="25"/>
  <c r="AB20" i="25"/>
  <c r="AA22" i="25"/>
  <c r="V23" i="25"/>
  <c r="Y24" i="25"/>
  <c r="AA24" i="25"/>
  <c r="Y16" i="25"/>
  <c r="AA16" i="25"/>
  <c r="U23" i="25"/>
  <c r="T22" i="25"/>
  <c r="AB22" i="25"/>
  <c r="W23" i="25"/>
  <c r="Z24" i="25"/>
  <c r="V16" i="25"/>
  <c r="U22" i="25"/>
  <c r="AC22" i="25"/>
  <c r="W16" i="25"/>
  <c r="AA21" i="25"/>
  <c r="V22" i="25"/>
  <c r="Y23" i="25"/>
  <c r="T24" i="25"/>
  <c r="AB24" i="25"/>
  <c r="Z22" i="25"/>
  <c r="AC23" i="25"/>
  <c r="X24" i="25"/>
  <c r="T16" i="25"/>
  <c r="AB16" i="25"/>
  <c r="Z18" i="25"/>
  <c r="U16" i="25"/>
  <c r="AC16" i="25"/>
  <c r="AA18" i="25"/>
  <c r="T18" i="25"/>
  <c r="AB18" i="25"/>
  <c r="X23" i="25"/>
  <c r="U18" i="25"/>
  <c r="AC18" i="25"/>
  <c r="X16" i="25"/>
  <c r="V18" i="25"/>
  <c r="Y20" i="25"/>
  <c r="T21" i="25"/>
  <c r="AB21" i="25"/>
  <c r="W22" i="25"/>
  <c r="Z23" i="25"/>
  <c r="U24" i="25"/>
  <c r="AC24" i="25"/>
  <c r="AA23" i="25"/>
  <c r="V24" i="25"/>
  <c r="W18" i="25"/>
  <c r="U21" i="25"/>
  <c r="AC21" i="25"/>
  <c r="X22" i="25"/>
  <c r="T23" i="25"/>
  <c r="AE14" i="25" l="1"/>
  <c r="AF14" i="25"/>
  <c r="AH14" i="25"/>
  <c r="AD14" i="25"/>
  <c r="AG14" i="25"/>
  <c r="Z14" i="25"/>
  <c r="AA14" i="25"/>
  <c r="X14" i="25"/>
  <c r="Y14" i="25"/>
  <c r="AC14" i="25"/>
  <c r="V14" i="25"/>
  <c r="U14" i="25"/>
  <c r="AB14" i="25"/>
  <c r="T14" i="25"/>
  <c r="W14" i="25"/>
  <c r="D11" i="31" l="1"/>
  <c r="D31" i="34"/>
  <c r="AD11" i="31" l="1"/>
  <c r="AH11" i="31"/>
  <c r="AE11" i="31"/>
  <c r="AG11" i="31"/>
  <c r="AF11" i="31"/>
  <c r="AC31" i="34"/>
  <c r="AB31" i="34"/>
  <c r="AA31" i="34"/>
  <c r="Z31" i="34"/>
  <c r="Y31" i="34"/>
  <c r="X31" i="34"/>
  <c r="W31" i="34"/>
  <c r="V31" i="34"/>
  <c r="U31" i="34"/>
  <c r="T31" i="34"/>
  <c r="D30" i="34"/>
  <c r="D29" i="34"/>
  <c r="D27" i="34"/>
  <c r="D26" i="34"/>
  <c r="D25" i="34"/>
  <c r="D24" i="34"/>
  <c r="T24" i="34" s="1"/>
  <c r="D23" i="34"/>
  <c r="T23" i="34" s="1"/>
  <c r="D22" i="34"/>
  <c r="T22" i="34" s="1"/>
  <c r="AL21" i="34"/>
  <c r="AM21" i="34" s="1"/>
  <c r="D21" i="34"/>
  <c r="AM20" i="34"/>
  <c r="D20" i="34"/>
  <c r="W25" i="34" l="1"/>
  <c r="V25" i="34"/>
  <c r="AC25" i="34"/>
  <c r="U25" i="34"/>
  <c r="AB25" i="34"/>
  <c r="T25" i="34"/>
  <c r="AA25" i="34"/>
  <c r="Z25" i="34"/>
  <c r="X25" i="34"/>
  <c r="Y25" i="34"/>
  <c r="W29" i="34"/>
  <c r="V29" i="34"/>
  <c r="AC29" i="34"/>
  <c r="U29" i="34"/>
  <c r="AB29" i="34"/>
  <c r="T29" i="34"/>
  <c r="AA29" i="34"/>
  <c r="Z29" i="34"/>
  <c r="Y29" i="34"/>
  <c r="X29" i="34"/>
  <c r="AC30" i="34"/>
  <c r="U30" i="34"/>
  <c r="AB30" i="34"/>
  <c r="T30" i="34"/>
  <c r="AA30" i="34"/>
  <c r="Z30" i="34"/>
  <c r="Y30" i="34"/>
  <c r="X30" i="34"/>
  <c r="V30" i="34"/>
  <c r="W30" i="34"/>
  <c r="AA20" i="34"/>
  <c r="Z20" i="34"/>
  <c r="Y20" i="34"/>
  <c r="T20" i="34"/>
  <c r="X20" i="34"/>
  <c r="W20" i="34"/>
  <c r="AB20" i="34"/>
  <c r="V20" i="34"/>
  <c r="AC20" i="34"/>
  <c r="U20" i="34"/>
  <c r="AA27" i="34"/>
  <c r="Z27" i="34"/>
  <c r="Y27" i="34"/>
  <c r="AB27" i="34"/>
  <c r="X27" i="34"/>
  <c r="T27" i="34"/>
  <c r="W27" i="34"/>
  <c r="V27" i="34"/>
  <c r="AC27" i="34"/>
  <c r="U27" i="34"/>
  <c r="AC26" i="34"/>
  <c r="U26" i="34"/>
  <c r="V26" i="34"/>
  <c r="AB26" i="34"/>
  <c r="T26" i="34"/>
  <c r="AA26" i="34"/>
  <c r="Z26" i="34"/>
  <c r="Y26" i="34"/>
  <c r="X26" i="34"/>
  <c r="W26" i="34"/>
  <c r="Y21" i="34"/>
  <c r="X21" i="34"/>
  <c r="Z21" i="34"/>
  <c r="W21" i="34"/>
  <c r="V21" i="34"/>
  <c r="AC21" i="34"/>
  <c r="U21" i="34"/>
  <c r="AB21" i="34"/>
  <c r="T21" i="34"/>
  <c r="AA21" i="34"/>
  <c r="AJ31" i="34"/>
  <c r="AJ26" i="34" l="1"/>
  <c r="AJ30" i="34"/>
  <c r="AJ29" i="34"/>
  <c r="AJ27" i="34"/>
  <c r="AJ20" i="34"/>
  <c r="AJ21" i="34"/>
  <c r="AJ25" i="34"/>
  <c r="D14" i="34"/>
  <c r="Y14" i="34" s="1"/>
  <c r="D13" i="34"/>
  <c r="V13" i="34" s="1"/>
  <c r="D11" i="34"/>
  <c r="V11" i="34" s="1"/>
  <c r="D10" i="34"/>
  <c r="AA10" i="34" s="1"/>
  <c r="D9" i="34"/>
  <c r="W9" i="34" s="1"/>
  <c r="D8" i="34"/>
  <c r="D7" i="34"/>
  <c r="D6" i="34"/>
  <c r="AL5" i="34"/>
  <c r="AM5" i="34" s="1"/>
  <c r="D5" i="34"/>
  <c r="AC5" i="34" s="1"/>
  <c r="AM4" i="34"/>
  <c r="D4" i="34"/>
  <c r="AA4" i="34" s="1"/>
  <c r="D13" i="28"/>
  <c r="D12" i="28"/>
  <c r="D11" i="28"/>
  <c r="D10" i="28"/>
  <c r="AB10" i="28" l="1"/>
  <c r="AD10" i="28"/>
  <c r="AH10" i="28"/>
  <c r="AE10" i="28"/>
  <c r="AF10" i="28"/>
  <c r="AG10" i="28"/>
  <c r="AG11" i="28"/>
  <c r="AD11" i="28"/>
  <c r="AH11" i="28"/>
  <c r="AE11" i="28"/>
  <c r="AF11" i="28"/>
  <c r="AE13" i="28"/>
  <c r="AF13" i="28"/>
  <c r="AG13" i="28"/>
  <c r="AD13" i="28"/>
  <c r="AH13" i="28"/>
  <c r="X12" i="28"/>
  <c r="AF12" i="28"/>
  <c r="AG12" i="28"/>
  <c r="AD12" i="28"/>
  <c r="AH12" i="28"/>
  <c r="AE12" i="28"/>
  <c r="V13" i="28"/>
  <c r="T13" i="28"/>
  <c r="Z11" i="28"/>
  <c r="T11" i="28"/>
  <c r="V6" i="34"/>
  <c r="X22" i="34"/>
  <c r="W22" i="34"/>
  <c r="V22" i="34"/>
  <c r="AC22" i="34"/>
  <c r="AB22" i="34"/>
  <c r="AA22" i="34"/>
  <c r="Z22" i="34"/>
  <c r="Y22" i="34"/>
  <c r="U22" i="34"/>
  <c r="Y7" i="34"/>
  <c r="V23" i="34"/>
  <c r="AC23" i="34"/>
  <c r="U23" i="34"/>
  <c r="AB23" i="34"/>
  <c r="Z23" i="34"/>
  <c r="Y23" i="34"/>
  <c r="AA23" i="34"/>
  <c r="X23" i="34"/>
  <c r="W23" i="34"/>
  <c r="AB8" i="34"/>
  <c r="AA24" i="34"/>
  <c r="Z24" i="34"/>
  <c r="Y24" i="34"/>
  <c r="X24" i="34"/>
  <c r="W24" i="34"/>
  <c r="V24" i="34"/>
  <c r="AC24" i="34"/>
  <c r="U24" i="34"/>
  <c r="AB24" i="34"/>
  <c r="V8" i="34"/>
  <c r="X8" i="34"/>
  <c r="W10" i="34"/>
  <c r="W8" i="34"/>
  <c r="Y8" i="34"/>
  <c r="X10" i="34"/>
  <c r="Z8" i="34"/>
  <c r="Y4" i="34"/>
  <c r="Y10" i="34"/>
  <c r="Z4" i="34"/>
  <c r="Z10" i="34"/>
  <c r="AC4" i="34"/>
  <c r="X11" i="34"/>
  <c r="Z5" i="34"/>
  <c r="AC14" i="34"/>
  <c r="X6" i="34"/>
  <c r="AC10" i="34"/>
  <c r="T14" i="34"/>
  <c r="W5" i="34"/>
  <c r="U14" i="34"/>
  <c r="U4" i="34"/>
  <c r="Y6" i="34"/>
  <c r="V4" i="34"/>
  <c r="Z6" i="34"/>
  <c r="W4" i="34"/>
  <c r="X5" i="34"/>
  <c r="Y9" i="34"/>
  <c r="U10" i="34"/>
  <c r="V14" i="34"/>
  <c r="X4" i="34"/>
  <c r="Y5" i="34"/>
  <c r="Z9" i="34"/>
  <c r="V10" i="34"/>
  <c r="Y11" i="34"/>
  <c r="W14" i="34"/>
  <c r="AB14" i="34"/>
  <c r="AB11" i="34"/>
  <c r="AB13" i="34"/>
  <c r="AB5" i="34"/>
  <c r="AC6" i="34"/>
  <c r="X7" i="34"/>
  <c r="V9" i="34"/>
  <c r="AC11" i="34"/>
  <c r="U13" i="34"/>
  <c r="AC13" i="34"/>
  <c r="X14" i="34"/>
  <c r="T4" i="34"/>
  <c r="AB4" i="34"/>
  <c r="V5" i="34"/>
  <c r="W6" i="34"/>
  <c r="Z7" i="34"/>
  <c r="U8" i="34"/>
  <c r="AC8" i="34"/>
  <c r="X9" i="34"/>
  <c r="T10" i="34"/>
  <c r="AB10" i="34"/>
  <c r="W11" i="34"/>
  <c r="W13" i="34"/>
  <c r="Z14" i="34"/>
  <c r="X13" i="34"/>
  <c r="AA14" i="34"/>
  <c r="Y13" i="34"/>
  <c r="AA9" i="34"/>
  <c r="Z11" i="34"/>
  <c r="Z13" i="34"/>
  <c r="AA13" i="34"/>
  <c r="T7" i="34"/>
  <c r="V7" i="34"/>
  <c r="T9" i="34"/>
  <c r="AB9" i="34"/>
  <c r="AA11" i="34"/>
  <c r="AA5" i="34"/>
  <c r="AB6" i="34"/>
  <c r="T11" i="34"/>
  <c r="U11" i="34"/>
  <c r="AA7" i="34"/>
  <c r="AB7" i="34"/>
  <c r="U7" i="34"/>
  <c r="AC7" i="34"/>
  <c r="AA6" i="34"/>
  <c r="T6" i="34"/>
  <c r="W7" i="34"/>
  <c r="U9" i="34"/>
  <c r="AC9" i="34"/>
  <c r="T13" i="34"/>
  <c r="T5" i="34"/>
  <c r="U6" i="34"/>
  <c r="AA8" i="34"/>
  <c r="U5" i="34"/>
  <c r="T8" i="34"/>
  <c r="W10" i="28"/>
  <c r="AC11" i="28"/>
  <c r="AA12" i="28"/>
  <c r="Y13" i="28"/>
  <c r="X10" i="28"/>
  <c r="V11" i="28"/>
  <c r="U12" i="28"/>
  <c r="AB12" i="28"/>
  <c r="Z13" i="28"/>
  <c r="Y10" i="28"/>
  <c r="W11" i="28"/>
  <c r="T12" i="28"/>
  <c r="AC12" i="28"/>
  <c r="AA13" i="28"/>
  <c r="AC10" i="28"/>
  <c r="W13" i="28"/>
  <c r="AB11" i="28"/>
  <c r="Z10" i="28"/>
  <c r="X11" i="28"/>
  <c r="V12" i="28"/>
  <c r="U13" i="28"/>
  <c r="AB13" i="28"/>
  <c r="T10" i="28"/>
  <c r="AA11" i="28"/>
  <c r="Y12" i="28"/>
  <c r="V10" i="28"/>
  <c r="X13" i="28"/>
  <c r="AA10" i="28"/>
  <c r="Y11" i="28"/>
  <c r="W12" i="28"/>
  <c r="AC13" i="28"/>
  <c r="U11" i="28"/>
  <c r="Z12" i="28"/>
  <c r="U10" i="28"/>
  <c r="AJ24" i="34" l="1"/>
  <c r="AJ23" i="34"/>
  <c r="AJ22" i="34"/>
  <c r="AJ14" i="34"/>
  <c r="AJ5" i="34"/>
  <c r="AJ9" i="34"/>
  <c r="AJ10" i="34"/>
  <c r="AJ6" i="34"/>
  <c r="AJ8" i="34"/>
  <c r="AJ13" i="34"/>
  <c r="AJ11" i="34"/>
  <c r="AJ4" i="34"/>
  <c r="AJ7" i="34"/>
  <c r="AJ11" i="28"/>
  <c r="AJ10" i="28"/>
  <c r="AJ13" i="28"/>
  <c r="AJ12" i="28"/>
  <c r="D5" i="13"/>
  <c r="AG5" i="13" l="1"/>
  <c r="AF5" i="13"/>
  <c r="AE5" i="13"/>
  <c r="AH5" i="13"/>
  <c r="AD5" i="13"/>
  <c r="D11" i="33" l="1"/>
  <c r="D10" i="33"/>
  <c r="D9" i="33"/>
  <c r="D7" i="33"/>
  <c r="D6" i="33"/>
  <c r="D5" i="33"/>
  <c r="D4" i="33"/>
  <c r="V7" i="33" l="1"/>
  <c r="AD7" i="33"/>
  <c r="AH7" i="33"/>
  <c r="AG7" i="33"/>
  <c r="AE7" i="33"/>
  <c r="AF7" i="33"/>
  <c r="AC4" i="33"/>
  <c r="AG4" i="33"/>
  <c r="AF4" i="33"/>
  <c r="AD4" i="33"/>
  <c r="AH4" i="33"/>
  <c r="AE4" i="33"/>
  <c r="AA5" i="33"/>
  <c r="AF5" i="33"/>
  <c r="AD5" i="33"/>
  <c r="AG5" i="33"/>
  <c r="AH5" i="33"/>
  <c r="AE5" i="33"/>
  <c r="AB10" i="33"/>
  <c r="AE10" i="33"/>
  <c r="AG10" i="33"/>
  <c r="AD10" i="33"/>
  <c r="AF10" i="33"/>
  <c r="AH10" i="33"/>
  <c r="Y9" i="33"/>
  <c r="AF9" i="33"/>
  <c r="AE9" i="33"/>
  <c r="AG9" i="33"/>
  <c r="AD9" i="33"/>
  <c r="AH9" i="33"/>
  <c r="AA6" i="33"/>
  <c r="AE6" i="33"/>
  <c r="AD6" i="33"/>
  <c r="AF6" i="33"/>
  <c r="AG6" i="33"/>
  <c r="AH6" i="33"/>
  <c r="W11" i="33"/>
  <c r="AD11" i="33"/>
  <c r="AH11" i="33"/>
  <c r="AG11" i="33"/>
  <c r="AE11" i="33"/>
  <c r="AF11" i="33"/>
  <c r="U5" i="33"/>
  <c r="T5" i="33"/>
  <c r="V5" i="33"/>
  <c r="AC5" i="33"/>
  <c r="AB7" i="33"/>
  <c r="AC7" i="33"/>
  <c r="AC6" i="33"/>
  <c r="W5" i="33"/>
  <c r="U6" i="33"/>
  <c r="T7" i="33"/>
  <c r="U9" i="33"/>
  <c r="X5" i="33"/>
  <c r="W6" i="33"/>
  <c r="U7" i="33"/>
  <c r="W9" i="33"/>
  <c r="Y5" i="33"/>
  <c r="X6" i="33"/>
  <c r="W7" i="33"/>
  <c r="X9" i="33"/>
  <c r="Z5" i="33"/>
  <c r="Y6" i="33"/>
  <c r="X7" i="33"/>
  <c r="Z9" i="33"/>
  <c r="AB6" i="33"/>
  <c r="T6" i="33"/>
  <c r="AB5" i="33"/>
  <c r="Z6" i="33"/>
  <c r="Z7" i="33"/>
  <c r="AC9" i="33"/>
  <c r="V4" i="33"/>
  <c r="U10" i="33"/>
  <c r="AC10" i="33"/>
  <c r="W4" i="33"/>
  <c r="AA9" i="33"/>
  <c r="V10" i="33"/>
  <c r="Y11" i="33"/>
  <c r="AA4" i="33"/>
  <c r="X11" i="33"/>
  <c r="X4" i="33"/>
  <c r="V6" i="33"/>
  <c r="Y7" i="33"/>
  <c r="T9" i="33"/>
  <c r="AB9" i="33"/>
  <c r="W10" i="33"/>
  <c r="Z11" i="33"/>
  <c r="AA11" i="33"/>
  <c r="T4" i="33"/>
  <c r="AB4" i="33"/>
  <c r="Y4" i="33"/>
  <c r="X10" i="33"/>
  <c r="Z4" i="33"/>
  <c r="AA7" i="33"/>
  <c r="V9" i="33"/>
  <c r="Y10" i="33"/>
  <c r="T11" i="33"/>
  <c r="AB11" i="33"/>
  <c r="Z10" i="33"/>
  <c r="U11" i="33"/>
  <c r="AC11" i="33"/>
  <c r="V11" i="33"/>
  <c r="AA10" i="33"/>
  <c r="U4" i="33"/>
  <c r="T10" i="33"/>
  <c r="AD2" i="33" l="1"/>
  <c r="AJ9" i="33"/>
  <c r="AJ7" i="33"/>
  <c r="AG2" i="33"/>
  <c r="AF2" i="33"/>
  <c r="AJ5" i="33"/>
  <c r="AE2" i="33"/>
  <c r="AJ6" i="33"/>
  <c r="AJ10" i="33"/>
  <c r="AJ11" i="33"/>
  <c r="AJ4" i="33"/>
  <c r="AH2" i="33"/>
  <c r="X2" i="33"/>
  <c r="T2" i="33"/>
  <c r="V2" i="33"/>
  <c r="U2" i="33"/>
  <c r="AC2" i="33"/>
  <c r="AA2" i="33"/>
  <c r="Z2" i="33"/>
  <c r="Y2" i="33"/>
  <c r="W2" i="33"/>
  <c r="AB2" i="33"/>
  <c r="AI2" i="33" l="1"/>
  <c r="D13" i="26"/>
  <c r="AI5" i="33" l="1"/>
  <c r="AI8" i="33"/>
  <c r="AI4" i="33"/>
  <c r="AI7" i="33"/>
  <c r="AI9" i="33"/>
  <c r="AI11" i="33"/>
  <c r="AI10" i="33"/>
  <c r="AI6" i="33"/>
  <c r="D16" i="26"/>
  <c r="V16" i="26" s="1"/>
  <c r="D15" i="26"/>
  <c r="X15" i="26" s="1"/>
  <c r="D14" i="26"/>
  <c r="D12" i="26"/>
  <c r="T12" i="26" s="1"/>
  <c r="D11" i="26"/>
  <c r="T11" i="26" s="1"/>
  <c r="D10" i="26"/>
  <c r="Y10" i="26" s="1"/>
  <c r="D9" i="26"/>
  <c r="Z9" i="26" s="1"/>
  <c r="D8" i="26"/>
  <c r="Z8" i="26" s="1"/>
  <c r="D7" i="26"/>
  <c r="Z7" i="26" s="1"/>
  <c r="D6" i="26"/>
  <c r="Y6" i="26" s="1"/>
  <c r="D5" i="26"/>
  <c r="X5" i="26" s="1"/>
  <c r="D4" i="26"/>
  <c r="W4" i="26" s="1"/>
  <c r="Y13" i="26"/>
  <c r="X13" i="26"/>
  <c r="AI3" i="33" l="1"/>
  <c r="AC11" i="26"/>
  <c r="Z14" i="26"/>
  <c r="T14" i="26"/>
  <c r="U10" i="26"/>
  <c r="W11" i="26"/>
  <c r="V11" i="26"/>
  <c r="Z11" i="26"/>
  <c r="Y11" i="26"/>
  <c r="AB11" i="26"/>
  <c r="AB4" i="26"/>
  <c r="Y5" i="26"/>
  <c r="V10" i="26"/>
  <c r="AA12" i="26"/>
  <c r="Y4" i="26"/>
  <c r="AA4" i="26"/>
  <c r="W8" i="26"/>
  <c r="W12" i="26"/>
  <c r="W15" i="26"/>
  <c r="AB16" i="26"/>
  <c r="X16" i="26"/>
  <c r="Y16" i="26"/>
  <c r="V12" i="26"/>
  <c r="AA16" i="26"/>
  <c r="T4" i="26"/>
  <c r="X8" i="26"/>
  <c r="Y12" i="26"/>
  <c r="V4" i="26"/>
  <c r="AB12" i="26"/>
  <c r="T16" i="26"/>
  <c r="Z16" i="26"/>
  <c r="W9" i="26"/>
  <c r="W16" i="26"/>
  <c r="X6" i="26"/>
  <c r="U9" i="26"/>
  <c r="X10" i="26"/>
  <c r="AC10" i="26"/>
  <c r="U16" i="26"/>
  <c r="AC16" i="26"/>
  <c r="AC6" i="26"/>
  <c r="AA9" i="26"/>
  <c r="AB9" i="26"/>
  <c r="Z10" i="26"/>
  <c r="V6" i="26"/>
  <c r="T9" i="26"/>
  <c r="AC9" i="26"/>
  <c r="AB10" i="26"/>
  <c r="V9" i="26"/>
  <c r="T10" i="26"/>
  <c r="X9" i="26"/>
  <c r="Y9" i="26"/>
  <c r="W10" i="26"/>
  <c r="AA14" i="26"/>
  <c r="U4" i="26"/>
  <c r="AC4" i="26"/>
  <c r="Z5" i="26"/>
  <c r="W6" i="26"/>
  <c r="T7" i="26"/>
  <c r="AB7" i="26"/>
  <c r="Y8" i="26"/>
  <c r="AA10" i="26"/>
  <c r="X11" i="26"/>
  <c r="U12" i="26"/>
  <c r="AC12" i="26"/>
  <c r="Z13" i="26"/>
  <c r="AB14" i="26"/>
  <c r="Y15" i="26"/>
  <c r="AA13" i="26"/>
  <c r="U14" i="26"/>
  <c r="AC14" i="26"/>
  <c r="Z15" i="26"/>
  <c r="T13" i="26"/>
  <c r="AA15" i="26"/>
  <c r="U7" i="26"/>
  <c r="V14" i="26"/>
  <c r="X4" i="26"/>
  <c r="U5" i="26"/>
  <c r="AC5" i="26"/>
  <c r="Z6" i="26"/>
  <c r="W7" i="26"/>
  <c r="T8" i="26"/>
  <c r="AB8" i="26"/>
  <c r="AA11" i="26"/>
  <c r="X12" i="26"/>
  <c r="U13" i="26"/>
  <c r="AC13" i="26"/>
  <c r="W14" i="26"/>
  <c r="T15" i="26"/>
  <c r="AB15" i="26"/>
  <c r="AA7" i="26"/>
  <c r="AC7" i="26"/>
  <c r="AB5" i="26"/>
  <c r="AA8" i="26"/>
  <c r="V5" i="26"/>
  <c r="AA6" i="26"/>
  <c r="X7" i="26"/>
  <c r="U8" i="26"/>
  <c r="AC8" i="26"/>
  <c r="V13" i="26"/>
  <c r="X14" i="26"/>
  <c r="U15" i="26"/>
  <c r="AC15" i="26"/>
  <c r="T5" i="26"/>
  <c r="V7" i="26"/>
  <c r="Z4" i="26"/>
  <c r="W5" i="26"/>
  <c r="T6" i="26"/>
  <c r="AB6" i="26"/>
  <c r="Y7" i="26"/>
  <c r="V8" i="26"/>
  <c r="U11" i="26"/>
  <c r="Z12" i="26"/>
  <c r="W13" i="26"/>
  <c r="Y14" i="26"/>
  <c r="V15" i="26"/>
  <c r="AA5" i="26"/>
  <c r="AB13" i="26"/>
  <c r="U6" i="26"/>
  <c r="Z2" i="26" l="1"/>
  <c r="W2" i="26"/>
  <c r="AC2" i="26"/>
  <c r="Y2" i="26"/>
  <c r="U2" i="26"/>
  <c r="T2" i="26"/>
  <c r="V2" i="26"/>
  <c r="AB2" i="26"/>
  <c r="AA2" i="26"/>
  <c r="X2" i="26"/>
  <c r="AD2" i="26" l="1"/>
  <c r="D11" i="25"/>
  <c r="D10" i="25"/>
  <c r="D9" i="25"/>
  <c r="D8" i="25"/>
  <c r="D7" i="25"/>
  <c r="D6" i="25"/>
  <c r="D5" i="25"/>
  <c r="D4" i="25"/>
  <c r="D37" i="28"/>
  <c r="D36" i="28"/>
  <c r="D35" i="28"/>
  <c r="D17" i="28"/>
  <c r="D16" i="28"/>
  <c r="D15" i="28"/>
  <c r="D9" i="28"/>
  <c r="D8" i="28"/>
  <c r="D7" i="28"/>
  <c r="D6" i="28"/>
  <c r="D5" i="28"/>
  <c r="D4" i="28"/>
  <c r="D30" i="26"/>
  <c r="D29" i="26"/>
  <c r="D28" i="26"/>
  <c r="D27" i="26"/>
  <c r="D26" i="26"/>
  <c r="D25" i="26"/>
  <c r="D24" i="26"/>
  <c r="D23" i="26"/>
  <c r="D11" i="24"/>
  <c r="D10" i="24"/>
  <c r="D9" i="24"/>
  <c r="D8" i="24"/>
  <c r="D7" i="24"/>
  <c r="D6" i="24"/>
  <c r="D5" i="24"/>
  <c r="D4" i="24"/>
  <c r="D11" i="23"/>
  <c r="D10" i="23"/>
  <c r="D9" i="23"/>
  <c r="D8" i="23"/>
  <c r="T8" i="23" s="1"/>
  <c r="D7" i="23"/>
  <c r="D6" i="23"/>
  <c r="D5" i="23"/>
  <c r="D4" i="23"/>
  <c r="D11" i="22"/>
  <c r="D10" i="22"/>
  <c r="D9" i="22"/>
  <c r="D8" i="22"/>
  <c r="D7" i="22"/>
  <c r="D6" i="22"/>
  <c r="D5" i="22"/>
  <c r="D4" i="22"/>
  <c r="D11" i="21"/>
  <c r="D10" i="21"/>
  <c r="D9" i="21"/>
  <c r="D8" i="21"/>
  <c r="D7" i="21"/>
  <c r="D6" i="21"/>
  <c r="D5" i="21"/>
  <c r="D4" i="21"/>
  <c r="D12" i="20"/>
  <c r="D11" i="20"/>
  <c r="D10" i="20"/>
  <c r="D8" i="20"/>
  <c r="D7" i="20"/>
  <c r="D6" i="20"/>
  <c r="D5" i="20"/>
  <c r="D4" i="20"/>
  <c r="D14" i="19"/>
  <c r="D13" i="19"/>
  <c r="D12" i="19"/>
  <c r="D10" i="19"/>
  <c r="D9" i="19"/>
  <c r="D8" i="19"/>
  <c r="D7" i="19"/>
  <c r="D6" i="19"/>
  <c r="D5" i="19"/>
  <c r="D4" i="19"/>
  <c r="D10" i="30"/>
  <c r="D8" i="30"/>
  <c r="D7" i="30"/>
  <c r="D6" i="30"/>
  <c r="D5" i="30"/>
  <c r="D4" i="30"/>
  <c r="D10" i="29"/>
  <c r="AH10" i="29" s="1"/>
  <c r="D8" i="29"/>
  <c r="AH8" i="29" s="1"/>
  <c r="D7" i="29"/>
  <c r="AH7" i="29" s="1"/>
  <c r="D6" i="29"/>
  <c r="AH6" i="29" s="1"/>
  <c r="D5" i="29"/>
  <c r="AH5" i="29" s="1"/>
  <c r="D4" i="29"/>
  <c r="AH4" i="29" s="1"/>
  <c r="D10" i="32"/>
  <c r="D9" i="32"/>
  <c r="D8" i="32"/>
  <c r="D7" i="32"/>
  <c r="D6" i="32"/>
  <c r="D5" i="32"/>
  <c r="D4" i="32"/>
  <c r="D11" i="18"/>
  <c r="D10" i="18"/>
  <c r="D9" i="18"/>
  <c r="D8" i="18"/>
  <c r="D7" i="18"/>
  <c r="D6" i="18"/>
  <c r="D5" i="18"/>
  <c r="D4" i="18"/>
  <c r="D10" i="17"/>
  <c r="D9" i="17"/>
  <c r="D8" i="17"/>
  <c r="D7" i="17"/>
  <c r="D6" i="17"/>
  <c r="D5" i="17"/>
  <c r="D4" i="17"/>
  <c r="D28" i="16"/>
  <c r="D27" i="16"/>
  <c r="D26" i="16"/>
  <c r="D24" i="16"/>
  <c r="D23" i="16"/>
  <c r="D22" i="16"/>
  <c r="D21" i="16"/>
  <c r="D20" i="16"/>
  <c r="D19" i="16"/>
  <c r="D18" i="16"/>
  <c r="D13" i="16"/>
  <c r="D12" i="16"/>
  <c r="D11" i="16"/>
  <c r="D10" i="16"/>
  <c r="D9" i="16"/>
  <c r="D8" i="16"/>
  <c r="D7" i="16"/>
  <c r="D6" i="16"/>
  <c r="D5" i="16"/>
  <c r="D4" i="16"/>
  <c r="D11" i="15"/>
  <c r="D10" i="15"/>
  <c r="D9" i="15"/>
  <c r="D8" i="15"/>
  <c r="D7" i="15"/>
  <c r="D6" i="15"/>
  <c r="D5" i="15"/>
  <c r="D4" i="15"/>
  <c r="D10" i="14"/>
  <c r="D9" i="14"/>
  <c r="D8" i="14"/>
  <c r="D7" i="14"/>
  <c r="D6" i="14"/>
  <c r="D5" i="14"/>
  <c r="D4" i="14"/>
  <c r="D11" i="13"/>
  <c r="D10" i="13"/>
  <c r="D8" i="13"/>
  <c r="D7" i="13"/>
  <c r="D6" i="13"/>
  <c r="D4" i="13"/>
  <c r="D14" i="12"/>
  <c r="D13" i="12"/>
  <c r="D12" i="12"/>
  <c r="D10" i="12"/>
  <c r="D9" i="12"/>
  <c r="D8" i="12"/>
  <c r="D7" i="12"/>
  <c r="D6" i="12"/>
  <c r="D5" i="12"/>
  <c r="D4" i="12"/>
  <c r="D11" i="11"/>
  <c r="D10" i="11"/>
  <c r="D9" i="11"/>
  <c r="D8" i="11"/>
  <c r="D7" i="11"/>
  <c r="D6" i="11"/>
  <c r="D5" i="11"/>
  <c r="D4" i="11"/>
  <c r="D12" i="10"/>
  <c r="D11" i="10"/>
  <c r="D10" i="10"/>
  <c r="D9" i="10"/>
  <c r="D8" i="10"/>
  <c r="D7" i="10"/>
  <c r="D6" i="10"/>
  <c r="D5" i="10"/>
  <c r="D4" i="10"/>
  <c r="D12" i="9"/>
  <c r="D11" i="9"/>
  <c r="D10" i="9"/>
  <c r="D9" i="9"/>
  <c r="D8" i="9"/>
  <c r="D7" i="9"/>
  <c r="D6" i="9"/>
  <c r="D5" i="9"/>
  <c r="D4" i="9"/>
  <c r="D11" i="8"/>
  <c r="D10" i="8"/>
  <c r="D9" i="8"/>
  <c r="D8" i="8"/>
  <c r="D7" i="8"/>
  <c r="D6" i="8"/>
  <c r="D5" i="8"/>
  <c r="D4" i="8"/>
  <c r="D13" i="7"/>
  <c r="D12" i="7"/>
  <c r="D11" i="7"/>
  <c r="D10" i="7"/>
  <c r="D9" i="7"/>
  <c r="D8" i="7"/>
  <c r="D7" i="7"/>
  <c r="D6" i="7"/>
  <c r="D5" i="7"/>
  <c r="D4" i="7"/>
  <c r="D11" i="6"/>
  <c r="D10" i="6"/>
  <c r="D9" i="6"/>
  <c r="D8" i="6"/>
  <c r="D7" i="6"/>
  <c r="D6" i="6"/>
  <c r="D5" i="6"/>
  <c r="D4" i="6"/>
  <c r="D11" i="5"/>
  <c r="D10" i="5"/>
  <c r="D9" i="5"/>
  <c r="D8" i="5"/>
  <c r="D7" i="5"/>
  <c r="D6" i="5"/>
  <c r="D5" i="5"/>
  <c r="D4" i="5"/>
  <c r="D13" i="4"/>
  <c r="D12" i="4"/>
  <c r="D11" i="4"/>
  <c r="D10" i="4"/>
  <c r="D9" i="4"/>
  <c r="D8" i="4"/>
  <c r="D7" i="4"/>
  <c r="D6" i="4"/>
  <c r="D5" i="4"/>
  <c r="D4" i="4"/>
  <c r="D12" i="3"/>
  <c r="D11" i="3"/>
  <c r="D10" i="3"/>
  <c r="D8" i="3"/>
  <c r="W8" i="3" s="1"/>
  <c r="D7" i="3"/>
  <c r="Y7" i="3" s="1"/>
  <c r="D6" i="3"/>
  <c r="W6" i="3" s="1"/>
  <c r="D5" i="3"/>
  <c r="W5" i="3" s="1"/>
  <c r="D4" i="3"/>
  <c r="W4" i="3" s="1"/>
  <c r="D12" i="2"/>
  <c r="D11" i="2"/>
  <c r="D10" i="2"/>
  <c r="D7" i="2"/>
  <c r="D4" i="2"/>
  <c r="D12" i="31"/>
  <c r="D10" i="31"/>
  <c r="D7" i="31"/>
  <c r="D4" i="31"/>
  <c r="W8" i="25" l="1"/>
  <c r="V8" i="25"/>
  <c r="AF21" i="16"/>
  <c r="AD21" i="16"/>
  <c r="AG21" i="16"/>
  <c r="AH21" i="16"/>
  <c r="AE21" i="16"/>
  <c r="AE18" i="16"/>
  <c r="AG18" i="16"/>
  <c r="AD18" i="16"/>
  <c r="AH18" i="16"/>
  <c r="AF18" i="16"/>
  <c r="X27" i="16"/>
  <c r="AE27" i="16"/>
  <c r="AH27" i="16"/>
  <c r="AF27" i="16"/>
  <c r="AG27" i="16"/>
  <c r="AD27" i="16"/>
  <c r="AD19" i="16"/>
  <c r="AH19" i="16"/>
  <c r="AF19" i="16"/>
  <c r="AE19" i="16"/>
  <c r="AG19" i="16"/>
  <c r="AD23" i="16"/>
  <c r="AH23" i="16"/>
  <c r="AG23" i="16"/>
  <c r="AE23" i="16"/>
  <c r="AF23" i="16"/>
  <c r="AD28" i="16"/>
  <c r="AH28" i="16"/>
  <c r="AF28" i="16"/>
  <c r="AE28" i="16"/>
  <c r="AG28" i="16"/>
  <c r="AF26" i="16"/>
  <c r="AH26" i="16"/>
  <c r="AE26" i="16"/>
  <c r="AG26" i="16"/>
  <c r="AD26" i="16"/>
  <c r="AE22" i="16"/>
  <c r="AG22" i="16"/>
  <c r="AD22" i="16"/>
  <c r="AF22" i="16"/>
  <c r="AH22" i="16"/>
  <c r="AG20" i="16"/>
  <c r="AF20" i="16"/>
  <c r="AD20" i="16"/>
  <c r="AH20" i="16"/>
  <c r="AE20" i="16"/>
  <c r="AG24" i="16"/>
  <c r="AE24" i="16"/>
  <c r="AD24" i="16"/>
  <c r="AH24" i="16"/>
  <c r="AF24" i="16"/>
  <c r="AF36" i="28"/>
  <c r="AG36" i="28"/>
  <c r="AD36" i="28"/>
  <c r="AH36" i="28"/>
  <c r="AE36" i="28"/>
  <c r="AG35" i="28"/>
  <c r="AD35" i="28"/>
  <c r="AH35" i="28"/>
  <c r="AE35" i="28"/>
  <c r="AF35" i="28"/>
  <c r="AE37" i="28"/>
  <c r="AF37" i="28"/>
  <c r="AG37" i="28"/>
  <c r="AD37" i="28"/>
  <c r="AH37" i="28"/>
  <c r="T7" i="28"/>
  <c r="AG7" i="28"/>
  <c r="AD7" i="28"/>
  <c r="AH7" i="28"/>
  <c r="AE7" i="28"/>
  <c r="AF7" i="28"/>
  <c r="AF8" i="28"/>
  <c r="AG8" i="28"/>
  <c r="AD8" i="28"/>
  <c r="AH8" i="28"/>
  <c r="AE8" i="28"/>
  <c r="AE5" i="28"/>
  <c r="AF5" i="28"/>
  <c r="AG5" i="28"/>
  <c r="AD5" i="28"/>
  <c r="AH5" i="28"/>
  <c r="T9" i="28"/>
  <c r="AE9" i="28"/>
  <c r="AF9" i="28"/>
  <c r="AG9" i="28"/>
  <c r="AD9" i="28"/>
  <c r="AH9" i="28"/>
  <c r="AG16" i="28"/>
  <c r="AD16" i="28"/>
  <c r="AH16" i="28"/>
  <c r="AE16" i="28"/>
  <c r="AF16" i="28"/>
  <c r="AF4" i="28"/>
  <c r="AG4" i="28"/>
  <c r="AD4" i="28"/>
  <c r="AH4" i="28"/>
  <c r="AE4" i="28"/>
  <c r="AD6" i="28"/>
  <c r="AH6" i="28"/>
  <c r="AE6" i="28"/>
  <c r="AF6" i="28"/>
  <c r="AG6" i="28"/>
  <c r="AF17" i="28"/>
  <c r="AG17" i="28"/>
  <c r="AD17" i="28"/>
  <c r="AH17" i="28"/>
  <c r="AE17" i="28"/>
  <c r="AH2" i="29"/>
  <c r="AE5" i="30"/>
  <c r="AD5" i="30"/>
  <c r="AH5" i="30"/>
  <c r="AF5" i="30"/>
  <c r="AG5" i="30"/>
  <c r="AD10" i="30"/>
  <c r="AH10" i="30"/>
  <c r="AF10" i="30"/>
  <c r="AG10" i="30"/>
  <c r="AE10" i="30"/>
  <c r="AD6" i="30"/>
  <c r="AH6" i="30"/>
  <c r="AF6" i="30"/>
  <c r="AG6" i="30"/>
  <c r="AE6" i="30"/>
  <c r="AG7" i="30"/>
  <c r="AF7" i="30"/>
  <c r="AD7" i="30"/>
  <c r="AH7" i="30"/>
  <c r="AE7" i="30"/>
  <c r="AF4" i="30"/>
  <c r="AE4" i="30"/>
  <c r="AG4" i="30"/>
  <c r="AD4" i="30"/>
  <c r="AH4" i="30"/>
  <c r="AF8" i="30"/>
  <c r="AH8" i="30"/>
  <c r="AE8" i="30"/>
  <c r="AG8" i="30"/>
  <c r="AD8" i="30"/>
  <c r="AE4" i="29"/>
  <c r="AF4" i="29"/>
  <c r="AD4" i="29"/>
  <c r="AG4" i="29"/>
  <c r="AE8" i="29"/>
  <c r="AF8" i="29"/>
  <c r="AG8" i="29"/>
  <c r="AD8" i="29"/>
  <c r="AE10" i="29"/>
  <c r="AF10" i="29"/>
  <c r="AD10" i="29"/>
  <c r="AG10" i="29"/>
  <c r="AE7" i="29"/>
  <c r="AF7" i="29"/>
  <c r="AD7" i="29"/>
  <c r="AG7" i="29"/>
  <c r="AE5" i="29"/>
  <c r="AF5" i="29"/>
  <c r="AG5" i="29"/>
  <c r="AD5" i="29"/>
  <c r="AE6" i="29"/>
  <c r="AD6" i="29"/>
  <c r="AF6" i="29"/>
  <c r="AG6" i="29"/>
  <c r="AF9" i="18"/>
  <c r="AG9" i="18"/>
  <c r="AE9" i="18"/>
  <c r="AD9" i="18"/>
  <c r="AH9" i="18"/>
  <c r="AE5" i="17"/>
  <c r="AF5" i="17"/>
  <c r="AD5" i="17"/>
  <c r="AG5" i="17"/>
  <c r="AH5" i="17"/>
  <c r="AE9" i="17"/>
  <c r="AF9" i="17"/>
  <c r="AD9" i="17"/>
  <c r="AG9" i="17"/>
  <c r="AH9" i="17"/>
  <c r="AE6" i="18"/>
  <c r="AD6" i="18"/>
  <c r="AF6" i="18"/>
  <c r="AH6" i="18"/>
  <c r="AG6" i="18"/>
  <c r="AE10" i="18"/>
  <c r="AE23" i="18"/>
  <c r="AD10" i="18"/>
  <c r="AF10" i="18"/>
  <c r="AF23" i="18"/>
  <c r="AH10" i="18"/>
  <c r="AG10" i="18"/>
  <c r="AG23" i="18"/>
  <c r="AH23" i="18"/>
  <c r="AD23" i="18"/>
  <c r="AF8" i="17"/>
  <c r="AG8" i="17"/>
  <c r="AD8" i="17"/>
  <c r="AH8" i="17"/>
  <c r="AE8" i="17"/>
  <c r="AF5" i="18"/>
  <c r="AG5" i="18"/>
  <c r="AE5" i="18"/>
  <c r="AD5" i="18"/>
  <c r="AH5" i="18"/>
  <c r="AD6" i="17"/>
  <c r="AH6" i="17"/>
  <c r="AE6" i="17"/>
  <c r="AF6" i="17"/>
  <c r="AG6" i="17"/>
  <c r="AD10" i="17"/>
  <c r="AH10" i="17"/>
  <c r="AE10" i="17"/>
  <c r="AG10" i="17"/>
  <c r="AF10" i="17"/>
  <c r="AD7" i="18"/>
  <c r="AH7" i="18"/>
  <c r="AE7" i="18"/>
  <c r="AG7" i="18"/>
  <c r="AF7" i="18"/>
  <c r="AD11" i="18"/>
  <c r="AH11" i="18"/>
  <c r="AD24" i="18"/>
  <c r="AH24" i="18"/>
  <c r="AG11" i="18"/>
  <c r="AE11" i="18"/>
  <c r="AE24" i="18"/>
  <c r="AF11" i="18"/>
  <c r="AF24" i="18"/>
  <c r="AG24" i="18"/>
  <c r="AF4" i="17"/>
  <c r="AG4" i="17"/>
  <c r="AD4" i="17"/>
  <c r="AH4" i="17"/>
  <c r="AE4" i="17"/>
  <c r="AG7" i="17"/>
  <c r="AD7" i="17"/>
  <c r="AH7" i="17"/>
  <c r="AF7" i="17"/>
  <c r="AE7" i="17"/>
  <c r="AG4" i="18"/>
  <c r="AF4" i="18"/>
  <c r="AD4" i="18"/>
  <c r="AH4" i="18"/>
  <c r="AE4" i="18"/>
  <c r="AG8" i="18"/>
  <c r="AF8" i="18"/>
  <c r="AD8" i="18"/>
  <c r="AH8" i="18"/>
  <c r="AE8" i="18"/>
  <c r="AA23" i="18"/>
  <c r="W23" i="18"/>
  <c r="AC23" i="18"/>
  <c r="Y23" i="18"/>
  <c r="U23" i="18"/>
  <c r="Z23" i="18"/>
  <c r="AB23" i="18"/>
  <c r="X23" i="18"/>
  <c r="T23" i="18"/>
  <c r="T14" i="18" s="1"/>
  <c r="V23" i="18"/>
  <c r="AC24" i="18"/>
  <c r="Y24" i="18"/>
  <c r="U24" i="18"/>
  <c r="AB24" i="18"/>
  <c r="X24" i="18"/>
  <c r="AA24" i="18"/>
  <c r="W24" i="18"/>
  <c r="Z24" i="18"/>
  <c r="V24" i="18"/>
  <c r="AG6" i="31"/>
  <c r="AD6" i="31"/>
  <c r="AH6" i="31"/>
  <c r="AF6" i="31"/>
  <c r="AE6" i="31"/>
  <c r="AE12" i="3"/>
  <c r="AF12" i="3"/>
  <c r="AG12" i="3"/>
  <c r="AD12" i="3"/>
  <c r="AH12" i="3"/>
  <c r="AE7" i="31"/>
  <c r="AG7" i="31"/>
  <c r="AH7" i="31"/>
  <c r="AF7" i="31"/>
  <c r="AD7" i="31"/>
  <c r="AF8" i="2"/>
  <c r="AG8" i="2"/>
  <c r="AD8" i="2"/>
  <c r="AH8" i="2"/>
  <c r="AE8" i="2"/>
  <c r="AE4" i="3"/>
  <c r="AF4" i="3"/>
  <c r="AG4" i="3"/>
  <c r="AH4" i="3"/>
  <c r="AD4" i="3"/>
  <c r="AE8" i="3"/>
  <c r="AF8" i="3"/>
  <c r="AG8" i="3"/>
  <c r="AD8" i="3"/>
  <c r="AH8" i="3"/>
  <c r="AG12" i="31"/>
  <c r="AD12" i="31"/>
  <c r="AH12" i="31"/>
  <c r="AF12" i="31"/>
  <c r="AE12" i="31"/>
  <c r="AG7" i="2"/>
  <c r="AD7" i="2"/>
  <c r="AH7" i="2"/>
  <c r="AE7" i="2"/>
  <c r="AF7" i="2"/>
  <c r="AD10" i="2"/>
  <c r="AH10" i="2"/>
  <c r="AE10" i="2"/>
  <c r="AF10" i="2"/>
  <c r="AG10" i="2"/>
  <c r="AD5" i="3"/>
  <c r="AH5" i="3"/>
  <c r="AE5" i="3"/>
  <c r="AF5" i="3"/>
  <c r="AG5" i="3"/>
  <c r="AF12" i="2"/>
  <c r="AG12" i="2"/>
  <c r="AD12" i="2"/>
  <c r="AH12" i="2"/>
  <c r="AE12" i="2"/>
  <c r="AF7" i="3"/>
  <c r="AG7" i="3"/>
  <c r="AD7" i="3"/>
  <c r="AH7" i="3"/>
  <c r="AE7" i="3"/>
  <c r="AF4" i="2"/>
  <c r="AG4" i="2"/>
  <c r="AD4" i="2"/>
  <c r="AH4" i="2"/>
  <c r="AE4" i="2"/>
  <c r="AE4" i="31"/>
  <c r="AF4" i="31"/>
  <c r="AH4" i="31"/>
  <c r="AD4" i="31"/>
  <c r="AG4" i="31"/>
  <c r="AG8" i="31"/>
  <c r="AE8" i="31"/>
  <c r="AH8" i="31"/>
  <c r="AF8" i="31"/>
  <c r="AD8" i="31"/>
  <c r="AE5" i="2"/>
  <c r="AF5" i="2"/>
  <c r="AG5" i="2"/>
  <c r="AD5" i="2"/>
  <c r="AH5" i="2"/>
  <c r="AG10" i="3"/>
  <c r="AD10" i="3"/>
  <c r="AH10" i="3"/>
  <c r="AE10" i="3"/>
  <c r="AF10" i="3"/>
  <c r="AD5" i="31"/>
  <c r="AH5" i="31"/>
  <c r="AE5" i="31"/>
  <c r="AG5" i="31"/>
  <c r="AF5" i="31"/>
  <c r="AE10" i="31"/>
  <c r="AF10" i="31"/>
  <c r="AD10" i="31"/>
  <c r="AH10" i="31"/>
  <c r="AG10" i="31"/>
  <c r="AD6" i="2"/>
  <c r="AH6" i="2"/>
  <c r="AE6" i="2"/>
  <c r="AF6" i="2"/>
  <c r="AG6" i="2"/>
  <c r="AG11" i="2"/>
  <c r="AD11" i="2"/>
  <c r="AH11" i="2"/>
  <c r="AE11" i="2"/>
  <c r="AF11" i="2"/>
  <c r="AG6" i="3"/>
  <c r="AD6" i="3"/>
  <c r="AH6" i="3"/>
  <c r="AE6" i="3"/>
  <c r="AF6" i="3"/>
  <c r="AF11" i="3"/>
  <c r="AG11" i="3"/>
  <c r="AD11" i="3"/>
  <c r="AH11" i="3"/>
  <c r="AE11" i="3"/>
  <c r="AG6" i="20"/>
  <c r="AD6" i="20"/>
  <c r="AH6" i="20"/>
  <c r="AF6" i="20"/>
  <c r="AE6" i="20"/>
  <c r="AF7" i="20"/>
  <c r="AG7" i="20"/>
  <c r="AE7" i="20"/>
  <c r="AD7" i="20"/>
  <c r="AH7" i="20"/>
  <c r="AD5" i="20"/>
  <c r="AH5" i="20"/>
  <c r="AE5" i="20"/>
  <c r="AG5" i="20"/>
  <c r="AF5" i="20"/>
  <c r="AE4" i="20"/>
  <c r="AF4" i="20"/>
  <c r="AD4" i="20"/>
  <c r="AH4" i="20"/>
  <c r="AG4" i="20"/>
  <c r="AE8" i="20"/>
  <c r="AF8" i="20"/>
  <c r="AD8" i="20"/>
  <c r="AH8" i="20"/>
  <c r="AG8" i="20"/>
  <c r="T12" i="20"/>
  <c r="AG12" i="20"/>
  <c r="AD12" i="20"/>
  <c r="AH12" i="20"/>
  <c r="AF12" i="20"/>
  <c r="AE12" i="20"/>
  <c r="AG11" i="20"/>
  <c r="AE11" i="20"/>
  <c r="AD11" i="20"/>
  <c r="AH11" i="20"/>
  <c r="AF11" i="20"/>
  <c r="AG10" i="20"/>
  <c r="AF10" i="20"/>
  <c r="AD10" i="20"/>
  <c r="AH10" i="20"/>
  <c r="AE10" i="20"/>
  <c r="AG7" i="19"/>
  <c r="AF7" i="19"/>
  <c r="AD7" i="19"/>
  <c r="AH7" i="19"/>
  <c r="AE7" i="19"/>
  <c r="AF4" i="19"/>
  <c r="AG4" i="19"/>
  <c r="AE4" i="19"/>
  <c r="AD4" i="19"/>
  <c r="AH4" i="19"/>
  <c r="AF8" i="19"/>
  <c r="AG8" i="19"/>
  <c r="AE8" i="19"/>
  <c r="AD8" i="19"/>
  <c r="AH8" i="19"/>
  <c r="AF13" i="19"/>
  <c r="AE13" i="19"/>
  <c r="AG13" i="19"/>
  <c r="AD13" i="19"/>
  <c r="AH13" i="19"/>
  <c r="AE9" i="19"/>
  <c r="AH9" i="19"/>
  <c r="AF9" i="19"/>
  <c r="AG9" i="19"/>
  <c r="AD9" i="19"/>
  <c r="AE14" i="19"/>
  <c r="AF14" i="19"/>
  <c r="AD14" i="19"/>
  <c r="AG14" i="19"/>
  <c r="AH14" i="19"/>
  <c r="AG12" i="19"/>
  <c r="AD12" i="19"/>
  <c r="AH12" i="19"/>
  <c r="AE12" i="19"/>
  <c r="AF12" i="19"/>
  <c r="AE5" i="19"/>
  <c r="AD5" i="19"/>
  <c r="AF5" i="19"/>
  <c r="AH5" i="19"/>
  <c r="AG5" i="19"/>
  <c r="AD6" i="19"/>
  <c r="AH6" i="19"/>
  <c r="AE6" i="19"/>
  <c r="AF6" i="19"/>
  <c r="AG6" i="19"/>
  <c r="AD10" i="19"/>
  <c r="AH10" i="19"/>
  <c r="AE10" i="19"/>
  <c r="AG10" i="19"/>
  <c r="AF10" i="19"/>
  <c r="AF5" i="16"/>
  <c r="AG5" i="16"/>
  <c r="AD5" i="16"/>
  <c r="AH5" i="16"/>
  <c r="AE5" i="16"/>
  <c r="AF13" i="16"/>
  <c r="AG13" i="16"/>
  <c r="AD13" i="16"/>
  <c r="AH13" i="16"/>
  <c r="AE13" i="16"/>
  <c r="AF9" i="16"/>
  <c r="AG9" i="16"/>
  <c r="AD9" i="16"/>
  <c r="AH9" i="16"/>
  <c r="AE9" i="16"/>
  <c r="AE6" i="16"/>
  <c r="AF6" i="16"/>
  <c r="AG6" i="16"/>
  <c r="AD6" i="16"/>
  <c r="AH6" i="16"/>
  <c r="AE10" i="16"/>
  <c r="AF10" i="16"/>
  <c r="AG10" i="16"/>
  <c r="AD10" i="16"/>
  <c r="AH10" i="16"/>
  <c r="AD11" i="16"/>
  <c r="AH11" i="16"/>
  <c r="AE11" i="16"/>
  <c r="AF11" i="16"/>
  <c r="AG11" i="16"/>
  <c r="AD7" i="16"/>
  <c r="AH7" i="16"/>
  <c r="AE7" i="16"/>
  <c r="AF7" i="16"/>
  <c r="AG7" i="16"/>
  <c r="AG4" i="16"/>
  <c r="AD4" i="16"/>
  <c r="AH4" i="16"/>
  <c r="AE4" i="16"/>
  <c r="AF4" i="16"/>
  <c r="AG8" i="16"/>
  <c r="AD8" i="16"/>
  <c r="AH8" i="16"/>
  <c r="AE8" i="16"/>
  <c r="AF8" i="16"/>
  <c r="AG12" i="16"/>
  <c r="AD12" i="16"/>
  <c r="AH12" i="16"/>
  <c r="AE12" i="16"/>
  <c r="AF12" i="16"/>
  <c r="AH4" i="13"/>
  <c r="AD4" i="13"/>
  <c r="AG4" i="13"/>
  <c r="AF4" i="13"/>
  <c r="AE4" i="13"/>
  <c r="AF10" i="13"/>
  <c r="AE10" i="13"/>
  <c r="AH10" i="13"/>
  <c r="AD10" i="13"/>
  <c r="AG10" i="13"/>
  <c r="AH8" i="13"/>
  <c r="AD8" i="13"/>
  <c r="AG8" i="13"/>
  <c r="AF8" i="13"/>
  <c r="AE8" i="13"/>
  <c r="AF6" i="13"/>
  <c r="AE6" i="13"/>
  <c r="AH6" i="13"/>
  <c r="AD6" i="13"/>
  <c r="AG6" i="13"/>
  <c r="AE11" i="13"/>
  <c r="AH11" i="13"/>
  <c r="AD11" i="13"/>
  <c r="AG11" i="13"/>
  <c r="AF11" i="13"/>
  <c r="AE7" i="13"/>
  <c r="AH7" i="13"/>
  <c r="AD7" i="13"/>
  <c r="AG7" i="13"/>
  <c r="AF7" i="13"/>
  <c r="AH12" i="13"/>
  <c r="AD12" i="13"/>
  <c r="AG12" i="13"/>
  <c r="AF12" i="13"/>
  <c r="AE12" i="13"/>
  <c r="AH9" i="14"/>
  <c r="AD9" i="14"/>
  <c r="AE9" i="14"/>
  <c r="AG9" i="14"/>
  <c r="AF9" i="14"/>
  <c r="AG10" i="14"/>
  <c r="AH10" i="14"/>
  <c r="AD10" i="14"/>
  <c r="AF10" i="14"/>
  <c r="AE10" i="14"/>
  <c r="AE4" i="14"/>
  <c r="AF4" i="14"/>
  <c r="AH4" i="14"/>
  <c r="AD4" i="14"/>
  <c r="AG4" i="14"/>
  <c r="AE8" i="14"/>
  <c r="AF8" i="14"/>
  <c r="AH8" i="14"/>
  <c r="AD8" i="14"/>
  <c r="AG8" i="14"/>
  <c r="AH5" i="14"/>
  <c r="AD5" i="14"/>
  <c r="AG5" i="14"/>
  <c r="AF5" i="14"/>
  <c r="AE5" i="14"/>
  <c r="AG6" i="14"/>
  <c r="AH6" i="14"/>
  <c r="AD6" i="14"/>
  <c r="AF6" i="14"/>
  <c r="AE6" i="14"/>
  <c r="AF7" i="14"/>
  <c r="AE7" i="14"/>
  <c r="AH7" i="14"/>
  <c r="AD7" i="14"/>
  <c r="AG7" i="14"/>
  <c r="AH14" i="12"/>
  <c r="AD14" i="12"/>
  <c r="AG14" i="12"/>
  <c r="AF14" i="12"/>
  <c r="AE14" i="12"/>
  <c r="AG10" i="12"/>
  <c r="AF10" i="12"/>
  <c r="AE10" i="12"/>
  <c r="AH10" i="12"/>
  <c r="AD10" i="12"/>
  <c r="AH9" i="12"/>
  <c r="AD9" i="12"/>
  <c r="AG9" i="12"/>
  <c r="AF9" i="12"/>
  <c r="AE9" i="12"/>
  <c r="AH5" i="12"/>
  <c r="AD5" i="12"/>
  <c r="AG5" i="12"/>
  <c r="AF5" i="12"/>
  <c r="AE5" i="12"/>
  <c r="AG6" i="12"/>
  <c r="AF6" i="12"/>
  <c r="AE6" i="12"/>
  <c r="AH6" i="12"/>
  <c r="AD6" i="12"/>
  <c r="AF7" i="12"/>
  <c r="AE7" i="12"/>
  <c r="AH7" i="12"/>
  <c r="AD7" i="12"/>
  <c r="AG7" i="12"/>
  <c r="AF12" i="12"/>
  <c r="AE12" i="12"/>
  <c r="AH12" i="12"/>
  <c r="AD12" i="12"/>
  <c r="AG12" i="12"/>
  <c r="AE4" i="12"/>
  <c r="AH4" i="12"/>
  <c r="AD4" i="12"/>
  <c r="AG4" i="12"/>
  <c r="AF4" i="12"/>
  <c r="AE8" i="12"/>
  <c r="AH8" i="12"/>
  <c r="AD8" i="12"/>
  <c r="AG8" i="12"/>
  <c r="AF8" i="12"/>
  <c r="AE13" i="12"/>
  <c r="AH13" i="12"/>
  <c r="AD13" i="12"/>
  <c r="AG13" i="12"/>
  <c r="AF13" i="12"/>
  <c r="AG6" i="11"/>
  <c r="AF6" i="11"/>
  <c r="AD6" i="11"/>
  <c r="AE6" i="11"/>
  <c r="AH6" i="11"/>
  <c r="AG10" i="11"/>
  <c r="AF10" i="11"/>
  <c r="AD10" i="11"/>
  <c r="AE10" i="11"/>
  <c r="AH10" i="11"/>
  <c r="AF7" i="11"/>
  <c r="AG7" i="11"/>
  <c r="AE7" i="11"/>
  <c r="AH7" i="11"/>
  <c r="AD7" i="11"/>
  <c r="AH5" i="11"/>
  <c r="AD5" i="11"/>
  <c r="AE5" i="11"/>
  <c r="AG5" i="11"/>
  <c r="AF5" i="11"/>
  <c r="AH9" i="11"/>
  <c r="AD9" i="11"/>
  <c r="AE9" i="11"/>
  <c r="AG9" i="11"/>
  <c r="AF9" i="11"/>
  <c r="AF11" i="11"/>
  <c r="AG11" i="11"/>
  <c r="AE11" i="11"/>
  <c r="AH11" i="11"/>
  <c r="AD11" i="11"/>
  <c r="AE4" i="11"/>
  <c r="AH4" i="11"/>
  <c r="AD4" i="11"/>
  <c r="AG4" i="11"/>
  <c r="AF4" i="11"/>
  <c r="AE8" i="11"/>
  <c r="AH8" i="11"/>
  <c r="AD8" i="11"/>
  <c r="AG8" i="11"/>
  <c r="AF8" i="11"/>
  <c r="Y31" i="16"/>
  <c r="W31" i="16"/>
  <c r="Z31" i="16"/>
  <c r="V31" i="16"/>
  <c r="V9" i="28"/>
  <c r="AC9" i="28"/>
  <c r="U9" i="28"/>
  <c r="W9" i="28"/>
  <c r="AB9" i="28"/>
  <c r="X9" i="28"/>
  <c r="AA9" i="28"/>
  <c r="Z9" i="28"/>
  <c r="Y9" i="28"/>
  <c r="AG5" i="24"/>
  <c r="AJ5" i="24"/>
  <c r="AI5" i="24"/>
  <c r="W5" i="24"/>
  <c r="AN5" i="24"/>
  <c r="AH5" i="24"/>
  <c r="AM5" i="24"/>
  <c r="AL5" i="24"/>
  <c r="AK5" i="24"/>
  <c r="AN6" i="24"/>
  <c r="AM6" i="24"/>
  <c r="AI6" i="24"/>
  <c r="AH6" i="24"/>
  <c r="AL6" i="24"/>
  <c r="AK6" i="24"/>
  <c r="AJ6" i="24"/>
  <c r="AG6" i="24"/>
  <c r="AM7" i="24"/>
  <c r="AL7" i="24"/>
  <c r="AK7" i="24"/>
  <c r="AJ7" i="24"/>
  <c r="AH7" i="24"/>
  <c r="AG7" i="24"/>
  <c r="AI7" i="24"/>
  <c r="AN7" i="24"/>
  <c r="AL8" i="24"/>
  <c r="AK8" i="24"/>
  <c r="AJ8" i="24"/>
  <c r="AI8" i="24"/>
  <c r="AN8" i="24"/>
  <c r="AH8" i="24"/>
  <c r="AM8" i="24"/>
  <c r="AG8" i="24"/>
  <c r="AK9" i="24"/>
  <c r="AJ9" i="24"/>
  <c r="AI9" i="24"/>
  <c r="AH9" i="24"/>
  <c r="AN9" i="24"/>
  <c r="AL9" i="24"/>
  <c r="AG9" i="24"/>
  <c r="AM9" i="24"/>
  <c r="AJ10" i="24"/>
  <c r="AI10" i="24"/>
  <c r="AH10" i="24"/>
  <c r="AG10" i="24"/>
  <c r="AN10" i="24"/>
  <c r="AM10" i="24"/>
  <c r="AL10" i="24"/>
  <c r="AK10" i="24"/>
  <c r="AI11" i="24"/>
  <c r="AJ11" i="24"/>
  <c r="AH11" i="24"/>
  <c r="AG11" i="24"/>
  <c r="AN11" i="24"/>
  <c r="AM11" i="24"/>
  <c r="AL11" i="24"/>
  <c r="AK11" i="24"/>
  <c r="W4" i="24"/>
  <c r="AH4" i="24"/>
  <c r="AI4" i="24"/>
  <c r="AG4" i="24"/>
  <c r="AK4" i="24"/>
  <c r="AJ4" i="24"/>
  <c r="AN4" i="24"/>
  <c r="AM4" i="24"/>
  <c r="AL4" i="24"/>
  <c r="R10" i="32"/>
  <c r="W9" i="32"/>
  <c r="T8" i="32"/>
  <c r="U7" i="32"/>
  <c r="R6" i="32"/>
  <c r="W5" i="32"/>
  <c r="T4" i="32"/>
  <c r="AE16" i="16" l="1"/>
  <c r="AD16" i="16"/>
  <c r="AI31" i="16"/>
  <c r="AH2" i="16"/>
  <c r="AG16" i="16"/>
  <c r="AF16" i="16"/>
  <c r="AH16" i="16"/>
  <c r="AG33" i="28"/>
  <c r="AD33" i="28"/>
  <c r="AH33" i="28"/>
  <c r="AF33" i="28"/>
  <c r="AE33" i="28"/>
  <c r="AD2" i="30"/>
  <c r="AF2" i="30"/>
  <c r="AG2" i="30"/>
  <c r="AE2" i="18"/>
  <c r="AG2" i="18"/>
  <c r="AG14" i="18"/>
  <c r="AE2" i="30"/>
  <c r="AH2" i="30"/>
  <c r="AD2" i="29"/>
  <c r="AF2" i="29"/>
  <c r="AG2" i="29"/>
  <c r="AE2" i="29"/>
  <c r="AD2" i="17"/>
  <c r="AH2" i="18"/>
  <c r="AG2" i="17"/>
  <c r="AJ24" i="18"/>
  <c r="AJ23" i="18"/>
  <c r="AD2" i="18"/>
  <c r="AE2" i="17"/>
  <c r="AF2" i="17"/>
  <c r="AD14" i="18"/>
  <c r="AE14" i="18"/>
  <c r="AF2" i="18"/>
  <c r="AH2" i="17"/>
  <c r="AH14" i="18"/>
  <c r="AF14" i="18"/>
  <c r="X14" i="18"/>
  <c r="Y14" i="18"/>
  <c r="AB14" i="18"/>
  <c r="AC14" i="18"/>
  <c r="V14" i="18"/>
  <c r="Z14" i="18"/>
  <c r="W14" i="18"/>
  <c r="U14" i="18"/>
  <c r="AA14" i="18"/>
  <c r="AH2" i="31"/>
  <c r="AH2" i="2"/>
  <c r="AH2" i="3"/>
  <c r="AF2" i="31"/>
  <c r="AD2" i="2"/>
  <c r="AG2" i="3"/>
  <c r="AG2" i="31"/>
  <c r="AE2" i="31"/>
  <c r="AG2" i="2"/>
  <c r="AF2" i="3"/>
  <c r="AD2" i="31"/>
  <c r="AE2" i="2"/>
  <c r="AF2" i="2"/>
  <c r="AD2" i="3"/>
  <c r="AE2" i="3"/>
  <c r="AF2" i="20"/>
  <c r="AE2" i="20"/>
  <c r="AG2" i="20"/>
  <c r="AD2" i="20"/>
  <c r="AH2" i="20"/>
  <c r="AG2" i="19"/>
  <c r="AE2" i="19"/>
  <c r="AH2" i="19"/>
  <c r="AF2" i="19"/>
  <c r="AD2" i="19"/>
  <c r="AE2" i="14"/>
  <c r="AD2" i="13"/>
  <c r="AF2" i="13"/>
  <c r="AF2" i="14"/>
  <c r="AG2" i="13"/>
  <c r="AE2" i="13"/>
  <c r="AH2" i="13"/>
  <c r="AG2" i="14"/>
  <c r="AD2" i="14"/>
  <c r="AH2" i="14"/>
  <c r="AG2" i="12"/>
  <c r="AH2" i="11"/>
  <c r="AF2" i="12"/>
  <c r="AE2" i="12"/>
  <c r="AD2" i="12"/>
  <c r="AH2" i="12"/>
  <c r="AF2" i="11"/>
  <c r="AG2" i="11"/>
  <c r="AE2" i="11"/>
  <c r="AD2" i="11"/>
  <c r="AK2" i="24"/>
  <c r="AG2" i="24"/>
  <c r="AI2" i="24"/>
  <c r="AL2" i="24"/>
  <c r="AM2" i="24"/>
  <c r="AH2" i="24"/>
  <c r="AN2" i="24"/>
  <c r="AJ2" i="24"/>
  <c r="X6" i="32"/>
  <c r="S6" i="32"/>
  <c r="P6" i="32"/>
  <c r="Q6" i="32"/>
  <c r="T6" i="32"/>
  <c r="U6" i="32"/>
  <c r="V4" i="32"/>
  <c r="Q5" i="32"/>
  <c r="O7" i="32"/>
  <c r="W7" i="32"/>
  <c r="V8" i="32"/>
  <c r="Q9" i="32"/>
  <c r="T10" i="32"/>
  <c r="V10" i="32"/>
  <c r="W8" i="32"/>
  <c r="R9" i="32"/>
  <c r="U10" i="32"/>
  <c r="P4" i="32"/>
  <c r="X4" i="32"/>
  <c r="S5" i="32"/>
  <c r="V6" i="32"/>
  <c r="Q7" i="32"/>
  <c r="P8" i="32"/>
  <c r="X8" i="32"/>
  <c r="S9" i="32"/>
  <c r="Q4" i="32"/>
  <c r="T5" i="32"/>
  <c r="O6" i="32"/>
  <c r="W6" i="32"/>
  <c r="R7" i="32"/>
  <c r="Q8" i="32"/>
  <c r="T9" i="32"/>
  <c r="O10" i="32"/>
  <c r="W10" i="32"/>
  <c r="S4" i="32"/>
  <c r="U4" i="32"/>
  <c r="P5" i="32"/>
  <c r="X5" i="32"/>
  <c r="V7" i="32"/>
  <c r="U8" i="32"/>
  <c r="P9" i="32"/>
  <c r="X9" i="32"/>
  <c r="S10" i="32"/>
  <c r="O4" i="32"/>
  <c r="W4" i="32"/>
  <c r="R5" i="32"/>
  <c r="P7" i="32"/>
  <c r="X7" i="32"/>
  <c r="R4" i="32"/>
  <c r="U5" i="32"/>
  <c r="S7" i="32"/>
  <c r="R8" i="32"/>
  <c r="U9" i="32"/>
  <c r="P10" i="32"/>
  <c r="X10" i="32"/>
  <c r="V5" i="32"/>
  <c r="T7" i="32"/>
  <c r="S8" i="32"/>
  <c r="V9" i="32"/>
  <c r="Q10" i="32"/>
  <c r="O5" i="32"/>
  <c r="O9" i="32"/>
  <c r="W12" i="31"/>
  <c r="AB11" i="31"/>
  <c r="Y10" i="31"/>
  <c r="V8" i="31"/>
  <c r="AA7" i="31"/>
  <c r="X6" i="31"/>
  <c r="AA5" i="31"/>
  <c r="Z4" i="31"/>
  <c r="AI14" i="18" l="1"/>
  <c r="T2" i="32"/>
  <c r="W2" i="32"/>
  <c r="V2" i="32"/>
  <c r="O2" i="32"/>
  <c r="S2" i="32"/>
  <c r="X2" i="32"/>
  <c r="Q2" i="32"/>
  <c r="R2" i="32"/>
  <c r="U2" i="32"/>
  <c r="P2" i="32"/>
  <c r="Z7" i="32"/>
  <c r="Z8" i="32"/>
  <c r="Z10" i="32"/>
  <c r="Z5" i="32"/>
  <c r="Z9" i="32"/>
  <c r="Z4" i="32"/>
  <c r="Z6" i="32"/>
  <c r="T6" i="31"/>
  <c r="W6" i="31"/>
  <c r="Z6" i="31"/>
  <c r="AB6" i="31"/>
  <c r="T5" i="31"/>
  <c r="AC5" i="31"/>
  <c r="T7" i="31"/>
  <c r="U8" i="31"/>
  <c r="U5" i="31"/>
  <c r="U7" i="31"/>
  <c r="W8" i="31"/>
  <c r="V5" i="31"/>
  <c r="W7" i="31"/>
  <c r="X8" i="31"/>
  <c r="W5" i="31"/>
  <c r="X7" i="31"/>
  <c r="Z8" i="31"/>
  <c r="X5" i="31"/>
  <c r="Y6" i="31"/>
  <c r="Z7" i="31"/>
  <c r="AC8" i="31"/>
  <c r="Y5" i="31"/>
  <c r="AB7" i="31"/>
  <c r="Z5" i="31"/>
  <c r="AC7" i="31"/>
  <c r="AB5" i="31"/>
  <c r="AA10" i="31"/>
  <c r="V11" i="31"/>
  <c r="Y12" i="31"/>
  <c r="AC11" i="31"/>
  <c r="U4" i="31"/>
  <c r="AC4" i="31"/>
  <c r="AA6" i="31"/>
  <c r="V7" i="31"/>
  <c r="Y8" i="31"/>
  <c r="T10" i="31"/>
  <c r="AB10" i="31"/>
  <c r="W11" i="31"/>
  <c r="Z12" i="31"/>
  <c r="AA12" i="31"/>
  <c r="X12" i="31"/>
  <c r="T4" i="31"/>
  <c r="V4" i="31"/>
  <c r="U10" i="31"/>
  <c r="W4" i="31"/>
  <c r="U6" i="31"/>
  <c r="AC6" i="31"/>
  <c r="AA8" i="31"/>
  <c r="V10" i="31"/>
  <c r="Y11" i="31"/>
  <c r="T12" i="31"/>
  <c r="AB12" i="31"/>
  <c r="U11" i="31"/>
  <c r="AB4" i="31"/>
  <c r="AC10" i="31"/>
  <c r="X11" i="31"/>
  <c r="X4" i="31"/>
  <c r="V6" i="31"/>
  <c r="Y7" i="31"/>
  <c r="T8" i="31"/>
  <c r="AB8" i="31"/>
  <c r="W10" i="31"/>
  <c r="Z11" i="31"/>
  <c r="U12" i="31"/>
  <c r="AC12" i="31"/>
  <c r="AA11" i="31"/>
  <c r="V12" i="31"/>
  <c r="AA4" i="31"/>
  <c r="Z10" i="31"/>
  <c r="Y4" i="31"/>
  <c r="X10" i="31"/>
  <c r="T11" i="31"/>
  <c r="W11" i="30"/>
  <c r="AB10" i="30"/>
  <c r="Y8" i="30"/>
  <c r="V7" i="30"/>
  <c r="AA6" i="30"/>
  <c r="V5" i="30"/>
  <c r="AA4" i="30"/>
  <c r="W11" i="29"/>
  <c r="AB10" i="29"/>
  <c r="Y8" i="29"/>
  <c r="V7" i="29"/>
  <c r="AA6" i="29"/>
  <c r="V5" i="29"/>
  <c r="AA4" i="29"/>
  <c r="AJ5" i="31" l="1"/>
  <c r="AJ6" i="31"/>
  <c r="AJ4" i="31"/>
  <c r="AJ11" i="31"/>
  <c r="AJ8" i="31"/>
  <c r="AJ10" i="31"/>
  <c r="AJ12" i="31"/>
  <c r="AJ7" i="31"/>
  <c r="Y2" i="31"/>
  <c r="T2" i="31"/>
  <c r="AB2" i="31"/>
  <c r="Z2" i="31"/>
  <c r="W2" i="31"/>
  <c r="AA2" i="31"/>
  <c r="V2" i="31"/>
  <c r="AC2" i="31"/>
  <c r="X2" i="31"/>
  <c r="U2" i="31"/>
  <c r="Y2" i="32"/>
  <c r="X4" i="30"/>
  <c r="AC6" i="29"/>
  <c r="X7" i="29"/>
  <c r="Z5" i="30"/>
  <c r="V10" i="30"/>
  <c r="U6" i="30"/>
  <c r="AC6" i="30"/>
  <c r="U6" i="29"/>
  <c r="W4" i="30"/>
  <c r="X7" i="30"/>
  <c r="AA8" i="30"/>
  <c r="AA5" i="30"/>
  <c r="V6" i="30"/>
  <c r="Y7" i="30"/>
  <c r="T8" i="30"/>
  <c r="AB8" i="30"/>
  <c r="W10" i="30"/>
  <c r="Z11" i="30"/>
  <c r="Y4" i="30"/>
  <c r="T5" i="30"/>
  <c r="AB5" i="30"/>
  <c r="W6" i="30"/>
  <c r="Z7" i="30"/>
  <c r="U8" i="30"/>
  <c r="AC8" i="30"/>
  <c r="X10" i="30"/>
  <c r="Z4" i="30"/>
  <c r="U5" i="30"/>
  <c r="AC5" i="30"/>
  <c r="X6" i="30"/>
  <c r="T4" i="30"/>
  <c r="AB4" i="30"/>
  <c r="W5" i="30"/>
  <c r="Z6" i="30"/>
  <c r="U7" i="30"/>
  <c r="AC7" i="30"/>
  <c r="X8" i="30"/>
  <c r="U4" i="30"/>
  <c r="AC4" i="30"/>
  <c r="X5" i="30"/>
  <c r="V4" i="30"/>
  <c r="Y5" i="30"/>
  <c r="T6" i="30"/>
  <c r="AB6" i="30"/>
  <c r="W7" i="30"/>
  <c r="Z8" i="30"/>
  <c r="U10" i="30"/>
  <c r="AC10" i="30"/>
  <c r="X11" i="30"/>
  <c r="AA11" i="30"/>
  <c r="AA7" i="30"/>
  <c r="V8" i="30"/>
  <c r="Y10" i="30"/>
  <c r="T11" i="30"/>
  <c r="AB11" i="30"/>
  <c r="Y6" i="30"/>
  <c r="T7" i="30"/>
  <c r="AB7" i="30"/>
  <c r="W8" i="30"/>
  <c r="Z10" i="30"/>
  <c r="U11" i="30"/>
  <c r="AC11" i="30"/>
  <c r="Y11" i="30"/>
  <c r="AA10" i="30"/>
  <c r="V11" i="30"/>
  <c r="T10" i="30"/>
  <c r="AA5" i="29"/>
  <c r="V6" i="29"/>
  <c r="Y7" i="29"/>
  <c r="T8" i="29"/>
  <c r="AB8" i="29"/>
  <c r="W10" i="29"/>
  <c r="Z11" i="29"/>
  <c r="Y4" i="29"/>
  <c r="T5" i="29"/>
  <c r="AB5" i="29"/>
  <c r="W6" i="29"/>
  <c r="Z7" i="29"/>
  <c r="U8" i="29"/>
  <c r="AC8" i="29"/>
  <c r="X10" i="29"/>
  <c r="Z4" i="29"/>
  <c r="U5" i="29"/>
  <c r="AC5" i="29"/>
  <c r="X6" i="29"/>
  <c r="T4" i="29"/>
  <c r="AB4" i="29"/>
  <c r="W5" i="29"/>
  <c r="Z6" i="29"/>
  <c r="U7" i="29"/>
  <c r="AC7" i="29"/>
  <c r="X8" i="29"/>
  <c r="U4" i="29"/>
  <c r="AC4" i="29"/>
  <c r="X5" i="29"/>
  <c r="V4" i="29"/>
  <c r="Y5" i="29"/>
  <c r="T6" i="29"/>
  <c r="AB6" i="29"/>
  <c r="W7" i="29"/>
  <c r="Z8" i="29"/>
  <c r="U10" i="29"/>
  <c r="AC10" i="29"/>
  <c r="X11" i="29"/>
  <c r="AA11" i="29"/>
  <c r="W4" i="29"/>
  <c r="Z5" i="29"/>
  <c r="AA8" i="29"/>
  <c r="V10" i="29"/>
  <c r="Y11" i="29"/>
  <c r="X4" i="29"/>
  <c r="AA7" i="29"/>
  <c r="V8" i="29"/>
  <c r="Y10" i="29"/>
  <c r="T11" i="29"/>
  <c r="AB11" i="29"/>
  <c r="Y6" i="29"/>
  <c r="T7" i="29"/>
  <c r="AB7" i="29"/>
  <c r="W8" i="29"/>
  <c r="Z10" i="29"/>
  <c r="U11" i="29"/>
  <c r="AC11" i="29"/>
  <c r="AA10" i="29"/>
  <c r="V11" i="29"/>
  <c r="T10" i="29"/>
  <c r="AJ11" i="29" l="1"/>
  <c r="AJ6" i="30"/>
  <c r="AJ4" i="30"/>
  <c r="AJ8" i="30"/>
  <c r="AJ10" i="30"/>
  <c r="AJ11" i="30"/>
  <c r="AJ7" i="30"/>
  <c r="AJ5" i="30"/>
  <c r="AJ5" i="29"/>
  <c r="AJ7" i="29"/>
  <c r="AJ4" i="29"/>
  <c r="AJ8" i="29"/>
  <c r="AJ10" i="29"/>
  <c r="AJ6" i="29"/>
  <c r="AI2" i="31"/>
  <c r="AI26" i="31" s="1"/>
  <c r="AA2" i="29"/>
  <c r="Z2" i="29"/>
  <c r="AA2" i="30"/>
  <c r="W2" i="29"/>
  <c r="AC2" i="29"/>
  <c r="T2" i="29"/>
  <c r="U2" i="29"/>
  <c r="Z2" i="30"/>
  <c r="Y2" i="30"/>
  <c r="Y2" i="29"/>
  <c r="V2" i="30"/>
  <c r="W2" i="30"/>
  <c r="X2" i="30"/>
  <c r="V2" i="29"/>
  <c r="AB2" i="30"/>
  <c r="X2" i="29"/>
  <c r="AB2" i="29"/>
  <c r="AC2" i="30"/>
  <c r="T2" i="30"/>
  <c r="U2" i="30"/>
  <c r="Y10" i="32"/>
  <c r="Y4" i="32"/>
  <c r="Y9" i="32"/>
  <c r="Y7" i="32"/>
  <c r="Y8" i="32"/>
  <c r="Y5" i="32"/>
  <c r="Y6" i="32"/>
  <c r="AI11" i="31" l="1"/>
  <c r="AI20" i="31"/>
  <c r="AI18" i="31"/>
  <c r="AI25" i="31"/>
  <c r="AI17" i="31"/>
  <c r="AI23" i="31"/>
  <c r="AI24" i="31"/>
  <c r="AI21" i="31"/>
  <c r="AI22" i="31"/>
  <c r="AI19" i="31"/>
  <c r="AI2" i="30"/>
  <c r="AI10" i="30" s="1"/>
  <c r="AI2" i="29"/>
  <c r="AI9" i="29" s="1"/>
  <c r="AI10" i="31"/>
  <c r="AI9" i="31"/>
  <c r="Y3" i="32"/>
  <c r="AI12" i="31"/>
  <c r="AI6" i="31"/>
  <c r="AI7" i="31"/>
  <c r="AI8" i="31"/>
  <c r="AI5" i="31"/>
  <c r="AI4" i="31"/>
  <c r="AI8" i="29" l="1"/>
  <c r="AI7" i="29"/>
  <c r="AI11" i="29"/>
  <c r="AI5" i="29"/>
  <c r="AI6" i="29"/>
  <c r="AI4" i="29"/>
  <c r="AI4" i="30"/>
  <c r="AI7" i="30"/>
  <c r="AI8" i="30"/>
  <c r="AI5" i="30"/>
  <c r="AI11" i="30"/>
  <c r="AI6" i="30"/>
  <c r="AI10" i="29"/>
  <c r="AI3" i="30" l="1"/>
  <c r="AI3" i="29"/>
  <c r="AJ15" i="28" l="1"/>
  <c r="AM4" i="28"/>
  <c r="AL5" i="28"/>
  <c r="AM5" i="28" s="1"/>
  <c r="AC37" i="28"/>
  <c r="Z36" i="28"/>
  <c r="AC35" i="28"/>
  <c r="AC17" i="28"/>
  <c r="AC16" i="28"/>
  <c r="Y8" i="28"/>
  <c r="Z7" i="28"/>
  <c r="Z6" i="28"/>
  <c r="AB5" i="28"/>
  <c r="AC4" i="28"/>
  <c r="Z13" i="12" l="1"/>
  <c r="Y13" i="12"/>
  <c r="X13" i="12"/>
  <c r="U13" i="12"/>
  <c r="T13" i="12"/>
  <c r="W13" i="12"/>
  <c r="V13" i="12"/>
  <c r="AC13" i="12"/>
  <c r="AB13" i="12"/>
  <c r="AA13" i="12"/>
  <c r="AA6" i="28"/>
  <c r="Y17" i="28"/>
  <c r="AC6" i="28"/>
  <c r="Y4" i="28"/>
  <c r="Z16" i="28"/>
  <c r="Z8" i="28"/>
  <c r="AA7" i="28"/>
  <c r="AB6" i="28"/>
  <c r="AC5" i="28"/>
  <c r="AA8" i="28"/>
  <c r="AB7" i="28"/>
  <c r="Y16" i="28"/>
  <c r="AB8" i="28"/>
  <c r="AC7" i="28"/>
  <c r="Y5" i="28"/>
  <c r="Z4" i="28"/>
  <c r="Z17" i="28"/>
  <c r="AA16" i="28"/>
  <c r="Y6" i="28"/>
  <c r="Z5" i="28"/>
  <c r="AA4" i="28"/>
  <c r="AA17" i="28"/>
  <c r="AB16" i="28"/>
  <c r="Y7" i="28"/>
  <c r="AA5" i="28"/>
  <c r="AB4" i="28"/>
  <c r="AB17" i="28"/>
  <c r="AC8" i="28"/>
  <c r="Y35" i="28"/>
  <c r="AA36" i="28"/>
  <c r="AB36" i="28"/>
  <c r="Z35" i="28"/>
  <c r="AC36" i="28"/>
  <c r="AC33" i="28" s="1"/>
  <c r="AA35" i="28"/>
  <c r="Y37" i="28"/>
  <c r="AB35" i="28"/>
  <c r="Z37" i="28"/>
  <c r="AA37" i="28"/>
  <c r="Y36" i="28"/>
  <c r="AB37" i="28"/>
  <c r="U16" i="28"/>
  <c r="T16" i="28"/>
  <c r="V16" i="28"/>
  <c r="X16" i="28"/>
  <c r="W16" i="28"/>
  <c r="X17" i="28"/>
  <c r="V17" i="28"/>
  <c r="U17" i="28"/>
  <c r="W17" i="28"/>
  <c r="T17" i="28"/>
  <c r="Z33" i="28" l="1"/>
  <c r="Y33" i="28"/>
  <c r="AA33" i="28"/>
  <c r="AB33" i="28"/>
  <c r="AJ17" i="28"/>
  <c r="AJ16" i="28"/>
  <c r="X37" i="28"/>
  <c r="W37" i="28"/>
  <c r="V37" i="28"/>
  <c r="U37" i="28"/>
  <c r="T37" i="28"/>
  <c r="X35" i="28"/>
  <c r="W35" i="28"/>
  <c r="V35" i="28"/>
  <c r="U35" i="28"/>
  <c r="T35" i="28"/>
  <c r="U36" i="28"/>
  <c r="X36" i="28"/>
  <c r="T36" i="28"/>
  <c r="W36" i="28"/>
  <c r="V36" i="28"/>
  <c r="U33" i="28" l="1"/>
  <c r="X33" i="28"/>
  <c r="T33" i="28"/>
  <c r="V33" i="28"/>
  <c r="W33" i="28"/>
  <c r="AJ37" i="28"/>
  <c r="AJ36" i="28"/>
  <c r="AJ35" i="28"/>
  <c r="U4" i="28"/>
  <c r="V4" i="28"/>
  <c r="T5" i="28"/>
  <c r="W5" i="28"/>
  <c r="V7" i="28"/>
  <c r="W4" i="28"/>
  <c r="U5" i="28"/>
  <c r="X4" i="28"/>
  <c r="V5" i="28"/>
  <c r="W7" i="28"/>
  <c r="X7" i="28"/>
  <c r="T4" i="28"/>
  <c r="T6" i="28"/>
  <c r="V8" i="28"/>
  <c r="X5" i="28"/>
  <c r="U6" i="28"/>
  <c r="W8" i="28"/>
  <c r="V6" i="28"/>
  <c r="X8" i="28"/>
  <c r="W6" i="28"/>
  <c r="X6" i="28"/>
  <c r="U7" i="28"/>
  <c r="T8" i="28"/>
  <c r="U8" i="28"/>
  <c r="AA23" i="26"/>
  <c r="T11" i="23"/>
  <c r="T5" i="23"/>
  <c r="S11" i="22"/>
  <c r="S6" i="21"/>
  <c r="AA24" i="16"/>
  <c r="AA11" i="16"/>
  <c r="R11" i="15"/>
  <c r="R6" i="15"/>
  <c r="W8" i="14"/>
  <c r="V9" i="10"/>
  <c r="V13" i="7"/>
  <c r="T9" i="7"/>
  <c r="T10" i="6"/>
  <c r="V4" i="6"/>
  <c r="T11" i="5"/>
  <c r="T10" i="4"/>
  <c r="T4" i="4"/>
  <c r="AJ9" i="28" l="1"/>
  <c r="AJ7" i="28"/>
  <c r="AJ5" i="28"/>
  <c r="AJ4" i="28"/>
  <c r="AJ8" i="28"/>
  <c r="AJ6" i="28"/>
  <c r="AI33" i="28"/>
  <c r="AI36" i="28" s="1"/>
  <c r="AC5" i="2"/>
  <c r="AB5" i="2"/>
  <c r="Z5" i="2"/>
  <c r="X5" i="2"/>
  <c r="V5" i="2"/>
  <c r="T5" i="2"/>
  <c r="AB6" i="2"/>
  <c r="AC6" i="2"/>
  <c r="Y6" i="2"/>
  <c r="U6" i="2"/>
  <c r="AA7" i="2"/>
  <c r="AC7" i="2"/>
  <c r="AB7" i="2"/>
  <c r="Z7" i="2"/>
  <c r="Y7" i="2"/>
  <c r="X7" i="2"/>
  <c r="V7" i="2"/>
  <c r="U7" i="2"/>
  <c r="T7" i="2"/>
  <c r="AC10" i="2"/>
  <c r="AB10" i="2"/>
  <c r="Z10" i="2"/>
  <c r="X10" i="2"/>
  <c r="V10" i="2"/>
  <c r="T10" i="2"/>
  <c r="AB11" i="2"/>
  <c r="AC11" i="2"/>
  <c r="Y11" i="2"/>
  <c r="U11" i="2"/>
  <c r="AA12" i="2"/>
  <c r="AC12" i="2"/>
  <c r="AB12" i="2"/>
  <c r="Z12" i="2"/>
  <c r="Y12" i="2"/>
  <c r="X12" i="2"/>
  <c r="V12" i="2"/>
  <c r="U12" i="2"/>
  <c r="T12" i="2"/>
  <c r="AA4" i="3"/>
  <c r="AC4" i="3"/>
  <c r="AB4" i="3"/>
  <c r="Y4" i="3"/>
  <c r="X4" i="3"/>
  <c r="U4" i="3"/>
  <c r="T4" i="3"/>
  <c r="AC6" i="3"/>
  <c r="Z6" i="3"/>
  <c r="V6" i="3"/>
  <c r="AB7" i="3"/>
  <c r="AC7" i="3"/>
  <c r="Z7" i="3"/>
  <c r="V7" i="3"/>
  <c r="U7" i="3"/>
  <c r="AA8" i="3"/>
  <c r="AC8" i="3"/>
  <c r="AB8" i="3"/>
  <c r="Y8" i="3"/>
  <c r="X8" i="3"/>
  <c r="U8" i="3"/>
  <c r="T8" i="3"/>
  <c r="AA10" i="3"/>
  <c r="W10" i="3"/>
  <c r="AC11" i="3"/>
  <c r="Z11" i="3"/>
  <c r="V11" i="3"/>
  <c r="AB12" i="3"/>
  <c r="AC12" i="3"/>
  <c r="Z12" i="3"/>
  <c r="Y12" i="3"/>
  <c r="V12" i="3"/>
  <c r="U12" i="3"/>
  <c r="V5" i="4"/>
  <c r="X5" i="4"/>
  <c r="W5" i="4"/>
  <c r="U5" i="4"/>
  <c r="T5" i="4"/>
  <c r="S5" i="4"/>
  <c r="Q5" i="4"/>
  <c r="P5" i="4"/>
  <c r="O5" i="4"/>
  <c r="T6" i="4"/>
  <c r="R6" i="4"/>
  <c r="X7" i="4"/>
  <c r="W7" i="4"/>
  <c r="U7" i="4"/>
  <c r="S7" i="4"/>
  <c r="Q7" i="4"/>
  <c r="O7" i="4"/>
  <c r="V9" i="4"/>
  <c r="X9" i="4"/>
  <c r="W9" i="4"/>
  <c r="U9" i="4"/>
  <c r="T9" i="4"/>
  <c r="S9" i="4"/>
  <c r="Q9" i="4"/>
  <c r="P9" i="4"/>
  <c r="O9" i="4"/>
  <c r="X11" i="4"/>
  <c r="W11" i="4"/>
  <c r="U11" i="4"/>
  <c r="S11" i="4"/>
  <c r="Q11" i="4"/>
  <c r="O11" i="4"/>
  <c r="T12" i="4"/>
  <c r="X12" i="4"/>
  <c r="R12" i="4"/>
  <c r="P12" i="4"/>
  <c r="V13" i="4"/>
  <c r="X13" i="4"/>
  <c r="W13" i="4"/>
  <c r="U13" i="4"/>
  <c r="T13" i="4"/>
  <c r="S13" i="4"/>
  <c r="Q13" i="4"/>
  <c r="P13" i="4"/>
  <c r="O13" i="4"/>
  <c r="V4" i="5"/>
  <c r="X4" i="5"/>
  <c r="W4" i="5"/>
  <c r="U4" i="5"/>
  <c r="T4" i="5"/>
  <c r="S4" i="5"/>
  <c r="Q4" i="5"/>
  <c r="P4" i="5"/>
  <c r="O4" i="5"/>
  <c r="X6" i="5"/>
  <c r="W6" i="5"/>
  <c r="U6" i="5"/>
  <c r="S6" i="5"/>
  <c r="Q6" i="5"/>
  <c r="O6" i="5"/>
  <c r="T7" i="5"/>
  <c r="R7" i="5"/>
  <c r="V8" i="5"/>
  <c r="X8" i="5"/>
  <c r="W8" i="5"/>
  <c r="U8" i="5"/>
  <c r="T8" i="5"/>
  <c r="S8" i="5"/>
  <c r="Q8" i="5"/>
  <c r="P8" i="5"/>
  <c r="O8" i="5"/>
  <c r="T9" i="5"/>
  <c r="X9" i="5"/>
  <c r="R9" i="5"/>
  <c r="P9" i="5"/>
  <c r="X10" i="5"/>
  <c r="W10" i="5"/>
  <c r="U10" i="5"/>
  <c r="S10" i="5"/>
  <c r="Q10" i="5"/>
  <c r="O10" i="5"/>
  <c r="X5" i="6"/>
  <c r="W5" i="6"/>
  <c r="U5" i="6"/>
  <c r="S5" i="6"/>
  <c r="Q5" i="6"/>
  <c r="O5" i="6"/>
  <c r="T6" i="6"/>
  <c r="R6" i="6"/>
  <c r="V7" i="6"/>
  <c r="X7" i="6"/>
  <c r="W7" i="6"/>
  <c r="U7" i="6"/>
  <c r="T7" i="6"/>
  <c r="S7" i="6"/>
  <c r="Q7" i="6"/>
  <c r="P7" i="6"/>
  <c r="O7" i="6"/>
  <c r="T8" i="6"/>
  <c r="X8" i="6"/>
  <c r="R8" i="6"/>
  <c r="P8" i="6"/>
  <c r="X9" i="6"/>
  <c r="W9" i="6"/>
  <c r="U9" i="6"/>
  <c r="S9" i="6"/>
  <c r="Q9" i="6"/>
  <c r="O9" i="6"/>
  <c r="V11" i="6"/>
  <c r="X11" i="6"/>
  <c r="W11" i="6"/>
  <c r="U11" i="6"/>
  <c r="T11" i="6"/>
  <c r="S11" i="6"/>
  <c r="Q11" i="6"/>
  <c r="P11" i="6"/>
  <c r="O11" i="6"/>
  <c r="X4" i="7"/>
  <c r="W4" i="7"/>
  <c r="U4" i="7"/>
  <c r="S4" i="7"/>
  <c r="Q4" i="7"/>
  <c r="O4" i="7"/>
  <c r="T5" i="7"/>
  <c r="R5" i="7"/>
  <c r="V6" i="7"/>
  <c r="X6" i="7"/>
  <c r="W6" i="7"/>
  <c r="U6" i="7"/>
  <c r="T6" i="7"/>
  <c r="S6" i="7"/>
  <c r="Q6" i="7"/>
  <c r="P6" i="7"/>
  <c r="O6" i="7"/>
  <c r="T7" i="7"/>
  <c r="X7" i="7"/>
  <c r="R7" i="7"/>
  <c r="P7" i="7"/>
  <c r="X8" i="7"/>
  <c r="W8" i="7"/>
  <c r="U8" i="7"/>
  <c r="S8" i="7"/>
  <c r="Q8" i="7"/>
  <c r="O8" i="7"/>
  <c r="V10" i="7"/>
  <c r="X10" i="7"/>
  <c r="W10" i="7"/>
  <c r="U10" i="7"/>
  <c r="T10" i="7"/>
  <c r="S10" i="7"/>
  <c r="Q10" i="7"/>
  <c r="P10" i="7"/>
  <c r="O10" i="7"/>
  <c r="T11" i="7"/>
  <c r="R11" i="7"/>
  <c r="X12" i="7"/>
  <c r="W12" i="7"/>
  <c r="U12" i="7"/>
  <c r="S12" i="7"/>
  <c r="Q12" i="7"/>
  <c r="O12" i="7"/>
  <c r="W4" i="8"/>
  <c r="X4" i="8"/>
  <c r="T4" i="8"/>
  <c r="P4" i="8"/>
  <c r="V5" i="8"/>
  <c r="X5" i="8"/>
  <c r="W5" i="8"/>
  <c r="U5" i="8"/>
  <c r="T5" i="8"/>
  <c r="S5" i="8"/>
  <c r="Q5" i="8"/>
  <c r="P5" i="8"/>
  <c r="O5" i="8"/>
  <c r="V6" i="8"/>
  <c r="R6" i="8"/>
  <c r="X7" i="8"/>
  <c r="W7" i="8"/>
  <c r="U7" i="8"/>
  <c r="S7" i="8"/>
  <c r="Q7" i="8"/>
  <c r="O7" i="8"/>
  <c r="W8" i="8"/>
  <c r="X8" i="8"/>
  <c r="T8" i="8"/>
  <c r="P8" i="8"/>
  <c r="V9" i="8"/>
  <c r="X9" i="8"/>
  <c r="W9" i="8"/>
  <c r="U9" i="8"/>
  <c r="T9" i="8"/>
  <c r="S9" i="8"/>
  <c r="Q9" i="8"/>
  <c r="P9" i="8"/>
  <c r="O9" i="8"/>
  <c r="V10" i="8"/>
  <c r="R10" i="8"/>
  <c r="X11" i="8"/>
  <c r="W11" i="8"/>
  <c r="U11" i="8"/>
  <c r="S11" i="8"/>
  <c r="Q11" i="8"/>
  <c r="O11" i="8"/>
  <c r="X4" i="9"/>
  <c r="U4" i="9"/>
  <c r="R4" i="9"/>
  <c r="P4" i="9"/>
  <c r="V5" i="9"/>
  <c r="X5" i="9"/>
  <c r="W5" i="9"/>
  <c r="U5" i="9"/>
  <c r="T5" i="9"/>
  <c r="S5" i="9"/>
  <c r="Q5" i="9"/>
  <c r="P5" i="9"/>
  <c r="O5" i="9"/>
  <c r="W6" i="9"/>
  <c r="T6" i="9"/>
  <c r="R6" i="9"/>
  <c r="O6" i="9"/>
  <c r="W7" i="9"/>
  <c r="V7" i="9"/>
  <c r="U7" i="9"/>
  <c r="R7" i="9"/>
  <c r="Q7" i="9"/>
  <c r="O7" i="9"/>
  <c r="X8" i="9"/>
  <c r="U8" i="9"/>
  <c r="R8" i="9"/>
  <c r="P8" i="9"/>
  <c r="V9" i="9"/>
  <c r="X9" i="9"/>
  <c r="W9" i="9"/>
  <c r="U9" i="9"/>
  <c r="T9" i="9"/>
  <c r="S9" i="9"/>
  <c r="Q9" i="9"/>
  <c r="P9" i="9"/>
  <c r="O9" i="9"/>
  <c r="W10" i="9"/>
  <c r="T10" i="9"/>
  <c r="R10" i="9"/>
  <c r="O10" i="9"/>
  <c r="W11" i="9"/>
  <c r="V11" i="9"/>
  <c r="U11" i="9"/>
  <c r="R11" i="9"/>
  <c r="Q11" i="9"/>
  <c r="O11" i="9"/>
  <c r="X12" i="9"/>
  <c r="U12" i="9"/>
  <c r="R12" i="9"/>
  <c r="P12" i="9"/>
  <c r="X4" i="10"/>
  <c r="W4" i="10"/>
  <c r="U4" i="10"/>
  <c r="S4" i="10"/>
  <c r="Q4" i="10"/>
  <c r="O4" i="10"/>
  <c r="X5" i="10"/>
  <c r="T5" i="10"/>
  <c r="P5" i="10"/>
  <c r="V6" i="10"/>
  <c r="X6" i="10"/>
  <c r="W6" i="10"/>
  <c r="U6" i="10"/>
  <c r="T6" i="10"/>
  <c r="S6" i="10"/>
  <c r="Q6" i="10"/>
  <c r="P6" i="10"/>
  <c r="O6" i="10"/>
  <c r="T7" i="10"/>
  <c r="R7" i="10"/>
  <c r="X8" i="10"/>
  <c r="W8" i="10"/>
  <c r="U8" i="10"/>
  <c r="S8" i="10"/>
  <c r="Q8" i="10"/>
  <c r="O8" i="10"/>
  <c r="V10" i="10"/>
  <c r="X10" i="10"/>
  <c r="W10" i="10"/>
  <c r="U10" i="10"/>
  <c r="T10" i="10"/>
  <c r="S10" i="10"/>
  <c r="Q10" i="10"/>
  <c r="P10" i="10"/>
  <c r="O10" i="10"/>
  <c r="X11" i="10"/>
  <c r="T11" i="10"/>
  <c r="P11" i="10"/>
  <c r="X12" i="10"/>
  <c r="W12" i="10"/>
  <c r="U12" i="10"/>
  <c r="S12" i="10"/>
  <c r="Q12" i="10"/>
  <c r="O12" i="10"/>
  <c r="AC4" i="11"/>
  <c r="AB4" i="11"/>
  <c r="Z4" i="11"/>
  <c r="X4" i="11"/>
  <c r="V4" i="11"/>
  <c r="T4" i="11"/>
  <c r="AC5" i="11"/>
  <c r="Y5" i="11"/>
  <c r="W5" i="11"/>
  <c r="U5" i="11"/>
  <c r="AA6" i="11"/>
  <c r="AC6" i="11"/>
  <c r="AB6" i="11"/>
  <c r="Z6" i="11"/>
  <c r="Y6" i="11"/>
  <c r="X6" i="11"/>
  <c r="V6" i="11"/>
  <c r="U6" i="11"/>
  <c r="T6" i="11"/>
  <c r="AC8" i="11"/>
  <c r="AB8" i="11"/>
  <c r="Z8" i="11"/>
  <c r="X8" i="11"/>
  <c r="V8" i="11"/>
  <c r="T8" i="11"/>
  <c r="Y9" i="11"/>
  <c r="W9" i="11"/>
  <c r="AA10" i="11"/>
  <c r="AC10" i="11"/>
  <c r="AB10" i="11"/>
  <c r="Z10" i="11"/>
  <c r="Y10" i="11"/>
  <c r="X10" i="11"/>
  <c r="V10" i="11"/>
  <c r="U10" i="11"/>
  <c r="T10" i="11"/>
  <c r="AC11" i="11"/>
  <c r="Y11" i="11"/>
  <c r="W11" i="11"/>
  <c r="U11" i="11"/>
  <c r="AC4" i="12"/>
  <c r="Y4" i="12"/>
  <c r="W4" i="12"/>
  <c r="U4" i="12"/>
  <c r="AC5" i="12"/>
  <c r="AB5" i="12"/>
  <c r="Z5" i="12"/>
  <c r="X5" i="12"/>
  <c r="V5" i="12"/>
  <c r="T5" i="12"/>
  <c r="AC6" i="12"/>
  <c r="Y6" i="12"/>
  <c r="U6" i="12"/>
  <c r="AA7" i="12"/>
  <c r="AC7" i="12"/>
  <c r="AB7" i="12"/>
  <c r="Z7" i="12"/>
  <c r="Y7" i="12"/>
  <c r="X7" i="12"/>
  <c r="V7" i="12"/>
  <c r="U7" i="12"/>
  <c r="T7" i="12"/>
  <c r="Y8" i="12"/>
  <c r="W8" i="12"/>
  <c r="AC9" i="12"/>
  <c r="AB9" i="12"/>
  <c r="Z9" i="12"/>
  <c r="X9" i="12"/>
  <c r="V9" i="12"/>
  <c r="T9" i="12"/>
  <c r="AB12" i="12"/>
  <c r="AC12" i="12"/>
  <c r="AA12" i="12"/>
  <c r="Z12" i="12"/>
  <c r="Y12" i="12"/>
  <c r="W12" i="12"/>
  <c r="V12" i="12"/>
  <c r="U12" i="12"/>
  <c r="W14" i="12"/>
  <c r="Y4" i="13"/>
  <c r="W4" i="13"/>
  <c r="AC5" i="13"/>
  <c r="AB5" i="13"/>
  <c r="Z5" i="13"/>
  <c r="X5" i="13"/>
  <c r="V5" i="13"/>
  <c r="T5" i="13"/>
  <c r="AA7" i="13"/>
  <c r="AC7" i="13"/>
  <c r="AB7" i="13"/>
  <c r="Z7" i="13"/>
  <c r="Y7" i="13"/>
  <c r="X7" i="13"/>
  <c r="V7" i="13"/>
  <c r="U7" i="13"/>
  <c r="T7" i="13"/>
  <c r="AC8" i="13"/>
  <c r="Y8" i="13"/>
  <c r="U8" i="13"/>
  <c r="AC10" i="13"/>
  <c r="AB10" i="13"/>
  <c r="Z10" i="13"/>
  <c r="X10" i="13"/>
  <c r="V10" i="13"/>
  <c r="T10" i="13"/>
  <c r="AC11" i="13"/>
  <c r="Y11" i="13"/>
  <c r="W11" i="13"/>
  <c r="U11" i="13"/>
  <c r="AA12" i="13"/>
  <c r="AC12" i="13"/>
  <c r="AB12" i="13"/>
  <c r="Z12" i="13"/>
  <c r="Y12" i="13"/>
  <c r="X12" i="13"/>
  <c r="V12" i="13"/>
  <c r="U12" i="13"/>
  <c r="T12" i="13"/>
  <c r="AA4" i="14"/>
  <c r="W4" i="14"/>
  <c r="AB5" i="14"/>
  <c r="AC5" i="14"/>
  <c r="Z5" i="14"/>
  <c r="Y5" i="14"/>
  <c r="V5" i="14"/>
  <c r="U5" i="14"/>
  <c r="AA6" i="14"/>
  <c r="AC6" i="14"/>
  <c r="AB6" i="14"/>
  <c r="Y6" i="14"/>
  <c r="X6" i="14"/>
  <c r="U6" i="14"/>
  <c r="T6" i="14"/>
  <c r="AB7" i="14"/>
  <c r="X7" i="14"/>
  <c r="W7" i="14"/>
  <c r="T7" i="14"/>
  <c r="AB9" i="14"/>
  <c r="AC9" i="14"/>
  <c r="Z9" i="14"/>
  <c r="Y9" i="14"/>
  <c r="X9" i="14"/>
  <c r="V9" i="14"/>
  <c r="U9" i="14"/>
  <c r="T9" i="14"/>
  <c r="AA10" i="14"/>
  <c r="AC10" i="14"/>
  <c r="AB10" i="14"/>
  <c r="Y10" i="14"/>
  <c r="X10" i="14"/>
  <c r="U10" i="14"/>
  <c r="T10" i="14"/>
  <c r="AB11" i="14"/>
  <c r="X11" i="14"/>
  <c r="T11" i="14"/>
  <c r="V4" i="15"/>
  <c r="X4" i="15"/>
  <c r="W4" i="15"/>
  <c r="U4" i="15"/>
  <c r="T4" i="15"/>
  <c r="S4" i="15"/>
  <c r="Q4" i="15"/>
  <c r="P4" i="15"/>
  <c r="O4" i="15"/>
  <c r="V5" i="15"/>
  <c r="X5" i="15"/>
  <c r="W5" i="15"/>
  <c r="T5" i="15"/>
  <c r="S5" i="15"/>
  <c r="P5" i="15"/>
  <c r="O5" i="15"/>
  <c r="U7" i="15"/>
  <c r="Q7" i="15"/>
  <c r="V8" i="15"/>
  <c r="X8" i="15"/>
  <c r="W8" i="15"/>
  <c r="U8" i="15"/>
  <c r="T8" i="15"/>
  <c r="S8" i="15"/>
  <c r="Q8" i="15"/>
  <c r="P8" i="15"/>
  <c r="O8" i="15"/>
  <c r="V9" i="15"/>
  <c r="X9" i="15"/>
  <c r="W9" i="15"/>
  <c r="T9" i="15"/>
  <c r="S9" i="15"/>
  <c r="P9" i="15"/>
  <c r="O9" i="15"/>
  <c r="V10" i="15"/>
  <c r="W10" i="15"/>
  <c r="S10" i="15"/>
  <c r="O10" i="15"/>
  <c r="AA4" i="16"/>
  <c r="AC4" i="16"/>
  <c r="AB4" i="16"/>
  <c r="Y4" i="16"/>
  <c r="X4" i="16"/>
  <c r="U4" i="16"/>
  <c r="T4" i="16"/>
  <c r="AA5" i="16"/>
  <c r="AC5" i="16"/>
  <c r="AB5" i="16"/>
  <c r="Z5" i="16"/>
  <c r="Y5" i="16"/>
  <c r="X5" i="16"/>
  <c r="V5" i="16"/>
  <c r="U5" i="16"/>
  <c r="T5" i="16"/>
  <c r="AA6" i="16"/>
  <c r="AC6" i="16"/>
  <c r="AB6" i="16"/>
  <c r="Y6" i="16"/>
  <c r="X6" i="16"/>
  <c r="U6" i="16"/>
  <c r="T6" i="16"/>
  <c r="Z8" i="16"/>
  <c r="V8" i="16"/>
  <c r="AB9" i="16"/>
  <c r="AC9" i="16"/>
  <c r="Z9" i="16"/>
  <c r="Y9" i="16"/>
  <c r="V9" i="16"/>
  <c r="U9" i="16"/>
  <c r="AA10" i="16"/>
  <c r="AC10" i="16"/>
  <c r="AB10" i="16"/>
  <c r="Y10" i="16"/>
  <c r="X10" i="16"/>
  <c r="U10" i="16"/>
  <c r="T10" i="16"/>
  <c r="Z12" i="16"/>
  <c r="V12" i="16"/>
  <c r="AB13" i="16"/>
  <c r="AC13" i="16"/>
  <c r="Z13" i="16"/>
  <c r="Y13" i="16"/>
  <c r="V13" i="16"/>
  <c r="U13" i="16"/>
  <c r="AB18" i="16"/>
  <c r="AC18" i="16"/>
  <c r="Z18" i="16"/>
  <c r="Y18" i="16"/>
  <c r="V18" i="16"/>
  <c r="U18" i="16"/>
  <c r="AA19" i="16"/>
  <c r="AC19" i="16"/>
  <c r="AB19" i="16"/>
  <c r="Y19" i="16"/>
  <c r="X19" i="16"/>
  <c r="U19" i="16"/>
  <c r="T19" i="16"/>
  <c r="X20" i="16"/>
  <c r="W20" i="16"/>
  <c r="AB22" i="16"/>
  <c r="AC22" i="16"/>
  <c r="Z22" i="16"/>
  <c r="Y22" i="16"/>
  <c r="X22" i="16"/>
  <c r="V22" i="16"/>
  <c r="U22" i="16"/>
  <c r="T22" i="16"/>
  <c r="AA23" i="16"/>
  <c r="AC23" i="16"/>
  <c r="AB23" i="16"/>
  <c r="Y23" i="16"/>
  <c r="X23" i="16"/>
  <c r="U23" i="16"/>
  <c r="T23" i="16"/>
  <c r="AC26" i="16"/>
  <c r="Z26" i="16"/>
  <c r="V26" i="16"/>
  <c r="AA27" i="16"/>
  <c r="AC27" i="16"/>
  <c r="AB27" i="16"/>
  <c r="Z27" i="16"/>
  <c r="Y27" i="16"/>
  <c r="V27" i="16"/>
  <c r="U27" i="16"/>
  <c r="T27" i="16"/>
  <c r="AA28" i="16"/>
  <c r="AC28" i="16"/>
  <c r="AB28" i="16"/>
  <c r="Y28" i="16"/>
  <c r="X28" i="16"/>
  <c r="U28" i="16"/>
  <c r="T28" i="16"/>
  <c r="AC5" i="17"/>
  <c r="Z5" i="17"/>
  <c r="V5" i="17"/>
  <c r="AA6" i="17"/>
  <c r="AC6" i="17"/>
  <c r="AB6" i="17"/>
  <c r="Z6" i="17"/>
  <c r="Y6" i="17"/>
  <c r="X6" i="17"/>
  <c r="V6" i="17"/>
  <c r="U6" i="17"/>
  <c r="T6" i="17"/>
  <c r="AA7" i="17"/>
  <c r="AC7" i="17"/>
  <c r="AB7" i="17"/>
  <c r="Y7" i="17"/>
  <c r="X7" i="17"/>
  <c r="U7" i="17"/>
  <c r="T7" i="17"/>
  <c r="AC9" i="17"/>
  <c r="Z9" i="17"/>
  <c r="V9" i="17"/>
  <c r="AA10" i="17"/>
  <c r="AC10" i="17"/>
  <c r="AB10" i="17"/>
  <c r="Z10" i="17"/>
  <c r="Y10" i="17"/>
  <c r="X10" i="17"/>
  <c r="V10" i="17"/>
  <c r="U10" i="17"/>
  <c r="T10" i="17"/>
  <c r="AA4" i="18"/>
  <c r="AC4" i="18"/>
  <c r="AB4" i="18"/>
  <c r="Y4" i="18"/>
  <c r="X4" i="18"/>
  <c r="U4" i="18"/>
  <c r="T4" i="18"/>
  <c r="AA5" i="18"/>
  <c r="W5" i="18"/>
  <c r="AC6" i="18"/>
  <c r="Z6" i="18"/>
  <c r="V6" i="18"/>
  <c r="AA7" i="18"/>
  <c r="AC7" i="18"/>
  <c r="AB7" i="18"/>
  <c r="Z7" i="18"/>
  <c r="Y7" i="18"/>
  <c r="X7" i="18"/>
  <c r="V7" i="18"/>
  <c r="U7" i="18"/>
  <c r="T7" i="18"/>
  <c r="AA8" i="18"/>
  <c r="AC8" i="18"/>
  <c r="AB8" i="18"/>
  <c r="Y8" i="18"/>
  <c r="X8" i="18"/>
  <c r="U8" i="18"/>
  <c r="T8" i="18"/>
  <c r="AB9" i="18"/>
  <c r="X9" i="18"/>
  <c r="AA10" i="18"/>
  <c r="W10" i="18"/>
  <c r="Z5" i="19"/>
  <c r="W5" i="19"/>
  <c r="V5" i="19"/>
  <c r="AB6" i="19"/>
  <c r="AC6" i="19"/>
  <c r="Z6" i="19"/>
  <c r="Y6" i="19"/>
  <c r="V6" i="19"/>
  <c r="U6" i="19"/>
  <c r="AA7" i="19"/>
  <c r="AC7" i="19"/>
  <c r="AB7" i="19"/>
  <c r="Y7" i="19"/>
  <c r="X7" i="19"/>
  <c r="U7" i="19"/>
  <c r="T7" i="19"/>
  <c r="Z9" i="19"/>
  <c r="W9" i="19"/>
  <c r="V9" i="19"/>
  <c r="AB10" i="19"/>
  <c r="AC10" i="19"/>
  <c r="Z10" i="19"/>
  <c r="Y10" i="19"/>
  <c r="V10" i="19"/>
  <c r="U10" i="19"/>
  <c r="AA12" i="19"/>
  <c r="AC12" i="19"/>
  <c r="AB12" i="19"/>
  <c r="Y12" i="19"/>
  <c r="X12" i="19"/>
  <c r="U12" i="19"/>
  <c r="T12" i="19"/>
  <c r="Z14" i="19"/>
  <c r="W14" i="19"/>
  <c r="V14" i="19"/>
  <c r="Z4" i="20"/>
  <c r="W4" i="20"/>
  <c r="V4" i="20"/>
  <c r="AB5" i="20"/>
  <c r="AC5" i="20"/>
  <c r="Z5" i="20"/>
  <c r="Y5" i="20"/>
  <c r="V5" i="20"/>
  <c r="U5" i="20"/>
  <c r="AA6" i="20"/>
  <c r="AC6" i="20"/>
  <c r="AB6" i="20"/>
  <c r="Y6" i="20"/>
  <c r="X6" i="20"/>
  <c r="U6" i="20"/>
  <c r="T6" i="20"/>
  <c r="X7" i="20"/>
  <c r="AB7" i="20"/>
  <c r="W7" i="20"/>
  <c r="T7" i="20"/>
  <c r="AC8" i="20"/>
  <c r="Z8" i="20"/>
  <c r="V8" i="20"/>
  <c r="AC10" i="20"/>
  <c r="AA10" i="20"/>
  <c r="W10" i="20"/>
  <c r="V10" i="20"/>
  <c r="AA11" i="20"/>
  <c r="AC11" i="20"/>
  <c r="AB11" i="20"/>
  <c r="Z11" i="20"/>
  <c r="Y11" i="20"/>
  <c r="X11" i="20"/>
  <c r="V11" i="20"/>
  <c r="U11" i="20"/>
  <c r="T11" i="20"/>
  <c r="AC12" i="20"/>
  <c r="AB12" i="20"/>
  <c r="X12" i="20"/>
  <c r="V12" i="20"/>
  <c r="V4" i="21"/>
  <c r="X4" i="21"/>
  <c r="W4" i="21"/>
  <c r="U4" i="21"/>
  <c r="T4" i="21"/>
  <c r="S4" i="21"/>
  <c r="Q4" i="21"/>
  <c r="P4" i="21"/>
  <c r="O4" i="21"/>
  <c r="W5" i="21"/>
  <c r="V5" i="21"/>
  <c r="T5" i="21"/>
  <c r="R5" i="21"/>
  <c r="P5" i="21"/>
  <c r="O5" i="21"/>
  <c r="X7" i="21"/>
  <c r="V7" i="21"/>
  <c r="U7" i="21"/>
  <c r="R7" i="21"/>
  <c r="Q7" i="21"/>
  <c r="P7" i="21"/>
  <c r="V8" i="21"/>
  <c r="X8" i="21"/>
  <c r="W8" i="21"/>
  <c r="U8" i="21"/>
  <c r="T8" i="21"/>
  <c r="S8" i="21"/>
  <c r="Q8" i="21"/>
  <c r="P8" i="21"/>
  <c r="O8" i="21"/>
  <c r="W9" i="21"/>
  <c r="V9" i="21"/>
  <c r="T9" i="21"/>
  <c r="R9" i="21"/>
  <c r="P9" i="21"/>
  <c r="O9" i="21"/>
  <c r="W11" i="21"/>
  <c r="V11" i="21"/>
  <c r="S11" i="21"/>
  <c r="R11" i="21"/>
  <c r="Q11" i="21"/>
  <c r="V4" i="22"/>
  <c r="X4" i="22"/>
  <c r="W4" i="22"/>
  <c r="U4" i="22"/>
  <c r="T4" i="22"/>
  <c r="S4" i="22"/>
  <c r="Q4" i="22"/>
  <c r="P4" i="22"/>
  <c r="O4" i="22"/>
  <c r="W5" i="22"/>
  <c r="R5" i="22"/>
  <c r="W6" i="22"/>
  <c r="V6" i="22"/>
  <c r="U6" i="22"/>
  <c r="Q6" i="22"/>
  <c r="O6" i="22"/>
  <c r="X7" i="22"/>
  <c r="R7" i="22"/>
  <c r="V8" i="22"/>
  <c r="X8" i="22"/>
  <c r="W8" i="22"/>
  <c r="U8" i="22"/>
  <c r="T8" i="22"/>
  <c r="S8" i="22"/>
  <c r="Q8" i="22"/>
  <c r="P8" i="22"/>
  <c r="O8" i="22"/>
  <c r="W9" i="22"/>
  <c r="R9" i="22"/>
  <c r="W10" i="22"/>
  <c r="V10" i="22"/>
  <c r="U10" i="22"/>
  <c r="Q10" i="22"/>
  <c r="O10" i="22"/>
  <c r="W4" i="23"/>
  <c r="V4" i="23"/>
  <c r="U4" i="23"/>
  <c r="R4" i="23"/>
  <c r="Q4" i="23"/>
  <c r="O4" i="23"/>
  <c r="V6" i="23"/>
  <c r="X6" i="23"/>
  <c r="W6" i="23"/>
  <c r="U6" i="23"/>
  <c r="T6" i="23"/>
  <c r="S6" i="23"/>
  <c r="Q6" i="23"/>
  <c r="P6" i="23"/>
  <c r="O6" i="23"/>
  <c r="X7" i="23"/>
  <c r="S7" i="23"/>
  <c r="V8" i="23"/>
  <c r="R8" i="23"/>
  <c r="Q8" i="23"/>
  <c r="O8" i="23"/>
  <c r="W9" i="23"/>
  <c r="X9" i="23"/>
  <c r="U9" i="23"/>
  <c r="T9" i="23"/>
  <c r="Q9" i="23"/>
  <c r="P9" i="23"/>
  <c r="O9" i="23"/>
  <c r="V10" i="23"/>
  <c r="X10" i="23"/>
  <c r="W10" i="23"/>
  <c r="T10" i="23"/>
  <c r="S10" i="23"/>
  <c r="P10" i="23"/>
  <c r="O10" i="23"/>
  <c r="AD4" i="24"/>
  <c r="AF4" i="24"/>
  <c r="AE4" i="24"/>
  <c r="AB4" i="24"/>
  <c r="AA4" i="24"/>
  <c r="X4" i="24"/>
  <c r="AC6" i="24"/>
  <c r="Z6" i="24"/>
  <c r="Y6" i="24"/>
  <c r="AD7" i="24"/>
  <c r="AF7" i="24"/>
  <c r="AE7" i="24"/>
  <c r="AC7" i="24"/>
  <c r="AB7" i="24"/>
  <c r="AA7" i="24"/>
  <c r="Y7" i="24"/>
  <c r="X7" i="24"/>
  <c r="W7" i="24"/>
  <c r="AD8" i="24"/>
  <c r="AF8" i="24"/>
  <c r="AE8" i="24"/>
  <c r="AB8" i="24"/>
  <c r="AA8" i="24"/>
  <c r="X8" i="24"/>
  <c r="W8" i="24"/>
  <c r="AA9" i="24"/>
  <c r="AE9" i="24"/>
  <c r="Z9" i="24"/>
  <c r="W9" i="24"/>
  <c r="AE10" i="24"/>
  <c r="AA10" i="24"/>
  <c r="Z10" i="24"/>
  <c r="AF11" i="24"/>
  <c r="AD11" i="24"/>
  <c r="AC11" i="24"/>
  <c r="Y11" i="24"/>
  <c r="X11" i="24"/>
  <c r="AB4" i="25"/>
  <c r="X4" i="25"/>
  <c r="W4" i="25"/>
  <c r="T4" i="25"/>
  <c r="Z5" i="25"/>
  <c r="W5" i="25"/>
  <c r="AA6" i="25"/>
  <c r="AC6" i="25"/>
  <c r="AB6" i="25"/>
  <c r="Z6" i="25"/>
  <c r="Y6" i="25"/>
  <c r="X6" i="25"/>
  <c r="V6" i="25"/>
  <c r="U6" i="25"/>
  <c r="T6" i="25"/>
  <c r="AA7" i="25"/>
  <c r="AC7" i="25"/>
  <c r="AB7" i="25"/>
  <c r="Y7" i="25"/>
  <c r="X7" i="25"/>
  <c r="U7" i="25"/>
  <c r="T7" i="25"/>
  <c r="X8" i="25"/>
  <c r="AA9" i="25"/>
  <c r="Z9" i="25"/>
  <c r="AA10" i="25"/>
  <c r="AC10" i="25"/>
  <c r="AB10" i="25"/>
  <c r="Z10" i="25"/>
  <c r="Y10" i="25"/>
  <c r="X10" i="25"/>
  <c r="V10" i="25"/>
  <c r="U10" i="25"/>
  <c r="T10" i="25"/>
  <c r="AA11" i="25"/>
  <c r="AC11" i="25"/>
  <c r="AB11" i="25"/>
  <c r="Y11" i="25"/>
  <c r="X11" i="25"/>
  <c r="U11" i="25"/>
  <c r="T11" i="25"/>
  <c r="AC24" i="26"/>
  <c r="AB24" i="26"/>
  <c r="Z24" i="26"/>
  <c r="X24" i="26"/>
  <c r="V24" i="26"/>
  <c r="T24" i="26"/>
  <c r="AA25" i="26"/>
  <c r="Y25" i="26"/>
  <c r="AA26" i="26"/>
  <c r="AC26" i="26"/>
  <c r="AB26" i="26"/>
  <c r="Z26" i="26"/>
  <c r="Y26" i="26"/>
  <c r="X26" i="26"/>
  <c r="V26" i="26"/>
  <c r="U26" i="26"/>
  <c r="T26" i="26"/>
  <c r="AC27" i="26"/>
  <c r="AA27" i="26"/>
  <c r="U27" i="26"/>
  <c r="AC28" i="26"/>
  <c r="AB28" i="26"/>
  <c r="Z28" i="26"/>
  <c r="X28" i="26"/>
  <c r="V28" i="26"/>
  <c r="T28" i="26"/>
  <c r="AB30" i="26"/>
  <c r="AC30" i="26"/>
  <c r="AA30" i="26"/>
  <c r="Z30" i="26"/>
  <c r="Y30" i="26"/>
  <c r="W30" i="26"/>
  <c r="V30" i="26"/>
  <c r="U30" i="26"/>
  <c r="Z4" i="2"/>
  <c r="V4" i="2"/>
  <c r="AC4" i="2"/>
  <c r="Y4" i="2"/>
  <c r="U4" i="2"/>
  <c r="AB4" i="2"/>
  <c r="X4" i="2"/>
  <c r="T4" i="2"/>
  <c r="Z8" i="2"/>
  <c r="V8" i="2"/>
  <c r="AC8" i="2"/>
  <c r="Y8" i="2"/>
  <c r="U8" i="2"/>
  <c r="AB8" i="2"/>
  <c r="X8" i="2"/>
  <c r="T8" i="2"/>
  <c r="W8" i="4"/>
  <c r="S8" i="4"/>
  <c r="O8" i="4"/>
  <c r="U8" i="4"/>
  <c r="Q8" i="4"/>
  <c r="T8" i="4"/>
  <c r="R8" i="4"/>
  <c r="X8" i="4"/>
  <c r="P8" i="4"/>
  <c r="W4" i="2"/>
  <c r="W8" i="2"/>
  <c r="Z5" i="3"/>
  <c r="V5" i="3"/>
  <c r="AC5" i="3"/>
  <c r="Y5" i="3"/>
  <c r="U5" i="3"/>
  <c r="AB5" i="3"/>
  <c r="X5" i="3"/>
  <c r="T5" i="3"/>
  <c r="V8" i="4"/>
  <c r="U5" i="5"/>
  <c r="Q5" i="5"/>
  <c r="W5" i="5"/>
  <c r="S5" i="5"/>
  <c r="O5" i="5"/>
  <c r="T5" i="5"/>
  <c r="R5" i="5"/>
  <c r="X5" i="5"/>
  <c r="P5" i="5"/>
  <c r="AA4" i="2"/>
  <c r="AA8" i="2"/>
  <c r="Z10" i="3"/>
  <c r="V10" i="3"/>
  <c r="AC10" i="3"/>
  <c r="Y10" i="3"/>
  <c r="U10" i="3"/>
  <c r="AB10" i="3"/>
  <c r="X10" i="3"/>
  <c r="T10" i="3"/>
  <c r="V5" i="5"/>
  <c r="W13" i="7"/>
  <c r="S13" i="7"/>
  <c r="O13" i="7"/>
  <c r="U13" i="7"/>
  <c r="Q13" i="7"/>
  <c r="T13" i="7"/>
  <c r="R13" i="7"/>
  <c r="X13" i="7"/>
  <c r="P13" i="7"/>
  <c r="AA5" i="3"/>
  <c r="U4" i="6"/>
  <c r="Q4" i="6"/>
  <c r="W4" i="6"/>
  <c r="S4" i="6"/>
  <c r="O4" i="6"/>
  <c r="T4" i="6"/>
  <c r="R4" i="6"/>
  <c r="X4" i="6"/>
  <c r="P4" i="6"/>
  <c r="AB10" i="12"/>
  <c r="X10" i="12"/>
  <c r="T10" i="12"/>
  <c r="Z10" i="12"/>
  <c r="V10" i="12"/>
  <c r="Y10" i="12"/>
  <c r="W10" i="12"/>
  <c r="AC10" i="12"/>
  <c r="U10" i="12"/>
  <c r="W5" i="2"/>
  <c r="AA5" i="2"/>
  <c r="V6" i="2"/>
  <c r="Z6" i="2"/>
  <c r="W10" i="2"/>
  <c r="AA10" i="2"/>
  <c r="V11" i="2"/>
  <c r="Z11" i="2"/>
  <c r="AA6" i="3"/>
  <c r="W11" i="3"/>
  <c r="AA11" i="3"/>
  <c r="W4" i="4"/>
  <c r="S4" i="4"/>
  <c r="O4" i="4"/>
  <c r="U4" i="4"/>
  <c r="Q4" i="4"/>
  <c r="V4" i="4"/>
  <c r="U10" i="4"/>
  <c r="Q10" i="4"/>
  <c r="W10" i="4"/>
  <c r="S10" i="4"/>
  <c r="O10" i="4"/>
  <c r="V10" i="4"/>
  <c r="W11" i="5"/>
  <c r="S11" i="5"/>
  <c r="O11" i="5"/>
  <c r="U11" i="5"/>
  <c r="Q11" i="5"/>
  <c r="V11" i="5"/>
  <c r="W10" i="6"/>
  <c r="S10" i="6"/>
  <c r="O10" i="6"/>
  <c r="U10" i="6"/>
  <c r="Q10" i="6"/>
  <c r="V10" i="6"/>
  <c r="W9" i="7"/>
  <c r="S9" i="7"/>
  <c r="O9" i="7"/>
  <c r="U9" i="7"/>
  <c r="Q9" i="7"/>
  <c r="V9" i="7"/>
  <c r="AA10" i="12"/>
  <c r="W6" i="2"/>
  <c r="AA6" i="2"/>
  <c r="W11" i="2"/>
  <c r="AA11" i="2"/>
  <c r="V4" i="3"/>
  <c r="Z4" i="3"/>
  <c r="T6" i="3"/>
  <c r="X6" i="3"/>
  <c r="AB6" i="3"/>
  <c r="W7" i="3"/>
  <c r="AA7" i="3"/>
  <c r="V8" i="3"/>
  <c r="Z8" i="3"/>
  <c r="T11" i="3"/>
  <c r="X11" i="3"/>
  <c r="AB11" i="3"/>
  <c r="W12" i="3"/>
  <c r="AA12" i="3"/>
  <c r="P4" i="4"/>
  <c r="X4" i="4"/>
  <c r="U6" i="4"/>
  <c r="Q6" i="4"/>
  <c r="W6" i="4"/>
  <c r="S6" i="4"/>
  <c r="O6" i="4"/>
  <c r="V6" i="4"/>
  <c r="P10" i="4"/>
  <c r="X10" i="4"/>
  <c r="W7" i="5"/>
  <c r="S7" i="5"/>
  <c r="O7" i="5"/>
  <c r="U7" i="5"/>
  <c r="Q7" i="5"/>
  <c r="V7" i="5"/>
  <c r="P11" i="5"/>
  <c r="X11" i="5"/>
  <c r="W6" i="6"/>
  <c r="S6" i="6"/>
  <c r="O6" i="6"/>
  <c r="U6" i="6"/>
  <c r="Q6" i="6"/>
  <c r="V6" i="6"/>
  <c r="P10" i="6"/>
  <c r="X10" i="6"/>
  <c r="W5" i="7"/>
  <c r="S5" i="7"/>
  <c r="O5" i="7"/>
  <c r="U5" i="7"/>
  <c r="Q5" i="7"/>
  <c r="V5" i="7"/>
  <c r="P9" i="7"/>
  <c r="X9" i="7"/>
  <c r="U11" i="7"/>
  <c r="Q11" i="7"/>
  <c r="W11" i="7"/>
  <c r="S11" i="7"/>
  <c r="O11" i="7"/>
  <c r="V11" i="7"/>
  <c r="Z7" i="11"/>
  <c r="V7" i="11"/>
  <c r="AB7" i="11"/>
  <c r="X7" i="11"/>
  <c r="T7" i="11"/>
  <c r="Y7" i="11"/>
  <c r="W7" i="11"/>
  <c r="AC7" i="11"/>
  <c r="U7" i="11"/>
  <c r="AB6" i="13"/>
  <c r="X6" i="13"/>
  <c r="T6" i="13"/>
  <c r="Z6" i="13"/>
  <c r="V6" i="13"/>
  <c r="Y6" i="13"/>
  <c r="W6" i="13"/>
  <c r="AC6" i="13"/>
  <c r="U6" i="13"/>
  <c r="U5" i="2"/>
  <c r="Y5" i="2"/>
  <c r="T6" i="2"/>
  <c r="X6" i="2"/>
  <c r="W7" i="2"/>
  <c r="U10" i="2"/>
  <c r="Y10" i="2"/>
  <c r="T11" i="2"/>
  <c r="X11" i="2"/>
  <c r="W12" i="2"/>
  <c r="U6" i="3"/>
  <c r="Y6" i="3"/>
  <c r="T7" i="3"/>
  <c r="X7" i="3"/>
  <c r="U11" i="3"/>
  <c r="Y11" i="3"/>
  <c r="T12" i="3"/>
  <c r="X12" i="3"/>
  <c r="R4" i="4"/>
  <c r="P6" i="4"/>
  <c r="X6" i="4"/>
  <c r="R10" i="4"/>
  <c r="W12" i="4"/>
  <c r="S12" i="4"/>
  <c r="O12" i="4"/>
  <c r="U12" i="4"/>
  <c r="Q12" i="4"/>
  <c r="V12" i="4"/>
  <c r="P7" i="5"/>
  <c r="X7" i="5"/>
  <c r="U9" i="5"/>
  <c r="Q9" i="5"/>
  <c r="W9" i="5"/>
  <c r="S9" i="5"/>
  <c r="O9" i="5"/>
  <c r="V9" i="5"/>
  <c r="R11" i="5"/>
  <c r="P6" i="6"/>
  <c r="X6" i="6"/>
  <c r="U8" i="6"/>
  <c r="Q8" i="6"/>
  <c r="W8" i="6"/>
  <c r="S8" i="6"/>
  <c r="O8" i="6"/>
  <c r="V8" i="6"/>
  <c r="R10" i="6"/>
  <c r="P5" i="7"/>
  <c r="X5" i="7"/>
  <c r="U7" i="7"/>
  <c r="Q7" i="7"/>
  <c r="W7" i="7"/>
  <c r="S7" i="7"/>
  <c r="O7" i="7"/>
  <c r="V7" i="7"/>
  <c r="R9" i="7"/>
  <c r="P11" i="7"/>
  <c r="X11" i="7"/>
  <c r="U6" i="8"/>
  <c r="Q6" i="8"/>
  <c r="X6" i="8"/>
  <c r="T6" i="8"/>
  <c r="P6" i="8"/>
  <c r="W6" i="8"/>
  <c r="S6" i="8"/>
  <c r="O6" i="8"/>
  <c r="U10" i="8"/>
  <c r="Q10" i="8"/>
  <c r="X10" i="8"/>
  <c r="T10" i="8"/>
  <c r="P10" i="8"/>
  <c r="W10" i="8"/>
  <c r="S10" i="8"/>
  <c r="O10" i="8"/>
  <c r="W9" i="10"/>
  <c r="S9" i="10"/>
  <c r="O9" i="10"/>
  <c r="U9" i="10"/>
  <c r="Q9" i="10"/>
  <c r="T9" i="10"/>
  <c r="R9" i="10"/>
  <c r="X9" i="10"/>
  <c r="P9" i="10"/>
  <c r="AA7" i="11"/>
  <c r="AA6" i="13"/>
  <c r="R7" i="4"/>
  <c r="V7" i="4"/>
  <c r="R11" i="4"/>
  <c r="V11" i="4"/>
  <c r="R6" i="5"/>
  <c r="V6" i="5"/>
  <c r="R10" i="5"/>
  <c r="V10" i="5"/>
  <c r="R5" i="6"/>
  <c r="V5" i="6"/>
  <c r="R9" i="6"/>
  <c r="V9" i="6"/>
  <c r="R4" i="7"/>
  <c r="V4" i="7"/>
  <c r="R8" i="7"/>
  <c r="V8" i="7"/>
  <c r="R12" i="7"/>
  <c r="V12" i="7"/>
  <c r="Q4" i="8"/>
  <c r="U4" i="8"/>
  <c r="R7" i="8"/>
  <c r="V7" i="8"/>
  <c r="Q8" i="8"/>
  <c r="U8" i="8"/>
  <c r="R11" i="8"/>
  <c r="V11" i="8"/>
  <c r="W4" i="9"/>
  <c r="S4" i="9"/>
  <c r="O4" i="9"/>
  <c r="T4" i="9"/>
  <c r="U6" i="9"/>
  <c r="Q6" i="9"/>
  <c r="S6" i="9"/>
  <c r="X6" i="9"/>
  <c r="W8" i="9"/>
  <c r="S8" i="9"/>
  <c r="O8" i="9"/>
  <c r="T8" i="9"/>
  <c r="U10" i="9"/>
  <c r="Q10" i="9"/>
  <c r="S10" i="9"/>
  <c r="X10" i="9"/>
  <c r="W12" i="9"/>
  <c r="S12" i="9"/>
  <c r="O12" i="9"/>
  <c r="T12" i="9"/>
  <c r="W5" i="10"/>
  <c r="S5" i="10"/>
  <c r="O5" i="10"/>
  <c r="U5" i="10"/>
  <c r="Q5" i="10"/>
  <c r="V5" i="10"/>
  <c r="U11" i="10"/>
  <c r="Q11" i="10"/>
  <c r="W11" i="10"/>
  <c r="S11" i="10"/>
  <c r="O11" i="10"/>
  <c r="V11" i="10"/>
  <c r="AB6" i="12"/>
  <c r="X6" i="12"/>
  <c r="T6" i="12"/>
  <c r="Z6" i="12"/>
  <c r="V6" i="12"/>
  <c r="AA6" i="12"/>
  <c r="Y14" i="12"/>
  <c r="Z8" i="13"/>
  <c r="V8" i="13"/>
  <c r="AB8" i="13"/>
  <c r="X8" i="13"/>
  <c r="T8" i="13"/>
  <c r="AA8" i="13"/>
  <c r="AC8" i="14"/>
  <c r="Y8" i="14"/>
  <c r="U8" i="14"/>
  <c r="AB8" i="14"/>
  <c r="X8" i="14"/>
  <c r="T8" i="14"/>
  <c r="V8" i="14"/>
  <c r="Z8" i="14"/>
  <c r="U6" i="15"/>
  <c r="Q6" i="15"/>
  <c r="X6" i="15"/>
  <c r="T6" i="15"/>
  <c r="P6" i="15"/>
  <c r="W6" i="15"/>
  <c r="O6" i="15"/>
  <c r="S6" i="15"/>
  <c r="Z7" i="16"/>
  <c r="V7" i="16"/>
  <c r="AC7" i="16"/>
  <c r="Y7" i="16"/>
  <c r="U7" i="16"/>
  <c r="X7" i="16"/>
  <c r="W7" i="16"/>
  <c r="AB7" i="16"/>
  <c r="T7" i="16"/>
  <c r="AA7" i="16"/>
  <c r="R4" i="8"/>
  <c r="V4" i="8"/>
  <c r="R8" i="8"/>
  <c r="V8" i="8"/>
  <c r="U7" i="10"/>
  <c r="Q7" i="10"/>
  <c r="W7" i="10"/>
  <c r="S7" i="10"/>
  <c r="O7" i="10"/>
  <c r="V7" i="10"/>
  <c r="AB9" i="11"/>
  <c r="X9" i="11"/>
  <c r="T9" i="11"/>
  <c r="Z9" i="11"/>
  <c r="V9" i="11"/>
  <c r="AA9" i="11"/>
  <c r="Z8" i="12"/>
  <c r="V8" i="12"/>
  <c r="AB8" i="12"/>
  <c r="X8" i="12"/>
  <c r="T8" i="12"/>
  <c r="AA8" i="12"/>
  <c r="Z14" i="12"/>
  <c r="V14" i="12"/>
  <c r="AB14" i="12"/>
  <c r="X14" i="12"/>
  <c r="T14" i="12"/>
  <c r="AA14" i="12"/>
  <c r="Z4" i="13"/>
  <c r="V4" i="13"/>
  <c r="AB4" i="13"/>
  <c r="X4" i="13"/>
  <c r="T4" i="13"/>
  <c r="AA4" i="13"/>
  <c r="R5" i="4"/>
  <c r="P7" i="4"/>
  <c r="T7" i="4"/>
  <c r="R9" i="4"/>
  <c r="P11" i="4"/>
  <c r="T11" i="4"/>
  <c r="R13" i="4"/>
  <c r="R4" i="5"/>
  <c r="P6" i="5"/>
  <c r="T6" i="5"/>
  <c r="R8" i="5"/>
  <c r="P10" i="5"/>
  <c r="T10" i="5"/>
  <c r="P5" i="6"/>
  <c r="T5" i="6"/>
  <c r="R7" i="6"/>
  <c r="P9" i="6"/>
  <c r="T9" i="6"/>
  <c r="R11" i="6"/>
  <c r="P4" i="7"/>
  <c r="T4" i="7"/>
  <c r="R6" i="7"/>
  <c r="P8" i="7"/>
  <c r="T8" i="7"/>
  <c r="R10" i="7"/>
  <c r="P12" i="7"/>
  <c r="T12" i="7"/>
  <c r="O4" i="8"/>
  <c r="S4" i="8"/>
  <c r="R5" i="8"/>
  <c r="P7" i="8"/>
  <c r="T7" i="8"/>
  <c r="O8" i="8"/>
  <c r="S8" i="8"/>
  <c r="R9" i="8"/>
  <c r="P11" i="8"/>
  <c r="T11" i="8"/>
  <c r="Q4" i="9"/>
  <c r="V4" i="9"/>
  <c r="P6" i="9"/>
  <c r="V6" i="9"/>
  <c r="X7" i="9"/>
  <c r="T7" i="9"/>
  <c r="P7" i="9"/>
  <c r="S7" i="9"/>
  <c r="Q8" i="9"/>
  <c r="V8" i="9"/>
  <c r="P10" i="9"/>
  <c r="V10" i="9"/>
  <c r="X11" i="9"/>
  <c r="T11" i="9"/>
  <c r="P11" i="9"/>
  <c r="S11" i="9"/>
  <c r="Q12" i="9"/>
  <c r="V12" i="9"/>
  <c r="R5" i="10"/>
  <c r="P7" i="10"/>
  <c r="X7" i="10"/>
  <c r="R11" i="10"/>
  <c r="AB5" i="11"/>
  <c r="X5" i="11"/>
  <c r="T5" i="11"/>
  <c r="Z5" i="11"/>
  <c r="V5" i="11"/>
  <c r="AA5" i="11"/>
  <c r="U9" i="11"/>
  <c r="AC9" i="11"/>
  <c r="Z11" i="11"/>
  <c r="V11" i="11"/>
  <c r="AB11" i="11"/>
  <c r="X11" i="11"/>
  <c r="T11" i="11"/>
  <c r="AA11" i="11"/>
  <c r="Z4" i="12"/>
  <c r="V4" i="12"/>
  <c r="AB4" i="12"/>
  <c r="X4" i="12"/>
  <c r="T4" i="12"/>
  <c r="AA4" i="12"/>
  <c r="W6" i="12"/>
  <c r="U8" i="12"/>
  <c r="AC8" i="12"/>
  <c r="U14" i="12"/>
  <c r="AC14" i="12"/>
  <c r="U4" i="13"/>
  <c r="AC4" i="13"/>
  <c r="W8" i="13"/>
  <c r="AB11" i="13"/>
  <c r="X11" i="13"/>
  <c r="T11" i="13"/>
  <c r="Z11" i="13"/>
  <c r="V11" i="13"/>
  <c r="AA11" i="13"/>
  <c r="AC4" i="14"/>
  <c r="Y4" i="14"/>
  <c r="U4" i="14"/>
  <c r="AB4" i="14"/>
  <c r="X4" i="14"/>
  <c r="T4" i="14"/>
  <c r="V4" i="14"/>
  <c r="Z4" i="14"/>
  <c r="AA8" i="14"/>
  <c r="V6" i="15"/>
  <c r="R4" i="10"/>
  <c r="V4" i="10"/>
  <c r="R8" i="10"/>
  <c r="V8" i="10"/>
  <c r="R12" i="10"/>
  <c r="V12" i="10"/>
  <c r="W4" i="11"/>
  <c r="AA4" i="11"/>
  <c r="W8" i="11"/>
  <c r="AA8" i="11"/>
  <c r="W5" i="12"/>
  <c r="AA5" i="12"/>
  <c r="W9" i="12"/>
  <c r="AA9" i="12"/>
  <c r="W5" i="13"/>
  <c r="AA5" i="13"/>
  <c r="W10" i="13"/>
  <c r="AA10" i="13"/>
  <c r="Z11" i="14"/>
  <c r="V11" i="14"/>
  <c r="AC11" i="14"/>
  <c r="Y11" i="14"/>
  <c r="U11" i="14"/>
  <c r="AA11" i="14"/>
  <c r="X7" i="15"/>
  <c r="T7" i="15"/>
  <c r="P7" i="15"/>
  <c r="W7" i="15"/>
  <c r="S7" i="15"/>
  <c r="O7" i="15"/>
  <c r="V7" i="15"/>
  <c r="U11" i="15"/>
  <c r="Q11" i="15"/>
  <c r="X11" i="15"/>
  <c r="T11" i="15"/>
  <c r="P11" i="15"/>
  <c r="W11" i="15"/>
  <c r="S11" i="15"/>
  <c r="O11" i="15"/>
  <c r="Z4" i="19"/>
  <c r="V4" i="19"/>
  <c r="AC4" i="19"/>
  <c r="Y4" i="19"/>
  <c r="U4" i="19"/>
  <c r="X4" i="19"/>
  <c r="W4" i="19"/>
  <c r="AB4" i="19"/>
  <c r="T4" i="19"/>
  <c r="AA4" i="19"/>
  <c r="Z13" i="19"/>
  <c r="V13" i="19"/>
  <c r="AC13" i="19"/>
  <c r="Y13" i="19"/>
  <c r="U13" i="19"/>
  <c r="X13" i="19"/>
  <c r="W13" i="19"/>
  <c r="AB13" i="19"/>
  <c r="T13" i="19"/>
  <c r="AA13" i="19"/>
  <c r="AC21" i="16"/>
  <c r="Y21" i="16"/>
  <c r="U21" i="16"/>
  <c r="AB21" i="16"/>
  <c r="X21" i="16"/>
  <c r="T21" i="16"/>
  <c r="Z21" i="16"/>
  <c r="W21" i="16"/>
  <c r="V21" i="16"/>
  <c r="Z4" i="17"/>
  <c r="V4" i="17"/>
  <c r="AC4" i="17"/>
  <c r="Y4" i="17"/>
  <c r="U4" i="17"/>
  <c r="AB4" i="17"/>
  <c r="X4" i="17"/>
  <c r="T4" i="17"/>
  <c r="AA4" i="17"/>
  <c r="W4" i="17"/>
  <c r="Z8" i="17"/>
  <c r="V8" i="17"/>
  <c r="AC8" i="17"/>
  <c r="Y8" i="17"/>
  <c r="U8" i="17"/>
  <c r="AB8" i="17"/>
  <c r="X8" i="17"/>
  <c r="T8" i="17"/>
  <c r="AA8" i="17"/>
  <c r="W8" i="17"/>
  <c r="R5" i="9"/>
  <c r="R9" i="9"/>
  <c r="P4" i="10"/>
  <c r="T4" i="10"/>
  <c r="R6" i="10"/>
  <c r="P8" i="10"/>
  <c r="T8" i="10"/>
  <c r="R10" i="10"/>
  <c r="P12" i="10"/>
  <c r="T12" i="10"/>
  <c r="U4" i="11"/>
  <c r="Y4" i="11"/>
  <c r="W6" i="11"/>
  <c r="U8" i="11"/>
  <c r="Y8" i="11"/>
  <c r="W10" i="11"/>
  <c r="U5" i="12"/>
  <c r="Y5" i="12"/>
  <c r="W7" i="12"/>
  <c r="U9" i="12"/>
  <c r="Y9" i="12"/>
  <c r="X12" i="12"/>
  <c r="U5" i="13"/>
  <c r="Y5" i="13"/>
  <c r="W7" i="13"/>
  <c r="U10" i="13"/>
  <c r="Y10" i="13"/>
  <c r="W12" i="13"/>
  <c r="Z7" i="14"/>
  <c r="V7" i="14"/>
  <c r="AC7" i="14"/>
  <c r="Y7" i="14"/>
  <c r="U7" i="14"/>
  <c r="AA7" i="14"/>
  <c r="W11" i="14"/>
  <c r="R7" i="15"/>
  <c r="V11" i="15"/>
  <c r="Z11" i="16"/>
  <c r="V11" i="16"/>
  <c r="AC11" i="16"/>
  <c r="Y11" i="16"/>
  <c r="U11" i="16"/>
  <c r="X11" i="16"/>
  <c r="W11" i="16"/>
  <c r="AB11" i="16"/>
  <c r="T11" i="16"/>
  <c r="AA21" i="16"/>
  <c r="Z8" i="19"/>
  <c r="V8" i="19"/>
  <c r="AC8" i="19"/>
  <c r="Y8" i="19"/>
  <c r="U8" i="19"/>
  <c r="X8" i="19"/>
  <c r="W8" i="19"/>
  <c r="AB8" i="19"/>
  <c r="T8" i="19"/>
  <c r="AA8" i="19"/>
  <c r="W5" i="14"/>
  <c r="AA5" i="14"/>
  <c r="V6" i="14"/>
  <c r="Z6" i="14"/>
  <c r="W9" i="14"/>
  <c r="AA9" i="14"/>
  <c r="V10" i="14"/>
  <c r="Z10" i="14"/>
  <c r="R4" i="15"/>
  <c r="Q5" i="15"/>
  <c r="U5" i="15"/>
  <c r="R8" i="15"/>
  <c r="Q9" i="15"/>
  <c r="U9" i="15"/>
  <c r="P10" i="15"/>
  <c r="T10" i="15"/>
  <c r="X10" i="15"/>
  <c r="V4" i="16"/>
  <c r="Z4" i="16"/>
  <c r="W8" i="16"/>
  <c r="W12" i="16"/>
  <c r="Z20" i="16"/>
  <c r="V20" i="16"/>
  <c r="AC20" i="16"/>
  <c r="Y20" i="16"/>
  <c r="U20" i="16"/>
  <c r="AA20" i="16"/>
  <c r="Z24" i="16"/>
  <c r="V24" i="16"/>
  <c r="AC24" i="16"/>
  <c r="Y24" i="16"/>
  <c r="U24" i="16"/>
  <c r="AB24" i="16"/>
  <c r="X24" i="16"/>
  <c r="T24" i="16"/>
  <c r="Z11" i="18"/>
  <c r="V11" i="18"/>
  <c r="AC11" i="18"/>
  <c r="Y11" i="18"/>
  <c r="U11" i="18"/>
  <c r="X11" i="18"/>
  <c r="W11" i="18"/>
  <c r="AB11" i="18"/>
  <c r="T11" i="18"/>
  <c r="T5" i="14"/>
  <c r="X5" i="14"/>
  <c r="W6" i="14"/>
  <c r="W10" i="14"/>
  <c r="R5" i="15"/>
  <c r="R9" i="15"/>
  <c r="Q10" i="15"/>
  <c r="U10" i="15"/>
  <c r="W4" i="16"/>
  <c r="T20" i="16"/>
  <c r="AB20" i="16"/>
  <c r="W24" i="16"/>
  <c r="Z10" i="18"/>
  <c r="V10" i="18"/>
  <c r="AC10" i="18"/>
  <c r="Y10" i="18"/>
  <c r="U10" i="18"/>
  <c r="AB10" i="18"/>
  <c r="X10" i="18"/>
  <c r="T10" i="18"/>
  <c r="AA11" i="18"/>
  <c r="R10" i="15"/>
  <c r="AC8" i="16"/>
  <c r="Y8" i="16"/>
  <c r="U8" i="16"/>
  <c r="AB8" i="16"/>
  <c r="X8" i="16"/>
  <c r="T8" i="16"/>
  <c r="AA8" i="16"/>
  <c r="AC12" i="16"/>
  <c r="Y12" i="16"/>
  <c r="U12" i="16"/>
  <c r="AB12" i="16"/>
  <c r="X12" i="16"/>
  <c r="T12" i="16"/>
  <c r="AA12" i="16"/>
  <c r="Z5" i="18"/>
  <c r="V5" i="18"/>
  <c r="AC5" i="18"/>
  <c r="Y5" i="18"/>
  <c r="U5" i="18"/>
  <c r="AB5" i="18"/>
  <c r="X5" i="18"/>
  <c r="T5" i="18"/>
  <c r="AA9" i="18"/>
  <c r="W9" i="18"/>
  <c r="Z9" i="18"/>
  <c r="V9" i="18"/>
  <c r="AC9" i="18"/>
  <c r="Y9" i="18"/>
  <c r="U9" i="18"/>
  <c r="W26" i="16"/>
  <c r="AA26" i="16"/>
  <c r="W5" i="17"/>
  <c r="AA5" i="17"/>
  <c r="W9" i="17"/>
  <c r="AA9" i="17"/>
  <c r="W6" i="18"/>
  <c r="AA6" i="18"/>
  <c r="X10" i="21"/>
  <c r="T10" i="21"/>
  <c r="P10" i="21"/>
  <c r="W10" i="21"/>
  <c r="R10" i="21"/>
  <c r="V10" i="21"/>
  <c r="Q10" i="21"/>
  <c r="U10" i="21"/>
  <c r="O10" i="21"/>
  <c r="AC5" i="24"/>
  <c r="Y5" i="24"/>
  <c r="AF5" i="24"/>
  <c r="AB5" i="24"/>
  <c r="X5" i="24"/>
  <c r="AA5" i="24"/>
  <c r="Z5" i="24"/>
  <c r="AE5" i="24"/>
  <c r="W5" i="16"/>
  <c r="V6" i="16"/>
  <c r="Z6" i="16"/>
  <c r="W9" i="16"/>
  <c r="AA9" i="16"/>
  <c r="V10" i="16"/>
  <c r="Z10" i="16"/>
  <c r="W13" i="16"/>
  <c r="AA13" i="16"/>
  <c r="W18" i="16"/>
  <c r="AA18" i="16"/>
  <c r="V19" i="16"/>
  <c r="Z19" i="16"/>
  <c r="W22" i="16"/>
  <c r="AA22" i="16"/>
  <c r="V23" i="16"/>
  <c r="Z23" i="16"/>
  <c r="T26" i="16"/>
  <c r="X26" i="16"/>
  <c r="AB26" i="16"/>
  <c r="W27" i="16"/>
  <c r="V28" i="16"/>
  <c r="Z28" i="16"/>
  <c r="T5" i="17"/>
  <c r="X5" i="17"/>
  <c r="AB5" i="17"/>
  <c r="W6" i="17"/>
  <c r="V7" i="17"/>
  <c r="Z7" i="17"/>
  <c r="T9" i="17"/>
  <c r="X9" i="17"/>
  <c r="AB9" i="17"/>
  <c r="W10" i="17"/>
  <c r="V4" i="18"/>
  <c r="Z4" i="18"/>
  <c r="T6" i="18"/>
  <c r="X6" i="18"/>
  <c r="AB6" i="18"/>
  <c r="W7" i="18"/>
  <c r="V8" i="18"/>
  <c r="Z8" i="18"/>
  <c r="AC4" i="20"/>
  <c r="Y4" i="20"/>
  <c r="U4" i="20"/>
  <c r="AB4" i="20"/>
  <c r="X4" i="20"/>
  <c r="T4" i="20"/>
  <c r="AA4" i="20"/>
  <c r="S10" i="21"/>
  <c r="AD5" i="24"/>
  <c r="Z29" i="26"/>
  <c r="V29" i="26"/>
  <c r="AB29" i="26"/>
  <c r="X29" i="26"/>
  <c r="T29" i="26"/>
  <c r="Y29" i="26"/>
  <c r="W29" i="26"/>
  <c r="AA29" i="26"/>
  <c r="U29" i="26"/>
  <c r="AC29" i="26"/>
  <c r="W6" i="16"/>
  <c r="T9" i="16"/>
  <c r="X9" i="16"/>
  <c r="W10" i="16"/>
  <c r="T13" i="16"/>
  <c r="X13" i="16"/>
  <c r="T18" i="16"/>
  <c r="X18" i="16"/>
  <c r="W19" i="16"/>
  <c r="W23" i="16"/>
  <c r="U26" i="16"/>
  <c r="Y26" i="16"/>
  <c r="W28" i="16"/>
  <c r="U5" i="17"/>
  <c r="Y5" i="17"/>
  <c r="W7" i="17"/>
  <c r="U9" i="17"/>
  <c r="Y9" i="17"/>
  <c r="W4" i="18"/>
  <c r="U6" i="18"/>
  <c r="Y6" i="18"/>
  <c r="W8" i="18"/>
  <c r="AC5" i="19"/>
  <c r="Y5" i="19"/>
  <c r="U5" i="19"/>
  <c r="AB5" i="19"/>
  <c r="X5" i="19"/>
  <c r="T5" i="19"/>
  <c r="AA5" i="19"/>
  <c r="AC9" i="19"/>
  <c r="Y9" i="19"/>
  <c r="U9" i="19"/>
  <c r="AB9" i="19"/>
  <c r="X9" i="19"/>
  <c r="T9" i="19"/>
  <c r="AA9" i="19"/>
  <c r="AC14" i="19"/>
  <c r="Y14" i="19"/>
  <c r="U14" i="19"/>
  <c r="AB14" i="19"/>
  <c r="X14" i="19"/>
  <c r="T14" i="19"/>
  <c r="AA14" i="19"/>
  <c r="Z7" i="20"/>
  <c r="V7" i="20"/>
  <c r="AC7" i="20"/>
  <c r="Y7" i="20"/>
  <c r="U7" i="20"/>
  <c r="AA7" i="20"/>
  <c r="X6" i="21"/>
  <c r="T6" i="21"/>
  <c r="P6" i="21"/>
  <c r="W6" i="21"/>
  <c r="R6" i="21"/>
  <c r="V6" i="21"/>
  <c r="Q6" i="21"/>
  <c r="U6" i="21"/>
  <c r="O6" i="21"/>
  <c r="W5" i="23"/>
  <c r="S5" i="23"/>
  <c r="O5" i="23"/>
  <c r="X5" i="23"/>
  <c r="R5" i="23"/>
  <c r="V5" i="23"/>
  <c r="Q5" i="23"/>
  <c r="U5" i="23"/>
  <c r="P5" i="23"/>
  <c r="U7" i="23"/>
  <c r="Q7" i="23"/>
  <c r="W7" i="23"/>
  <c r="R7" i="23"/>
  <c r="V7" i="23"/>
  <c r="P7" i="23"/>
  <c r="T7" i="23"/>
  <c r="O7" i="23"/>
  <c r="W8" i="20"/>
  <c r="AA8" i="20"/>
  <c r="U5" i="22"/>
  <c r="Q5" i="22"/>
  <c r="S5" i="22"/>
  <c r="X5" i="22"/>
  <c r="W7" i="22"/>
  <c r="S7" i="22"/>
  <c r="O7" i="22"/>
  <c r="T7" i="22"/>
  <c r="U9" i="22"/>
  <c r="Q9" i="22"/>
  <c r="S9" i="22"/>
  <c r="X9" i="22"/>
  <c r="X11" i="22"/>
  <c r="T11" i="22"/>
  <c r="P11" i="22"/>
  <c r="U11" i="22"/>
  <c r="V11" i="23"/>
  <c r="R11" i="23"/>
  <c r="U11" i="23"/>
  <c r="Q11" i="23"/>
  <c r="W11" i="23"/>
  <c r="W6" i="19"/>
  <c r="AA6" i="19"/>
  <c r="V7" i="19"/>
  <c r="Z7" i="19"/>
  <c r="W10" i="19"/>
  <c r="AA10" i="19"/>
  <c r="V12" i="19"/>
  <c r="Z12" i="19"/>
  <c r="W5" i="20"/>
  <c r="AA5" i="20"/>
  <c r="V6" i="20"/>
  <c r="Z6" i="20"/>
  <c r="T8" i="20"/>
  <c r="X8" i="20"/>
  <c r="AB8" i="20"/>
  <c r="AB10" i="20"/>
  <c r="X10" i="20"/>
  <c r="T10" i="20"/>
  <c r="Y10" i="20"/>
  <c r="AA12" i="20"/>
  <c r="W12" i="20"/>
  <c r="Y12" i="20"/>
  <c r="U5" i="21"/>
  <c r="Q5" i="21"/>
  <c r="S5" i="21"/>
  <c r="X5" i="21"/>
  <c r="W7" i="21"/>
  <c r="S7" i="21"/>
  <c r="O7" i="21"/>
  <c r="T7" i="21"/>
  <c r="U9" i="21"/>
  <c r="Q9" i="21"/>
  <c r="S9" i="21"/>
  <c r="X9" i="21"/>
  <c r="X11" i="21"/>
  <c r="T11" i="21"/>
  <c r="P11" i="21"/>
  <c r="U11" i="21"/>
  <c r="O5" i="22"/>
  <c r="T5" i="22"/>
  <c r="R6" i="22"/>
  <c r="P7" i="22"/>
  <c r="U7" i="22"/>
  <c r="O9" i="22"/>
  <c r="T9" i="22"/>
  <c r="R10" i="22"/>
  <c r="Q11" i="22"/>
  <c r="V11" i="22"/>
  <c r="X4" i="23"/>
  <c r="T4" i="23"/>
  <c r="P4" i="23"/>
  <c r="S4" i="23"/>
  <c r="X8" i="23"/>
  <c r="P8" i="23"/>
  <c r="W8" i="23"/>
  <c r="S8" i="23"/>
  <c r="U8" i="23"/>
  <c r="P11" i="23"/>
  <c r="X11" i="23"/>
  <c r="AF10" i="24"/>
  <c r="AB10" i="24"/>
  <c r="X10" i="24"/>
  <c r="AD10" i="24"/>
  <c r="Y10" i="24"/>
  <c r="AC10" i="24"/>
  <c r="W10" i="24"/>
  <c r="T6" i="19"/>
  <c r="X6" i="19"/>
  <c r="W7" i="19"/>
  <c r="T10" i="19"/>
  <c r="X10" i="19"/>
  <c r="W12" i="19"/>
  <c r="T5" i="20"/>
  <c r="X5" i="20"/>
  <c r="W6" i="20"/>
  <c r="U8" i="20"/>
  <c r="Y8" i="20"/>
  <c r="U10" i="20"/>
  <c r="Z10" i="20"/>
  <c r="U12" i="20"/>
  <c r="Z12" i="20"/>
  <c r="P5" i="22"/>
  <c r="V5" i="22"/>
  <c r="X6" i="22"/>
  <c r="T6" i="22"/>
  <c r="P6" i="22"/>
  <c r="S6" i="22"/>
  <c r="Q7" i="22"/>
  <c r="V7" i="22"/>
  <c r="P9" i="22"/>
  <c r="V9" i="22"/>
  <c r="X10" i="22"/>
  <c r="T10" i="22"/>
  <c r="P10" i="22"/>
  <c r="S10" i="22"/>
  <c r="R11" i="22"/>
  <c r="W11" i="22"/>
  <c r="S11" i="23"/>
  <c r="AF6" i="24"/>
  <c r="AB6" i="24"/>
  <c r="X6" i="24"/>
  <c r="AE6" i="24"/>
  <c r="AA6" i="24"/>
  <c r="W6" i="24"/>
  <c r="AD6" i="24"/>
  <c r="AC9" i="24"/>
  <c r="Y9" i="24"/>
  <c r="AF9" i="24"/>
  <c r="AB9" i="24"/>
  <c r="X9" i="24"/>
  <c r="AD9" i="24"/>
  <c r="AC9" i="25"/>
  <c r="Y9" i="25"/>
  <c r="U9" i="25"/>
  <c r="AB9" i="25"/>
  <c r="X9" i="25"/>
  <c r="T9" i="25"/>
  <c r="W9" i="25"/>
  <c r="V9" i="25"/>
  <c r="R9" i="23"/>
  <c r="V9" i="23"/>
  <c r="Q10" i="23"/>
  <c r="U10" i="23"/>
  <c r="Y4" i="24"/>
  <c r="AC4" i="24"/>
  <c r="Z7" i="24"/>
  <c r="Y8" i="24"/>
  <c r="AC8" i="24"/>
  <c r="Z11" i="24"/>
  <c r="AC5" i="25"/>
  <c r="Y5" i="25"/>
  <c r="U5" i="25"/>
  <c r="AB5" i="25"/>
  <c r="X5" i="25"/>
  <c r="T5" i="25"/>
  <c r="AA5" i="25"/>
  <c r="Z8" i="25"/>
  <c r="AC8" i="25"/>
  <c r="Y8" i="25"/>
  <c r="U8" i="25"/>
  <c r="AA8" i="25"/>
  <c r="AB23" i="26"/>
  <c r="X23" i="26"/>
  <c r="T23" i="26"/>
  <c r="Z23" i="26"/>
  <c r="V23" i="26"/>
  <c r="W23" i="26"/>
  <c r="AC23" i="26"/>
  <c r="U23" i="26"/>
  <c r="W11" i="20"/>
  <c r="R4" i="21"/>
  <c r="R8" i="21"/>
  <c r="R4" i="22"/>
  <c r="R8" i="22"/>
  <c r="R6" i="23"/>
  <c r="S9" i="23"/>
  <c r="R10" i="23"/>
  <c r="Z4" i="24"/>
  <c r="Z8" i="24"/>
  <c r="AE11" i="24"/>
  <c r="AA11" i="24"/>
  <c r="W11" i="24"/>
  <c r="AB11" i="24"/>
  <c r="Z4" i="25"/>
  <c r="V4" i="25"/>
  <c r="AC4" i="25"/>
  <c r="Y4" i="25"/>
  <c r="U4" i="25"/>
  <c r="AA4" i="25"/>
  <c r="V5" i="25"/>
  <c r="T8" i="25"/>
  <c r="AB8" i="25"/>
  <c r="Y23" i="26"/>
  <c r="Z25" i="26"/>
  <c r="V25" i="26"/>
  <c r="AB25" i="26"/>
  <c r="X25" i="26"/>
  <c r="T25" i="26"/>
  <c r="W25" i="26"/>
  <c r="AC25" i="26"/>
  <c r="U25" i="26"/>
  <c r="AB27" i="26"/>
  <c r="X27" i="26"/>
  <c r="T27" i="26"/>
  <c r="Z27" i="26"/>
  <c r="V27" i="26"/>
  <c r="Y27" i="26"/>
  <c r="W27" i="26"/>
  <c r="W6" i="25"/>
  <c r="V7" i="25"/>
  <c r="Z7" i="25"/>
  <c r="W10" i="25"/>
  <c r="V11" i="25"/>
  <c r="Z11" i="25"/>
  <c r="W7" i="25"/>
  <c r="W11" i="25"/>
  <c r="W24" i="26"/>
  <c r="AA24" i="26"/>
  <c r="W28" i="26"/>
  <c r="AA28" i="26"/>
  <c r="U24" i="26"/>
  <c r="Y24" i="26"/>
  <c r="W26" i="26"/>
  <c r="U28" i="26"/>
  <c r="Y28" i="26"/>
  <c r="X30" i="26"/>
  <c r="W2" i="3" l="1"/>
  <c r="AJ9" i="16"/>
  <c r="AJ20" i="16"/>
  <c r="AJ26" i="16"/>
  <c r="AJ28" i="16"/>
  <c r="AJ10" i="16"/>
  <c r="AJ13" i="16"/>
  <c r="AJ11" i="16"/>
  <c r="AJ7" i="16"/>
  <c r="AJ22" i="16"/>
  <c r="AJ8" i="16"/>
  <c r="AJ21" i="16"/>
  <c r="AJ23" i="16"/>
  <c r="AJ5" i="16"/>
  <c r="AJ18" i="16"/>
  <c r="AJ12" i="16"/>
  <c r="AJ24" i="16"/>
  <c r="AJ27" i="16"/>
  <c r="AJ19" i="16"/>
  <c r="AJ6" i="16"/>
  <c r="AJ4" i="16"/>
  <c r="AC2" i="16"/>
  <c r="AJ7" i="18"/>
  <c r="AJ6" i="17"/>
  <c r="AJ9" i="17"/>
  <c r="AJ8" i="17"/>
  <c r="AJ8" i="18"/>
  <c r="AJ10" i="17"/>
  <c r="AJ7" i="17"/>
  <c r="AJ6" i="18"/>
  <c r="AJ5" i="17"/>
  <c r="AJ5" i="18"/>
  <c r="AJ10" i="18"/>
  <c r="AJ11" i="18"/>
  <c r="AJ4" i="18"/>
  <c r="AJ9" i="18"/>
  <c r="AJ4" i="17"/>
  <c r="AJ12" i="3"/>
  <c r="AJ6" i="2"/>
  <c r="AJ6" i="3"/>
  <c r="AJ5" i="3"/>
  <c r="AJ7" i="3"/>
  <c r="AJ11" i="3"/>
  <c r="AJ7" i="2"/>
  <c r="AJ12" i="2"/>
  <c r="AJ5" i="2"/>
  <c r="AJ11" i="2"/>
  <c r="AJ10" i="3"/>
  <c r="AJ8" i="2"/>
  <c r="AJ4" i="2"/>
  <c r="AJ8" i="3"/>
  <c r="AJ4" i="3"/>
  <c r="AJ10" i="2"/>
  <c r="AJ6" i="19"/>
  <c r="AJ14" i="19"/>
  <c r="AJ10" i="19"/>
  <c r="AJ13" i="19"/>
  <c r="AJ12" i="19"/>
  <c r="AJ7" i="19"/>
  <c r="AJ5" i="20"/>
  <c r="AJ10" i="20"/>
  <c r="AJ5" i="19"/>
  <c r="AJ11" i="20"/>
  <c r="AJ7" i="20"/>
  <c r="AJ6" i="20"/>
  <c r="AJ12" i="20"/>
  <c r="AJ8" i="20"/>
  <c r="AJ9" i="19"/>
  <c r="AJ4" i="20"/>
  <c r="AJ8" i="19"/>
  <c r="AJ4" i="19"/>
  <c r="AJ5" i="13"/>
  <c r="AJ5" i="14"/>
  <c r="AE2" i="16"/>
  <c r="AG2" i="16"/>
  <c r="AF2" i="16"/>
  <c r="AD2" i="16"/>
  <c r="AJ6" i="13"/>
  <c r="AJ12" i="13"/>
  <c r="AJ4" i="11"/>
  <c r="AJ4" i="14"/>
  <c r="AJ4" i="13"/>
  <c r="AJ9" i="11"/>
  <c r="AJ8" i="13"/>
  <c r="AJ9" i="14"/>
  <c r="AJ7" i="14"/>
  <c r="AJ6" i="14"/>
  <c r="AJ10" i="13"/>
  <c r="AJ11" i="14"/>
  <c r="AJ11" i="13"/>
  <c r="AJ8" i="14"/>
  <c r="AJ10" i="14"/>
  <c r="AJ7" i="13"/>
  <c r="AB2" i="12"/>
  <c r="AC2" i="12"/>
  <c r="AJ11" i="11"/>
  <c r="AJ8" i="11"/>
  <c r="AC2" i="11"/>
  <c r="AJ6" i="11"/>
  <c r="AJ5" i="11"/>
  <c r="AJ7" i="11"/>
  <c r="AJ10" i="11"/>
  <c r="T2" i="17"/>
  <c r="T2" i="23"/>
  <c r="W2" i="24"/>
  <c r="X2" i="23"/>
  <c r="AA2" i="24"/>
  <c r="X2" i="22"/>
  <c r="O2" i="22"/>
  <c r="P2" i="22"/>
  <c r="Q2" i="23"/>
  <c r="Q2" i="22"/>
  <c r="W2" i="23"/>
  <c r="W2" i="22"/>
  <c r="AA21" i="26"/>
  <c r="O2" i="23"/>
  <c r="R2" i="23"/>
  <c r="S2" i="22"/>
  <c r="U2" i="23"/>
  <c r="T2" i="22"/>
  <c r="V2" i="22"/>
  <c r="S2" i="23"/>
  <c r="R2" i="22"/>
  <c r="P2" i="23"/>
  <c r="V2" i="23"/>
  <c r="U2" i="22"/>
  <c r="AB2" i="24"/>
  <c r="X21" i="26"/>
  <c r="AB21" i="26"/>
  <c r="Y21" i="26"/>
  <c r="U21" i="26"/>
  <c r="AE2" i="24"/>
  <c r="AC21" i="26"/>
  <c r="AC2" i="24"/>
  <c r="AF2" i="24"/>
  <c r="Y2" i="24"/>
  <c r="AD2" i="24"/>
  <c r="W21" i="26"/>
  <c r="V21" i="26"/>
  <c r="Z21" i="26"/>
  <c r="Z2" i="24"/>
  <c r="T21" i="26"/>
  <c r="X2" i="24"/>
  <c r="AB2" i="18"/>
  <c r="X2" i="17"/>
  <c r="Z2" i="18"/>
  <c r="AC2" i="17"/>
  <c r="AB2" i="17"/>
  <c r="Y2" i="18"/>
  <c r="W2" i="18"/>
  <c r="V2" i="18"/>
  <c r="U2" i="17"/>
  <c r="AC2" i="18"/>
  <c r="Y2" i="17"/>
  <c r="AA2" i="18"/>
  <c r="W2" i="17"/>
  <c r="V2" i="17"/>
  <c r="T2" i="18"/>
  <c r="AA2" i="17"/>
  <c r="Z2" i="17"/>
  <c r="U2" i="18"/>
  <c r="X2" i="18"/>
  <c r="T2" i="14"/>
  <c r="Q2" i="21"/>
  <c r="X2" i="15"/>
  <c r="T2" i="11"/>
  <c r="R2" i="9"/>
  <c r="P2" i="7"/>
  <c r="S2" i="10"/>
  <c r="V2" i="19"/>
  <c r="AA2" i="11"/>
  <c r="V2" i="7"/>
  <c r="V2" i="6"/>
  <c r="T2" i="4"/>
  <c r="S2" i="6"/>
  <c r="T16" i="16"/>
  <c r="T2" i="12"/>
  <c r="X2" i="13"/>
  <c r="U2" i="8"/>
  <c r="Z2" i="16"/>
  <c r="S2" i="8"/>
  <c r="Q2" i="8"/>
  <c r="Z2" i="25"/>
  <c r="AA2" i="25"/>
  <c r="U2" i="14"/>
  <c r="U2" i="13"/>
  <c r="R2" i="15"/>
  <c r="T2" i="19"/>
  <c r="Z2" i="19"/>
  <c r="X2" i="14"/>
  <c r="AA2" i="13"/>
  <c r="R2" i="8"/>
  <c r="Q2" i="4"/>
  <c r="T2" i="6"/>
  <c r="X2" i="25"/>
  <c r="O2" i="21"/>
  <c r="V2" i="21"/>
  <c r="Z2" i="20"/>
  <c r="Y16" i="16"/>
  <c r="Y2" i="16"/>
  <c r="U2" i="15"/>
  <c r="W2" i="7"/>
  <c r="T2" i="5"/>
  <c r="X2" i="20"/>
  <c r="AA2" i="19"/>
  <c r="AA2" i="20"/>
  <c r="X16" i="16"/>
  <c r="T2" i="20"/>
  <c r="W2" i="16"/>
  <c r="AB2" i="19"/>
  <c r="W2" i="11"/>
  <c r="AB2" i="14"/>
  <c r="AA2" i="12"/>
  <c r="T2" i="13"/>
  <c r="R2" i="7"/>
  <c r="U2" i="4"/>
  <c r="O2" i="6"/>
  <c r="AB2" i="25"/>
  <c r="P2" i="21"/>
  <c r="Z16" i="16"/>
  <c r="AB2" i="16"/>
  <c r="W2" i="15"/>
  <c r="O2" i="10"/>
  <c r="P2" i="9"/>
  <c r="X2" i="7"/>
  <c r="U2" i="5"/>
  <c r="T2" i="3"/>
  <c r="Q2" i="10"/>
  <c r="Y2" i="14"/>
  <c r="V2" i="9"/>
  <c r="AB2" i="13"/>
  <c r="S2" i="4"/>
  <c r="W2" i="6"/>
  <c r="V2" i="10"/>
  <c r="AC2" i="14"/>
  <c r="Q2" i="9"/>
  <c r="O2" i="8"/>
  <c r="W2" i="4"/>
  <c r="AC2" i="2"/>
  <c r="T2" i="21"/>
  <c r="P2" i="15"/>
  <c r="W2" i="13"/>
  <c r="X2" i="11"/>
  <c r="U2" i="10"/>
  <c r="X2" i="9"/>
  <c r="P2" i="8"/>
  <c r="O2" i="7"/>
  <c r="O2" i="5"/>
  <c r="V2" i="5"/>
  <c r="Y2" i="3"/>
  <c r="AC16" i="16"/>
  <c r="U2" i="25"/>
  <c r="AB2" i="20"/>
  <c r="T2" i="10"/>
  <c r="X2" i="19"/>
  <c r="X2" i="12"/>
  <c r="V2" i="15"/>
  <c r="V2" i="11"/>
  <c r="U2" i="9"/>
  <c r="X2" i="5"/>
  <c r="X2" i="3"/>
  <c r="U2" i="20"/>
  <c r="V2" i="16"/>
  <c r="Y2" i="11"/>
  <c r="P2" i="10"/>
  <c r="T2" i="9"/>
  <c r="Q2" i="6"/>
  <c r="AC2" i="25"/>
  <c r="R2" i="21"/>
  <c r="Y2" i="20"/>
  <c r="AA16" i="16"/>
  <c r="U2" i="11"/>
  <c r="Y2" i="19"/>
  <c r="R2" i="10"/>
  <c r="Z2" i="14"/>
  <c r="V2" i="12"/>
  <c r="Z2" i="13"/>
  <c r="O2" i="9"/>
  <c r="P2" i="6"/>
  <c r="U2" i="6"/>
  <c r="U2" i="21"/>
  <c r="T2" i="16"/>
  <c r="Q2" i="15"/>
  <c r="Y2" i="13"/>
  <c r="U2" i="12"/>
  <c r="Z2" i="11"/>
  <c r="W2" i="10"/>
  <c r="T2" i="8"/>
  <c r="Q2" i="7"/>
  <c r="P2" i="5"/>
  <c r="AB2" i="3"/>
  <c r="W2" i="19"/>
  <c r="O2" i="4"/>
  <c r="W2" i="5"/>
  <c r="U2" i="3"/>
  <c r="S2" i="21"/>
  <c r="AB16" i="16"/>
  <c r="AA2" i="16"/>
  <c r="O2" i="15"/>
  <c r="Y2" i="25"/>
  <c r="U2" i="19"/>
  <c r="V2" i="13"/>
  <c r="V2" i="25"/>
  <c r="AC2" i="20"/>
  <c r="W16" i="16"/>
  <c r="AC2" i="19"/>
  <c r="V2" i="14"/>
  <c r="AC2" i="13"/>
  <c r="Z2" i="12"/>
  <c r="T2" i="7"/>
  <c r="R2" i="5"/>
  <c r="S2" i="9"/>
  <c r="R2" i="4"/>
  <c r="X2" i="4"/>
  <c r="Z2" i="3"/>
  <c r="X2" i="6"/>
  <c r="T2" i="25"/>
  <c r="W2" i="21"/>
  <c r="V2" i="20"/>
  <c r="U16" i="16"/>
  <c r="U2" i="16"/>
  <c r="S2" i="15"/>
  <c r="W2" i="14"/>
  <c r="W2" i="12"/>
  <c r="AB2" i="11"/>
  <c r="X2" i="10"/>
  <c r="X2" i="8"/>
  <c r="S2" i="7"/>
  <c r="Q2" i="5"/>
  <c r="AC2" i="3"/>
  <c r="V2" i="8"/>
  <c r="W2" i="9"/>
  <c r="P2" i="4"/>
  <c r="V2" i="3"/>
  <c r="V2" i="4"/>
  <c r="R2" i="6"/>
  <c r="W2" i="25"/>
  <c r="X2" i="21"/>
  <c r="W2" i="20"/>
  <c r="V16" i="16"/>
  <c r="X2" i="16"/>
  <c r="T2" i="15"/>
  <c r="AA2" i="14"/>
  <c r="Y2" i="12"/>
  <c r="W2" i="8"/>
  <c r="U2" i="7"/>
  <c r="S2" i="5"/>
  <c r="AA2" i="3"/>
  <c r="T2" i="2"/>
  <c r="X2" i="2"/>
  <c r="W2" i="2"/>
  <c r="V2" i="2"/>
  <c r="Z2" i="2"/>
  <c r="AB2" i="2"/>
  <c r="AA2" i="2"/>
  <c r="U2" i="2"/>
  <c r="Y2" i="2"/>
  <c r="AI35" i="28"/>
  <c r="AI37" i="28"/>
  <c r="Z4" i="21"/>
  <c r="Z9" i="15"/>
  <c r="Z10" i="5"/>
  <c r="Z9" i="23"/>
  <c r="Z8" i="22"/>
  <c r="Z8" i="15"/>
  <c r="Z9" i="9"/>
  <c r="Z11" i="8"/>
  <c r="Z8" i="7"/>
  <c r="Z8" i="5"/>
  <c r="Z7" i="6"/>
  <c r="Z9" i="4"/>
  <c r="Z4" i="22"/>
  <c r="Z5" i="9"/>
  <c r="Z9" i="8"/>
  <c r="Z6" i="7"/>
  <c r="Z6" i="23"/>
  <c r="Z6" i="10"/>
  <c r="Z10" i="7"/>
  <c r="Z4" i="15"/>
  <c r="Z11" i="6"/>
  <c r="Z13" i="4"/>
  <c r="Z5" i="8"/>
  <c r="AJ12" i="12"/>
  <c r="Z5" i="4"/>
  <c r="Z8" i="21"/>
  <c r="AJ7" i="12"/>
  <c r="Z10" i="10"/>
  <c r="Z9" i="6"/>
  <c r="Z6" i="22"/>
  <c r="Z10" i="22"/>
  <c r="Z9" i="21"/>
  <c r="Z10" i="15"/>
  <c r="AJ13" i="12"/>
  <c r="AJ5" i="12"/>
  <c r="Z12" i="10"/>
  <c r="Z8" i="10"/>
  <c r="Z7" i="15"/>
  <c r="AJ9" i="12"/>
  <c r="Z11" i="9"/>
  <c r="Z7" i="9"/>
  <c r="Z6" i="9"/>
  <c r="Z8" i="8"/>
  <c r="Z7" i="8"/>
  <c r="Z5" i="6"/>
  <c r="Z6" i="5"/>
  <c r="Z11" i="4"/>
  <c r="Z7" i="4"/>
  <c r="Z7" i="10"/>
  <c r="Z10" i="9"/>
  <c r="Z12" i="7"/>
  <c r="Z9" i="5"/>
  <c r="Z12" i="4"/>
  <c r="Z6" i="15"/>
  <c r="Z4" i="4"/>
  <c r="Z4" i="6"/>
  <c r="Z10" i="23"/>
  <c r="Z11" i="22"/>
  <c r="Z4" i="10"/>
  <c r="Z11" i="10"/>
  <c r="Z12" i="9"/>
  <c r="Z4" i="9"/>
  <c r="Z9" i="10"/>
  <c r="Z6" i="6"/>
  <c r="Z6" i="4"/>
  <c r="Z4" i="7"/>
  <c r="Z11" i="23"/>
  <c r="Z8" i="23"/>
  <c r="Z11" i="15"/>
  <c r="Z5" i="5"/>
  <c r="AJ14" i="12"/>
  <c r="Z9" i="7"/>
  <c r="Z10" i="6"/>
  <c r="Z7" i="22"/>
  <c r="Z7" i="23"/>
  <c r="Z4" i="8"/>
  <c r="AJ6" i="12"/>
  <c r="Z8" i="9"/>
  <c r="Z7" i="5"/>
  <c r="Z13" i="7"/>
  <c r="Z9" i="22"/>
  <c r="Z4" i="23"/>
  <c r="Z10" i="21"/>
  <c r="Z5" i="10"/>
  <c r="Z10" i="8"/>
  <c r="Z7" i="7"/>
  <c r="Z8" i="6"/>
  <c r="Z5" i="7"/>
  <c r="Z5" i="22"/>
  <c r="Z11" i="21"/>
  <c r="Z7" i="21"/>
  <c r="Z5" i="23"/>
  <c r="Z6" i="21"/>
  <c r="Z5" i="21"/>
  <c r="Z5" i="15"/>
  <c r="AJ4" i="12"/>
  <c r="AJ8" i="12"/>
  <c r="Z6" i="8"/>
  <c r="Z4" i="5"/>
  <c r="Z11" i="7"/>
  <c r="Z11" i="5"/>
  <c r="Z10" i="4"/>
  <c r="AJ10" i="12"/>
  <c r="Z8" i="4"/>
  <c r="AI16" i="16" l="1"/>
  <c r="AI25" i="16" s="1"/>
  <c r="AI2" i="16"/>
  <c r="AI2" i="18"/>
  <c r="AI2" i="17"/>
  <c r="AI20" i="17" s="1"/>
  <c r="AI2" i="3"/>
  <c r="AI9" i="3" s="1"/>
  <c r="AI2" i="2"/>
  <c r="AI2" i="20"/>
  <c r="AI2" i="19"/>
  <c r="AI2" i="14"/>
  <c r="AI2" i="12"/>
  <c r="AI2" i="11"/>
  <c r="AI2" i="13"/>
  <c r="AI9" i="13" s="1"/>
  <c r="AD21" i="26"/>
  <c r="Y2" i="10"/>
  <c r="Y9" i="10" s="1"/>
  <c r="Y2" i="15"/>
  <c r="Y6" i="15" s="1"/>
  <c r="Y2" i="22"/>
  <c r="Y9" i="22" s="1"/>
  <c r="Y2" i="21"/>
  <c r="Y2" i="8"/>
  <c r="Y2" i="23"/>
  <c r="Y5" i="23" s="1"/>
  <c r="Y2" i="5"/>
  <c r="Y2" i="9"/>
  <c r="Y2" i="6"/>
  <c r="Y2" i="4"/>
  <c r="Y2" i="7"/>
  <c r="Y9" i="7" s="1"/>
  <c r="AI26" i="20" l="1"/>
  <c r="AI12" i="20"/>
  <c r="AI21" i="20"/>
  <c r="AI23" i="20"/>
  <c r="AI20" i="20"/>
  <c r="AI19" i="20"/>
  <c r="AI24" i="20"/>
  <c r="AI17" i="20"/>
  <c r="AI18" i="20"/>
  <c r="AI25" i="20"/>
  <c r="AI36" i="2"/>
  <c r="AI24" i="2"/>
  <c r="AI23" i="2"/>
  <c r="AI25" i="2"/>
  <c r="AI33" i="2"/>
  <c r="AI19" i="2"/>
  <c r="AI17" i="2"/>
  <c r="AI21" i="2"/>
  <c r="AI38" i="2"/>
  <c r="AI31" i="2"/>
  <c r="AI37" i="2"/>
  <c r="AI32" i="2"/>
  <c r="AI35" i="2"/>
  <c r="AI18" i="2"/>
  <c r="AI22" i="2"/>
  <c r="AI26" i="2"/>
  <c r="AI34" i="2"/>
  <c r="AI39" i="2"/>
  <c r="AI20" i="2"/>
  <c r="AI11" i="3"/>
  <c r="AI9" i="17"/>
  <c r="AI16" i="17"/>
  <c r="AI15" i="17"/>
  <c r="AI17" i="17"/>
  <c r="AI18" i="17"/>
  <c r="AI22" i="17"/>
  <c r="AI19" i="17"/>
  <c r="AI21" i="17"/>
  <c r="AI6" i="18"/>
  <c r="AI11" i="2"/>
  <c r="AI9" i="2"/>
  <c r="AI20" i="14"/>
  <c r="AI24" i="14"/>
  <c r="AI18" i="14"/>
  <c r="AI19" i="14"/>
  <c r="AI22" i="14"/>
  <c r="AI17" i="14"/>
  <c r="AI21" i="14"/>
  <c r="AI16" i="14"/>
  <c r="AI23" i="14"/>
  <c r="AI9" i="11"/>
  <c r="AI21" i="11"/>
  <c r="AI14" i="12"/>
  <c r="AI11" i="12"/>
  <c r="AI19" i="11"/>
  <c r="AI17" i="11"/>
  <c r="AI20" i="11"/>
  <c r="AI18" i="11"/>
  <c r="AI23" i="11"/>
  <c r="AI16" i="11"/>
  <c r="AI24" i="11"/>
  <c r="AI22" i="11"/>
  <c r="AI40" i="16"/>
  <c r="AI37" i="16"/>
  <c r="AI8" i="16"/>
  <c r="AI34" i="16"/>
  <c r="AI39" i="16"/>
  <c r="AI35" i="16"/>
  <c r="AI36" i="16"/>
  <c r="AI41" i="16"/>
  <c r="Y5" i="22"/>
  <c r="Y7" i="22"/>
  <c r="AI6" i="12"/>
  <c r="Y11" i="23"/>
  <c r="Y10" i="23"/>
  <c r="AI7" i="11"/>
  <c r="Y11" i="22"/>
  <c r="AI5" i="3"/>
  <c r="AI8" i="2"/>
  <c r="Y4" i="10"/>
  <c r="Y5" i="10"/>
  <c r="AI11" i="18"/>
  <c r="AI11" i="16"/>
  <c r="Y11" i="10"/>
  <c r="Y8" i="23"/>
  <c r="AI4" i="19"/>
  <c r="AI8" i="13"/>
  <c r="AI13" i="19"/>
  <c r="AI10" i="19"/>
  <c r="AI9" i="18"/>
  <c r="Y5" i="5"/>
  <c r="AI4" i="18"/>
  <c r="Y5" i="21"/>
  <c r="Y11" i="5"/>
  <c r="AI5" i="19"/>
  <c r="AI4" i="13"/>
  <c r="Y7" i="21"/>
  <c r="AI11" i="11"/>
  <c r="Y10" i="21"/>
  <c r="Y6" i="21"/>
  <c r="Y4" i="5"/>
  <c r="Y6" i="4"/>
  <c r="Y8" i="6"/>
  <c r="Y10" i="6"/>
  <c r="Y12" i="9"/>
  <c r="AI7" i="16"/>
  <c r="AI13" i="16"/>
  <c r="AI4" i="16"/>
  <c r="AI10" i="12"/>
  <c r="AI8" i="12"/>
  <c r="AI7" i="3"/>
  <c r="AI4" i="2"/>
  <c r="AI4" i="11"/>
  <c r="AI8" i="14"/>
  <c r="AI9" i="19"/>
  <c r="AI14" i="19"/>
  <c r="AI8" i="19"/>
  <c r="Y9" i="8"/>
  <c r="Y11" i="8"/>
  <c r="Y7" i="8"/>
  <c r="Y5" i="8"/>
  <c r="Y8" i="8"/>
  <c r="AI7" i="20"/>
  <c r="AI11" i="20"/>
  <c r="Y9" i="15"/>
  <c r="Y8" i="15"/>
  <c r="Y7" i="15"/>
  <c r="Y4" i="15"/>
  <c r="Y10" i="15"/>
  <c r="AI23" i="16"/>
  <c r="AI28" i="16"/>
  <c r="AI20" i="16"/>
  <c r="AI19" i="16"/>
  <c r="AI22" i="16"/>
  <c r="AI27" i="16"/>
  <c r="AI7" i="13"/>
  <c r="AI12" i="13"/>
  <c r="AI5" i="13"/>
  <c r="AI10" i="13"/>
  <c r="AI11" i="13"/>
  <c r="Y4" i="4"/>
  <c r="AI12" i="2"/>
  <c r="AI5" i="2"/>
  <c r="AI7" i="2"/>
  <c r="AI10" i="2"/>
  <c r="AI6" i="13"/>
  <c r="AI5" i="20"/>
  <c r="AI10" i="14"/>
  <c r="AI9" i="14"/>
  <c r="AI11" i="14"/>
  <c r="AI7" i="14"/>
  <c r="AI6" i="14"/>
  <c r="AI6" i="3"/>
  <c r="AI7" i="18"/>
  <c r="AI10" i="18"/>
  <c r="AI5" i="18"/>
  <c r="AI8" i="18"/>
  <c r="AI4" i="14"/>
  <c r="Y10" i="4"/>
  <c r="Y9" i="6"/>
  <c r="Y11" i="6"/>
  <c r="Y7" i="6"/>
  <c r="Y5" i="6"/>
  <c r="Y13" i="7"/>
  <c r="Y6" i="8"/>
  <c r="AI7" i="17"/>
  <c r="AI5" i="17"/>
  <c r="AI10" i="17"/>
  <c r="AI6" i="17"/>
  <c r="AI8" i="17"/>
  <c r="AI10" i="20"/>
  <c r="Y7" i="7"/>
  <c r="Y5" i="7"/>
  <c r="Y11" i="15"/>
  <c r="Y8" i="9"/>
  <c r="Y4" i="6"/>
  <c r="AI8" i="11"/>
  <c r="AI5" i="11"/>
  <c r="AI10" i="11"/>
  <c r="AI6" i="11"/>
  <c r="Y9" i="5"/>
  <c r="Y6" i="5"/>
  <c r="Y10" i="5"/>
  <c r="Y8" i="5"/>
  <c r="Y9" i="23"/>
  <c r="Y6" i="23"/>
  <c r="AI8" i="20"/>
  <c r="Y7" i="5"/>
  <c r="Y9" i="21"/>
  <c r="Y4" i="21"/>
  <c r="Y8" i="21"/>
  <c r="AI21" i="16"/>
  <c r="AI26" i="16"/>
  <c r="AI4" i="17"/>
  <c r="AI4" i="12"/>
  <c r="AI4" i="20"/>
  <c r="AI24" i="16"/>
  <c r="Y6" i="10"/>
  <c r="Y12" i="10"/>
  <c r="Y7" i="10"/>
  <c r="Y8" i="10"/>
  <c r="Y10" i="10"/>
  <c r="Y5" i="15"/>
  <c r="Y6" i="7"/>
  <c r="Y12" i="7"/>
  <c r="Y8" i="7"/>
  <c r="Y10" i="7"/>
  <c r="Y4" i="8"/>
  <c r="Y4" i="7"/>
  <c r="Y6" i="6"/>
  <c r="Y9" i="4"/>
  <c r="Y7" i="4"/>
  <c r="Y13" i="4"/>
  <c r="Y11" i="4"/>
  <c r="Y5" i="4"/>
  <c r="Y12" i="4"/>
  <c r="Y6" i="9"/>
  <c r="Y11" i="9"/>
  <c r="Y10" i="9"/>
  <c r="Y9" i="9"/>
  <c r="Y5" i="9"/>
  <c r="Y7" i="9"/>
  <c r="AI18" i="16"/>
  <c r="AI6" i="20"/>
  <c r="AI9" i="16"/>
  <c r="AI6" i="16"/>
  <c r="AI5" i="16"/>
  <c r="AI10" i="16"/>
  <c r="Y8" i="4"/>
  <c r="AI9" i="12"/>
  <c r="AI7" i="12"/>
  <c r="AI12" i="12"/>
  <c r="AI5" i="12"/>
  <c r="AI13" i="12"/>
  <c r="AI12" i="3"/>
  <c r="AI8" i="3"/>
  <c r="Y4" i="9"/>
  <c r="AI10" i="3"/>
  <c r="Y7" i="23"/>
  <c r="AI12" i="16"/>
  <c r="AI5" i="14"/>
  <c r="AI12" i="19"/>
  <c r="AI7" i="19"/>
  <c r="AI6" i="19"/>
  <c r="AI4" i="3"/>
  <c r="Y4" i="23"/>
  <c r="AI6" i="2"/>
  <c r="Y8" i="22"/>
  <c r="Y6" i="22"/>
  <c r="Y10" i="22"/>
  <c r="Y4" i="22"/>
  <c r="Y10" i="8"/>
  <c r="Y11" i="21"/>
  <c r="Y11" i="7"/>
  <c r="AI14" i="17" l="1"/>
  <c r="AI15" i="11"/>
  <c r="AI3" i="11"/>
  <c r="AI3" i="18"/>
  <c r="AI3" i="12"/>
  <c r="AI3" i="17"/>
  <c r="D43" i="26" l="1"/>
  <c r="AG43" i="26" l="1"/>
  <c r="AG36" i="26" s="1"/>
  <c r="AD43" i="26"/>
  <c r="AD36" i="26" s="1"/>
  <c r="AE43" i="26"/>
  <c r="AE36" i="26" s="1"/>
  <c r="AF43" i="26"/>
  <c r="AF36" i="26" s="1"/>
  <c r="AH43" i="26"/>
  <c r="AH36" i="26" s="1"/>
  <c r="U27" i="28"/>
  <c r="U20" i="28" s="1"/>
  <c r="V27" i="28"/>
  <c r="V20" i="28" s="1"/>
  <c r="AC27" i="28"/>
  <c r="AC20" i="28" s="1"/>
  <c r="AA27" i="28"/>
  <c r="AA20" i="28" s="1"/>
  <c r="Y27" i="28"/>
  <c r="Y20" i="28" s="1"/>
  <c r="W27" i="28"/>
  <c r="W20" i="28" s="1"/>
  <c r="T27" i="28"/>
  <c r="Z27" i="28"/>
  <c r="Z20" i="28" s="1"/>
  <c r="AB27" i="28"/>
  <c r="AB20" i="28" s="1"/>
  <c r="X27" i="28"/>
  <c r="X20" i="28" s="1"/>
  <c r="U44" i="34"/>
  <c r="U34" i="34" s="1"/>
  <c r="AC44" i="34"/>
  <c r="AC34" i="34" s="1"/>
  <c r="AB44" i="34"/>
  <c r="AB34" i="34" s="1"/>
  <c r="X44" i="34"/>
  <c r="X34" i="34" s="1"/>
  <c r="T44" i="34"/>
  <c r="T34" i="34" s="1"/>
  <c r="AA44" i="34"/>
  <c r="AA34" i="34" s="1"/>
  <c r="V44" i="34"/>
  <c r="Y44" i="34"/>
  <c r="Y34" i="34" s="1"/>
  <c r="Z44" i="34"/>
  <c r="Z34" i="34" s="1"/>
  <c r="W44" i="34"/>
  <c r="W34" i="34" s="1"/>
  <c r="W43" i="26"/>
  <c r="W36" i="26" s="1"/>
  <c r="AB43" i="26"/>
  <c r="AB36" i="26" s="1"/>
  <c r="Y43" i="26"/>
  <c r="Y36" i="26" s="1"/>
  <c r="X43" i="26"/>
  <c r="X36" i="26" s="1"/>
  <c r="AC43" i="26"/>
  <c r="AC36" i="26" s="1"/>
  <c r="U43" i="26"/>
  <c r="U36" i="26" s="1"/>
  <c r="Z43" i="26"/>
  <c r="Z36" i="26" s="1"/>
  <c r="V43" i="26"/>
  <c r="V36" i="26" s="1"/>
  <c r="AA43" i="26"/>
  <c r="AA36" i="26" s="1"/>
  <c r="T43" i="26"/>
  <c r="T36" i="26" s="1"/>
  <c r="V34" i="34" l="1"/>
  <c r="AJ27" i="28"/>
  <c r="AJ44" i="34"/>
  <c r="T20" i="28"/>
  <c r="AI20" i="28" s="1"/>
  <c r="AI34" i="34" l="1"/>
  <c r="AI33" i="16" l="1"/>
  <c r="AI32" i="16" s="1"/>
  <c r="AI17" i="18" l="1"/>
  <c r="AI18" i="18"/>
  <c r="AI23" i="18"/>
  <c r="AI21" i="18"/>
  <c r="AI19" i="18"/>
  <c r="AI24" i="18"/>
  <c r="AI20" i="18"/>
  <c r="AI22" i="18"/>
  <c r="AI16" i="18"/>
  <c r="AI15" i="18" l="1"/>
  <c r="D28" i="34" l="1"/>
  <c r="D12" i="34"/>
  <c r="D14" i="28"/>
  <c r="AD14" i="28" l="1"/>
  <c r="AD2" i="28" s="1"/>
  <c r="AG14" i="28"/>
  <c r="AG2" i="28" s="1"/>
  <c r="AH14" i="28"/>
  <c r="AH2" i="28" s="1"/>
  <c r="T14" i="28"/>
  <c r="T2" i="28" s="1"/>
  <c r="Z14" i="28"/>
  <c r="Z2" i="28" s="1"/>
  <c r="U14" i="28"/>
  <c r="U2" i="28" s="1"/>
  <c r="X14" i="28"/>
  <c r="X2" i="28" s="1"/>
  <c r="AE14" i="28"/>
  <c r="AE2" i="28" s="1"/>
  <c r="AC14" i="28"/>
  <c r="AC2" i="28" s="1"/>
  <c r="AB14" i="28"/>
  <c r="AB2" i="28" s="1"/>
  <c r="V14" i="28"/>
  <c r="V2" i="28" s="1"/>
  <c r="Y14" i="28"/>
  <c r="Y2" i="28" s="1"/>
  <c r="AF14" i="28"/>
  <c r="AF2" i="28" s="1"/>
  <c r="AA14" i="28"/>
  <c r="AA2" i="28" s="1"/>
  <c r="W14" i="28"/>
  <c r="W2" i="28" s="1"/>
  <c r="AB12" i="34"/>
  <c r="AB2" i="34" s="1"/>
  <c r="W12" i="34"/>
  <c r="W2" i="34" s="1"/>
  <c r="AA12" i="34"/>
  <c r="AA2" i="34" s="1"/>
  <c r="Y12" i="34"/>
  <c r="Y2" i="34" s="1"/>
  <c r="X12" i="34"/>
  <c r="X2" i="34" s="1"/>
  <c r="U12" i="34"/>
  <c r="U2" i="34" s="1"/>
  <c r="T12" i="34"/>
  <c r="T2" i="34" s="1"/>
  <c r="V12" i="34"/>
  <c r="V2" i="34" s="1"/>
  <c r="Z12" i="34"/>
  <c r="Z2" i="34" s="1"/>
  <c r="AC12" i="34"/>
  <c r="AC2" i="34" s="1"/>
  <c r="V28" i="34"/>
  <c r="V18" i="34" s="1"/>
  <c r="W28" i="34"/>
  <c r="W18" i="34" s="1"/>
  <c r="Y28" i="34"/>
  <c r="Y18" i="34" s="1"/>
  <c r="X28" i="34"/>
  <c r="X18" i="34" s="1"/>
  <c r="Z28" i="34"/>
  <c r="Z18" i="34" s="1"/>
  <c r="AC28" i="34"/>
  <c r="AC18" i="34" s="1"/>
  <c r="U28" i="34"/>
  <c r="U18" i="34" s="1"/>
  <c r="AB28" i="34"/>
  <c r="AB18" i="34" s="1"/>
  <c r="T28" i="34"/>
  <c r="T18" i="34" s="1"/>
  <c r="AA28" i="34"/>
  <c r="AA18" i="34" s="1"/>
  <c r="AI18" i="34" l="1"/>
  <c r="AI2" i="34"/>
  <c r="AI2" i="28"/>
  <c r="AJ14" i="28"/>
  <c r="AJ28" i="34"/>
  <c r="AJ12" i="34"/>
  <c r="AI89" i="34" l="1"/>
  <c r="AI88" i="34"/>
  <c r="AI86" i="34"/>
  <c r="AI85" i="34"/>
  <c r="AI73" i="34"/>
  <c r="AI72" i="34"/>
  <c r="AI55" i="34"/>
  <c r="AI56" i="34"/>
  <c r="AI41" i="34"/>
  <c r="AI42" i="34"/>
  <c r="AI69" i="34"/>
  <c r="AI68" i="34"/>
  <c r="AI70" i="34"/>
  <c r="AI76" i="34"/>
  <c r="AI84" i="34"/>
  <c r="AI90" i="34"/>
  <c r="AI83" i="34"/>
  <c r="AI71" i="34"/>
  <c r="AI91" i="34"/>
  <c r="AI82" i="34"/>
  <c r="AI74" i="34"/>
  <c r="AI87" i="34"/>
  <c r="AI65" i="34"/>
  <c r="AI77" i="34"/>
  <c r="AI75" i="34"/>
  <c r="AI66" i="34"/>
  <c r="AI93" i="34"/>
  <c r="AI67" i="34"/>
  <c r="AI92" i="34"/>
  <c r="AI14" i="28"/>
  <c r="AI12" i="34"/>
  <c r="AI28" i="34"/>
  <c r="AI40" i="34"/>
  <c r="AI52" i="34"/>
  <c r="AI60" i="34"/>
  <c r="AI31" i="34"/>
  <c r="AI5" i="34"/>
  <c r="AI24" i="34"/>
  <c r="AI6" i="34"/>
  <c r="AI27" i="34"/>
  <c r="AI37" i="34"/>
  <c r="AI20" i="34"/>
  <c r="AI53" i="34"/>
  <c r="AI54" i="34"/>
  <c r="AI59" i="34"/>
  <c r="AI30" i="34"/>
  <c r="AI21" i="34"/>
  <c r="AI36" i="34"/>
  <c r="AI14" i="34"/>
  <c r="AI45" i="34"/>
  <c r="AI9" i="34"/>
  <c r="AI57" i="34"/>
  <c r="AI38" i="34"/>
  <c r="AI22" i="34"/>
  <c r="AI39" i="34"/>
  <c r="AI7" i="34"/>
  <c r="AI43" i="34"/>
  <c r="AI4" i="34"/>
  <c r="AI26" i="34"/>
  <c r="AI10" i="34"/>
  <c r="AI51" i="34"/>
  <c r="AI58" i="34"/>
  <c r="AI44" i="34"/>
  <c r="AI46" i="34"/>
  <c r="AI8" i="34"/>
  <c r="AI25" i="34"/>
  <c r="AI13" i="34"/>
  <c r="AI29" i="34"/>
  <c r="AI11" i="34"/>
  <c r="AI23" i="34"/>
  <c r="AI26" i="28"/>
  <c r="AI7" i="28"/>
  <c r="AI16" i="28"/>
  <c r="AI23" i="28"/>
  <c r="AI8" i="28"/>
  <c r="AI27" i="28"/>
  <c r="AI12" i="28"/>
  <c r="AI13" i="28"/>
  <c r="AI24" i="28"/>
  <c r="AI17" i="28"/>
  <c r="AI5" i="28"/>
  <c r="AI11" i="28"/>
  <c r="AI30" i="28"/>
  <c r="AI25" i="28"/>
  <c r="AI22" i="28"/>
  <c r="AI4" i="28"/>
  <c r="AI6" i="28"/>
  <c r="AI10" i="28"/>
  <c r="AI29" i="28"/>
  <c r="AI9" i="28"/>
  <c r="AI15" i="28"/>
</calcChain>
</file>

<file path=xl/sharedStrings.xml><?xml version="1.0" encoding="utf-8"?>
<sst xmlns="http://schemas.openxmlformats.org/spreadsheetml/2006/main" count="2269" uniqueCount="334">
  <si>
    <t>TITANO MANUAL</t>
  </si>
  <si>
    <t>TITANO AUTOMÁTICO</t>
  </si>
  <si>
    <t>CRONOS 1.0 até MY26</t>
  </si>
  <si>
    <t>PLANO DE MANUTENÇÃO</t>
  </si>
  <si>
    <t>CUSTOS DE MANUTENÇÃO [R$]</t>
  </si>
  <si>
    <t>Total</t>
  </si>
  <si>
    <t>Nº</t>
  </si>
  <si>
    <t>ITENS DE SUBSTITUIÇÃO OBRIGATÓRIA</t>
  </si>
  <si>
    <t>PN</t>
  </si>
  <si>
    <t>P. PUB.</t>
  </si>
  <si>
    <t>1a</t>
  </si>
  <si>
    <t>2a</t>
  </si>
  <si>
    <t>3a</t>
  </si>
  <si>
    <t>4a</t>
  </si>
  <si>
    <t>5a</t>
  </si>
  <si>
    <t>6a</t>
  </si>
  <si>
    <t>7a</t>
  </si>
  <si>
    <t>8a</t>
  </si>
  <si>
    <t>9a</t>
  </si>
  <si>
    <t>10a</t>
  </si>
  <si>
    <t>% 100</t>
  </si>
  <si>
    <t>TTL 100</t>
  </si>
  <si>
    <t>Filtro de Óleo do Motor</t>
  </si>
  <si>
    <t>7094709</t>
  </si>
  <si>
    <t>Filtro de Combustível</t>
  </si>
  <si>
    <t>52162685</t>
  </si>
  <si>
    <t>Filtro de Ar</t>
  </si>
  <si>
    <t>52046268</t>
  </si>
  <si>
    <t>Velas de Ignição</t>
  </si>
  <si>
    <t>55267995</t>
  </si>
  <si>
    <t>Correia dos Órgãos Auxiliares</t>
  </si>
  <si>
    <t>55267966</t>
  </si>
  <si>
    <t>Óleo da caixa de cambio mecanica - SAE 75W – API GL4</t>
  </si>
  <si>
    <t>7095576</t>
  </si>
  <si>
    <t>MOPAR BRAKE FLUID DOT 4 - A cada 2 anos</t>
  </si>
  <si>
    <t>K04549625LA_F</t>
  </si>
  <si>
    <t>MOPAR MAXPRO SYNTHETIC 0W20 (SP/GF-6A)</t>
  </si>
  <si>
    <t>K68218951LA_F</t>
  </si>
  <si>
    <t>Tempo Padrão de Mão-De-Obra [horas]</t>
  </si>
  <si>
    <t>MO FIAT</t>
  </si>
  <si>
    <t>CRONOS 1.0 MY27</t>
  </si>
  <si>
    <t xml:space="preserve">Filtro de óleo do motor </t>
  </si>
  <si>
    <t>Elemento do filtro de ar do motor</t>
  </si>
  <si>
    <t>Filtro de ar limpo do canister</t>
  </si>
  <si>
    <t>7096883</t>
  </si>
  <si>
    <t>Velas de ignição do motor (a cada 40.000 km, independente do tempo)</t>
  </si>
  <si>
    <t>Correia dos órgão auxiliares (a cada 60.000 km ou 4 anos, o que ocorrer primeiro)</t>
  </si>
  <si>
    <t>Substituição do óleo da caixa de cambio mecanica</t>
  </si>
  <si>
    <t>Fluído de freio (a cada 40.000 km ou 2 anos, ou que ocurrer primeiro)</t>
  </si>
  <si>
    <t>Óleo do motor - MOPAR MAXPRO SYNTHETIC 0W20 (SP/GF-6A)</t>
  </si>
  <si>
    <t>CRONOS 1.3 até MY26</t>
  </si>
  <si>
    <t xml:space="preserve">8a </t>
  </si>
  <si>
    <t xml:space="preserve">9a </t>
  </si>
  <si>
    <t>CRONOS 1.3 MY27 MT</t>
  </si>
  <si>
    <t>CRONOS 1.3 MY27 AT</t>
  </si>
  <si>
    <t>CRONOS 1.8</t>
  </si>
  <si>
    <t>7087808</t>
  </si>
  <si>
    <t>Filtro Combustível</t>
  </si>
  <si>
    <t>52062431</t>
  </si>
  <si>
    <t>Vela Ignição</t>
  </si>
  <si>
    <t>46348847</t>
  </si>
  <si>
    <t>Correia dos Orgãos Auxiliares</t>
  </si>
  <si>
    <t>55258359</t>
  </si>
  <si>
    <t>MOPAR MAXPRO 5W30 (SN/GF-5)</t>
  </si>
  <si>
    <t>K68218921LA_F</t>
  </si>
  <si>
    <t>UNO 1.0 FIRE</t>
  </si>
  <si>
    <t>VELA IGNICAO</t>
  </si>
  <si>
    <t>46480362</t>
  </si>
  <si>
    <t>CORREIA DISTRIBUICAO</t>
  </si>
  <si>
    <t>46337687</t>
  </si>
  <si>
    <t>FILTRO OLEO</t>
  </si>
  <si>
    <t>46751179</t>
  </si>
  <si>
    <t>FILTRO COMBUSTIVEL</t>
  </si>
  <si>
    <t>ELEMENTO FILTRANTE</t>
  </si>
  <si>
    <t>51854598</t>
  </si>
  <si>
    <t>CORREIA TRANSMISSAO C/ AC</t>
  </si>
  <si>
    <t>55236185</t>
  </si>
  <si>
    <t>CORREIA TRANSMISSAO DH</t>
  </si>
  <si>
    <t>46744566</t>
  </si>
  <si>
    <t>UNO 1.0 FIREFLY</t>
  </si>
  <si>
    <t>Vela de Ignição</t>
  </si>
  <si>
    <t>UNO 1.3 FIREFLY</t>
  </si>
  <si>
    <t>PALIO WEEKEND 1.4</t>
  </si>
  <si>
    <t>7082141</t>
  </si>
  <si>
    <t>PALIO WEEKEND 1.8</t>
  </si>
  <si>
    <t>55267121</t>
  </si>
  <si>
    <t>51857956</t>
  </si>
  <si>
    <t>55244798</t>
  </si>
  <si>
    <t>GRAND SIENA 1.0</t>
  </si>
  <si>
    <t>Elemento Filtrante do Óleo</t>
  </si>
  <si>
    <t>Elemento Filtrante do Ar</t>
  </si>
  <si>
    <t>Correia Árvore Motor/Alternador/Compressor</t>
  </si>
  <si>
    <t>55258482</t>
  </si>
  <si>
    <t>CORREIA DISTRIBUIÇÃO</t>
  </si>
  <si>
    <t>GRAND SIENA 1.4</t>
  </si>
  <si>
    <t>55226520</t>
  </si>
  <si>
    <t>NOVA STRADA 1.0T</t>
  </si>
  <si>
    <t>46347605</t>
  </si>
  <si>
    <t>53489525</t>
  </si>
  <si>
    <t>52079874</t>
  </si>
  <si>
    <t>46336161</t>
  </si>
  <si>
    <t>MOPAR MAXPRO SYNTHETIC 0W30</t>
  </si>
  <si>
    <t>K68444160LA_F</t>
  </si>
  <si>
    <t>NOVA STRADA 1.3 AT</t>
  </si>
  <si>
    <t>]</t>
  </si>
  <si>
    <t>NOVA STRADA 1.3 MT</t>
  </si>
  <si>
    <t>Sustitucao do óleo da caixa de cambio mecanica
SAE 75W – API GL4 (Mopar Dual Dry Clutch Transmission Fluid)</t>
  </si>
  <si>
    <t>NOVA STRADA 1.4</t>
  </si>
  <si>
    <t>Correia Transmissão c/ AC</t>
  </si>
  <si>
    <t>Correia Transmissão DH</t>
  </si>
  <si>
    <t>55211240</t>
  </si>
  <si>
    <t>Correia Distribuição</t>
  </si>
  <si>
    <t>ARGO 1.0</t>
  </si>
  <si>
    <t>ARGO 1.3</t>
  </si>
  <si>
    <t>ARGO 1.8</t>
  </si>
  <si>
    <t>FIORINO 1.4 (21/21)</t>
  </si>
  <si>
    <t>11ª</t>
  </si>
  <si>
    <t>12ª</t>
  </si>
  <si>
    <t>13ª</t>
  </si>
  <si>
    <t>14ª</t>
  </si>
  <si>
    <t>15ª</t>
  </si>
  <si>
    <t>0,95</t>
  </si>
  <si>
    <t>1,20</t>
  </si>
  <si>
    <t>2,30</t>
  </si>
  <si>
    <t>FIORINO 1.4 (21/22)</t>
  </si>
  <si>
    <t>Correia dos órgão auxiliares DH (a cada 60.000 km ou 4 anos, o que ocorrer primeiro)</t>
  </si>
  <si>
    <t>FIORINO 1.3</t>
  </si>
  <si>
    <r>
      <t xml:space="preserve">Velas de Ignição </t>
    </r>
    <r>
      <rPr>
        <sz val="8"/>
        <color theme="1"/>
        <rFont val="Verdana"/>
        <family val="2"/>
      </rPr>
      <t>(a cada 40.000 km, independente do tempo)</t>
    </r>
  </si>
  <si>
    <r>
      <t xml:space="preserve">Correia dos órgão auxiliares </t>
    </r>
    <r>
      <rPr>
        <sz val="8"/>
        <color theme="1"/>
        <rFont val="Verdana"/>
        <family val="2"/>
      </rPr>
      <t>(a cada 60.000 km ou 4 anos, o que ocorrer primeiro)</t>
    </r>
  </si>
  <si>
    <t>Mopar Maxpro Syntetic 0W20 (SP/GF-6A)</t>
  </si>
  <si>
    <t>PULSE 1.0T AT</t>
  </si>
  <si>
    <t>PULSE 1.0T MT</t>
  </si>
  <si>
    <t>PULSE 1.3 AT</t>
  </si>
  <si>
    <t>PULSE 1.3 MT</t>
  </si>
  <si>
    <t>PULSE ABARTH 1.3T</t>
  </si>
  <si>
    <t>52080841</t>
  </si>
  <si>
    <t>FASTBACK 1.0T</t>
  </si>
  <si>
    <t>Correia dos órgão auxiliares (a cada 120.000 km ou 6 anos, o que ocorrer primeiro)</t>
  </si>
  <si>
    <t>46349670</t>
  </si>
  <si>
    <t>FASTBACK ABARTH 1.3T</t>
  </si>
  <si>
    <t>46348571</t>
  </si>
  <si>
    <t>MOBI 1.0 FIRE</t>
  </si>
  <si>
    <t xml:space="preserve">Elemento Filtrante do Filtro Óleo  </t>
  </si>
  <si>
    <t>Elemento Filtrante Ar</t>
  </si>
  <si>
    <t>Correia Dentada</t>
  </si>
  <si>
    <t>MOBI FIREFLY</t>
  </si>
  <si>
    <t>MOBI 1.0 MY27</t>
  </si>
  <si>
    <t>Filtor de Combustível</t>
  </si>
  <si>
    <t>7097628</t>
  </si>
  <si>
    <t>Velas de ignição do motor
(a cada 40.000 km, independente do tempo)</t>
  </si>
  <si>
    <t>Correia dos órgão auxiliares
(a cada 60.000 km ou 4 anos, o que ocorrer primeiro)</t>
  </si>
  <si>
    <t>Fluído de freio - Mopar DOT 4S
(a cada 40.000 km ou 2 anos, ou que ocurrer primeiro)</t>
  </si>
  <si>
    <t>Óleo do motor</t>
  </si>
  <si>
    <t>DOBLO 1.8</t>
  </si>
  <si>
    <t>TORO 1.8</t>
  </si>
  <si>
    <t>ELEMENTO FILTRANTE DO FILTRO ÓLEO</t>
  </si>
  <si>
    <t>ELEMENTO FILTRANTE FILTRO AR</t>
  </si>
  <si>
    <t>51977574</t>
  </si>
  <si>
    <t>VELA IGNIÇÃO</t>
  </si>
  <si>
    <t>CORREIAS DOS ÓRGÃOS AUXILIARES DO MOTOR</t>
  </si>
  <si>
    <t>MOPAR BRAKE FLUID DOT 4S - A cada 2 anos</t>
  </si>
  <si>
    <t>K04549626LA_F</t>
  </si>
  <si>
    <t>TORO 2.4</t>
  </si>
  <si>
    <t>50055447</t>
  </si>
  <si>
    <t>KSP148183AD</t>
  </si>
  <si>
    <t>50048146</t>
  </si>
  <si>
    <t>TORO 1.3T MY25</t>
  </si>
  <si>
    <t>1ª</t>
  </si>
  <si>
    <t>2ª</t>
  </si>
  <si>
    <t>3ª</t>
  </si>
  <si>
    <t>4ª</t>
  </si>
  <si>
    <t>5ª</t>
  </si>
  <si>
    <t>6ª</t>
  </si>
  <si>
    <t>7ª</t>
  </si>
  <si>
    <t>8ª</t>
  </si>
  <si>
    <t>9ª</t>
  </si>
  <si>
    <t>10ª</t>
  </si>
  <si>
    <t>16ª</t>
  </si>
  <si>
    <t>17ª</t>
  </si>
  <si>
    <t>18ª</t>
  </si>
  <si>
    <t>Elemento Filtrante do Filtro Óleo </t>
  </si>
  <si>
    <t>Elemento Filtrante Filtro Ar</t>
  </si>
  <si>
    <t>Correia Transmissão</t>
  </si>
  <si>
    <t>TORO 1.3T MY26</t>
  </si>
  <si>
    <t>7099618</t>
  </si>
  <si>
    <t>TORO 1.3T MY27</t>
  </si>
  <si>
    <t>Filtor de combustível</t>
  </si>
  <si>
    <t>Velas de ignição do motor (a cada 60.000 km, independente do tempo)</t>
  </si>
  <si>
    <t>Higienização do sistema de alimentação de combustível - Aditivo Isotech 012 Limpa Injetores GDI</t>
  </si>
  <si>
    <t>2850000479</t>
  </si>
  <si>
    <t>Fluído de freio (a cada 40.000 km ou 2 anos, o que ocorrer primeiro) - Mopar DOT 4S</t>
  </si>
  <si>
    <t>K04549626LA</t>
  </si>
  <si>
    <t>Substituição do líquido do sistema de arrefecimento do motor (a cada 240.000 km ou 10 anos, o que ocorrer primeiro)</t>
  </si>
  <si>
    <t>K68163849LA</t>
  </si>
  <si>
    <t>Óleo do motor - Mopar Maxpro Syntetic 0W30</t>
  </si>
  <si>
    <t>TORO 1.3T MHEV</t>
  </si>
  <si>
    <t>46360326</t>
  </si>
  <si>
    <t>TORO 2.0</t>
  </si>
  <si>
    <t>71754237</t>
  </si>
  <si>
    <t>77367623</t>
  </si>
  <si>
    <t>46354609</t>
  </si>
  <si>
    <t>CORREIA DENTADA</t>
  </si>
  <si>
    <t>46348274</t>
  </si>
  <si>
    <t>MOPAR MAXPRO DIESEL DPF C2 5W30</t>
  </si>
  <si>
    <t>K68231015LA_F</t>
  </si>
  <si>
    <t>TORO 2.2TD MY26</t>
  </si>
  <si>
    <t>Elementro Filtrante do Óleo</t>
  </si>
  <si>
    <t>46356228</t>
  </si>
  <si>
    <t>52234083</t>
  </si>
  <si>
    <t>Fluído de freio (a cada 40.000 km ou 2 anos, o que ocorrer primeiro)
MOPAR BRAKE FLUID DOT 4S</t>
  </si>
  <si>
    <t>Correia dos Orgãos Auxiliares (a cada 60.000 km ou 4 anos, o que ocorrer primeiro)</t>
  </si>
  <si>
    <t>46358641</t>
  </si>
  <si>
    <t>Correia Dentata (a cada 120.000 km ou 4 anos, o que ocorrer primeiro)</t>
  </si>
  <si>
    <t>46356229</t>
  </si>
  <si>
    <t>K68547228LA_F</t>
  </si>
  <si>
    <t>TORO 2.2TD MY27</t>
  </si>
  <si>
    <t xml:space="preserve">Elemento do filtro de óleo do motor </t>
  </si>
  <si>
    <t>Elemento do filtor de Combustível</t>
  </si>
  <si>
    <t>Higienização do sistema de alimentação de combustível
Aditivo DETOX DGA - SOLUBILIZANTE (180 ml)</t>
  </si>
  <si>
    <t>7098496</t>
  </si>
  <si>
    <t>Higienização do sistema de alimentação de combustível
Aditivo DT300 TREATMENT (370 ml)</t>
  </si>
  <si>
    <t>7099025</t>
  </si>
  <si>
    <t>Correia dentada do comando da distribuição do motor (a cada 120.000 km ou 4 anos, o que ocorrer primeiro)</t>
  </si>
  <si>
    <t>Óleo do motor - Mopar Maxpro Syntetic Diesel DPF C2 5W30</t>
  </si>
  <si>
    <t>DUCATO X250</t>
  </si>
  <si>
    <t>9809532380</t>
  </si>
  <si>
    <t>Anel do Bujão</t>
  </si>
  <si>
    <t>9400164889</t>
  </si>
  <si>
    <t>77368658</t>
  </si>
  <si>
    <t>7094559</t>
  </si>
  <si>
    <t>Filtro Anti Pólen</t>
  </si>
  <si>
    <t>6000633316</t>
  </si>
  <si>
    <t>Correia da distribuição</t>
  </si>
  <si>
    <t>9467642480</t>
  </si>
  <si>
    <t>Tensor da correia de distribuição</t>
  </si>
  <si>
    <t>155253402</t>
  </si>
  <si>
    <t>Bomba d'água</t>
  </si>
  <si>
    <t>155258297</t>
  </si>
  <si>
    <t>Correia dos orgãos auxiliares do motor (120.000 km ou 4 anos - o que ocorrer primeiro)</t>
  </si>
  <si>
    <t>9809996880</t>
  </si>
  <si>
    <t>Tensor da correia dos órgão auxiliares (120.000 km ou 4 anos - o que ocorrer primeiro)</t>
  </si>
  <si>
    <t>9826368080</t>
  </si>
  <si>
    <t>Liquido de freio DOT4  (2 Anos)</t>
  </si>
  <si>
    <t>OLEO MOTOR SAE 0W30 ACEA C1 C2  1L</t>
  </si>
  <si>
    <t>7094487</t>
  </si>
  <si>
    <t>DUCATO</t>
  </si>
  <si>
    <t>71779555</t>
  </si>
  <si>
    <t>77369138</t>
  </si>
  <si>
    <t>CORREIA ORGÃOS AUXILIARES</t>
  </si>
  <si>
    <t>500388408</t>
  </si>
  <si>
    <t>CORREIA DE DISTRIBUIÇÃO</t>
  </si>
  <si>
    <t>5801467815</t>
  </si>
  <si>
    <t>ÓLEO DO MOTOR - 1L</t>
  </si>
  <si>
    <t>K68231015LA_F (1)</t>
  </si>
  <si>
    <t>(1)</t>
  </si>
  <si>
    <t>Mark Up do óleo negociado com a Abracaf</t>
  </si>
  <si>
    <t>DUCATO X250 2.2D MY26</t>
  </si>
  <si>
    <t>11a</t>
  </si>
  <si>
    <t>12a</t>
  </si>
  <si>
    <t>13a</t>
  </si>
  <si>
    <t>14a</t>
  </si>
  <si>
    <t>15a</t>
  </si>
  <si>
    <t>Elemento do filtro de aspirção de ar do motor</t>
  </si>
  <si>
    <t>52222118</t>
  </si>
  <si>
    <r>
      <t xml:space="preserve">Correia dos órgão auxiliares
</t>
    </r>
    <r>
      <rPr>
        <sz val="8"/>
        <color theme="1"/>
        <rFont val="Verdana"/>
        <family val="2"/>
      </rPr>
      <t>(a cada 60.000 km ou 4 anos, o que ocorrer primeiro)</t>
    </r>
  </si>
  <si>
    <t>46357071</t>
  </si>
  <si>
    <r>
      <t xml:space="preserve">Correia dentada do comando da distribuição do motor
</t>
    </r>
    <r>
      <rPr>
        <sz val="8"/>
        <color theme="1"/>
        <rFont val="Verdana"/>
        <family val="2"/>
      </rPr>
      <t>(a cada 120.000 km ou 4 anos, o que ocorrer primeiro)</t>
    </r>
  </si>
  <si>
    <r>
      <t xml:space="preserve">Fluído de freio </t>
    </r>
    <r>
      <rPr>
        <sz val="8"/>
        <color theme="1"/>
        <rFont val="Verdana"/>
        <family val="2"/>
      </rPr>
      <t>(a cada 40.000 km ou 2 anos, o que ocorrer primeiro)</t>
    </r>
  </si>
  <si>
    <t>155255303</t>
  </si>
  <si>
    <t>SCUDO</t>
  </si>
  <si>
    <t>Voltar Capa</t>
  </si>
  <si>
    <t>ANEL DO BUJÃO</t>
  </si>
  <si>
    <t>FILTRO DE ÓLEO DO MOTOR</t>
  </si>
  <si>
    <t>155254505</t>
  </si>
  <si>
    <t>155253599</t>
  </si>
  <si>
    <t>ELEMENTO DE FILTRO DE AR</t>
  </si>
  <si>
    <t>9813908880</t>
  </si>
  <si>
    <t>FILTRO DE PÓLEN</t>
  </si>
  <si>
    <t>6000655015</t>
  </si>
  <si>
    <t>155253981</t>
  </si>
  <si>
    <t>TENSOR CORREIA DE DISTRIBUIÇÃO</t>
  </si>
  <si>
    <t>155253938</t>
  </si>
  <si>
    <t>BOMBA D´AGUA</t>
  </si>
  <si>
    <t>155254522</t>
  </si>
  <si>
    <t>CORREIA DOS ÓRGÃOS AUXILIARES</t>
  </si>
  <si>
    <t>9813908180</t>
  </si>
  <si>
    <t>TENSOR CORREIA DOS ÓRGÃOS AUXILIARES</t>
  </si>
  <si>
    <t>155253564</t>
  </si>
  <si>
    <t>Fluído de Freio DOT4 (2 Anos)</t>
  </si>
  <si>
    <t>Liquido de Arrefecimento Diluido -35° (DFS)</t>
  </si>
  <si>
    <t>7094488</t>
  </si>
  <si>
    <t>(80.000 ou 3 Anos o que ocorrer primeiro)</t>
  </si>
  <si>
    <t>OLEO MOTOR SAE 0W30 ACEA C1/C2 (1L)</t>
  </si>
  <si>
    <t>TOTAL DE MÃO DE OBRA</t>
  </si>
  <si>
    <t>SCUDO 2.2D</t>
  </si>
  <si>
    <t>9878309480</t>
  </si>
  <si>
    <t>9853098280</t>
  </si>
  <si>
    <r>
      <t xml:space="preserve">Fluído de freio
</t>
    </r>
    <r>
      <rPr>
        <sz val="8"/>
        <color theme="1"/>
        <rFont val="Verdana"/>
        <family val="2"/>
      </rPr>
      <t>(a cada 40.000 km ou 2 anos, o que ocorrer primeiro)</t>
    </r>
  </si>
  <si>
    <t>Substituição do líquido de arrefecimento do motor
(a cada 240.000 km ou 10 anos, o que ocorrer primeiro)</t>
  </si>
  <si>
    <t>Mopar Maxpro Syntetic Diesel DPF C2 5W30</t>
  </si>
  <si>
    <t>e-SCUDO</t>
  </si>
  <si>
    <t xml:space="preserve">   </t>
  </si>
  <si>
    <t>9677491780</t>
  </si>
  <si>
    <t>FILTRO DE COMBUSTÍVEL</t>
  </si>
  <si>
    <t>155255800</t>
  </si>
  <si>
    <t>FILTRO DE AR</t>
  </si>
  <si>
    <t>155255862</t>
  </si>
  <si>
    <r>
      <t xml:space="preserve">Correia da distribuição </t>
    </r>
    <r>
      <rPr>
        <sz val="8"/>
        <color theme="1"/>
        <rFont val="Verdana"/>
        <family val="2"/>
      </rPr>
      <t>(ou 4 anos, prevalecendo o que ocorrer primeiro)</t>
    </r>
  </si>
  <si>
    <t>Kit correia dos orgãos auxiliares do motor
(correia dos órgão auxiliares + tensionadores)</t>
  </si>
  <si>
    <t>155255880</t>
  </si>
  <si>
    <r>
      <t xml:space="preserve">Óleo do cj. diferencial traseiro - 80W 90GL-5 - </t>
    </r>
    <r>
      <rPr>
        <sz val="8"/>
        <color theme="1"/>
        <rFont val="Verdana"/>
        <family val="2"/>
      </rPr>
      <t>(embalagem de 1 litro)</t>
    </r>
  </si>
  <si>
    <t>K68218041LA_F</t>
  </si>
  <si>
    <r>
      <t xml:space="preserve">Óleo da caixa de transferência - 80W 90GL-5 - </t>
    </r>
    <r>
      <rPr>
        <sz val="8"/>
        <color theme="1"/>
        <rFont val="Verdana"/>
        <family val="2"/>
      </rPr>
      <t>(embalagem de 1 litro)</t>
    </r>
  </si>
  <si>
    <r>
      <t xml:space="preserve">Fluído de Freio Safebrake 16M (DOT 4+)  </t>
    </r>
    <r>
      <rPr>
        <sz val="8"/>
        <color theme="1"/>
        <rFont val="Verdana"/>
        <family val="2"/>
      </rPr>
      <t>(a cada 2 Anos)</t>
    </r>
  </si>
  <si>
    <t>OLEO MOTOR INEO HTC 5W30 (1L)</t>
  </si>
  <si>
    <r>
      <t xml:space="preserve">Kit correia dos orgãos auxiliares do motor
</t>
    </r>
    <r>
      <rPr>
        <sz val="8"/>
        <color theme="1"/>
        <rFont val="Verdana"/>
        <family val="2"/>
      </rPr>
      <t>(correia dos órgão auxiliares + tensionadores)</t>
    </r>
  </si>
  <si>
    <r>
      <t xml:space="preserve">Óleo da caixa de câmbio automática - ATF Dexrom VI - </t>
    </r>
    <r>
      <rPr>
        <sz val="8"/>
        <color theme="1"/>
        <rFont val="Verdana"/>
        <family val="2"/>
      </rPr>
      <t>(embalagem de 1 litro)</t>
    </r>
  </si>
  <si>
    <t>7096432</t>
  </si>
  <si>
    <t>TITANO DS 2.2D MT MY26</t>
  </si>
  <si>
    <t>1699580280</t>
  </si>
  <si>
    <r>
      <t xml:space="preserve">Óleo do conjunto diferencial traseiro - Óleo lubrificante API GL5 SAE 80W90
</t>
    </r>
    <r>
      <rPr>
        <sz val="8"/>
        <color theme="1"/>
        <rFont val="Verdana"/>
        <family val="2"/>
      </rPr>
      <t>(é mandatório a susbstituição do óleo do diferencial traseiro na primeira revisão e a cada 40.000 km ou 3 anos, prevalecendo o que ocorrer primeiro, após a primeira revisão)</t>
    </r>
  </si>
  <si>
    <t>7096425</t>
  </si>
  <si>
    <t>Óleo da caixa de câmbio mecânica
(a cada 60.000 km, independente do tempo)</t>
  </si>
  <si>
    <t>7099873</t>
  </si>
  <si>
    <t>46357445</t>
  </si>
  <si>
    <r>
      <t xml:space="preserve">Substituição da correia dentada do comando da distribuição do motor
</t>
    </r>
    <r>
      <rPr>
        <sz val="8"/>
        <color theme="1"/>
        <rFont val="Verdana"/>
        <family val="2"/>
      </rPr>
      <t>(a cada 120.000 km ou 4 anos, o que ocorrer primeiro)</t>
    </r>
  </si>
  <si>
    <r>
      <t xml:space="preserve">Óleo da caixa de tranferência - Óleo lubrificante Dexron III
</t>
    </r>
    <r>
      <rPr>
        <sz val="8"/>
        <color theme="1"/>
        <rFont val="Verdana"/>
        <family val="2"/>
      </rPr>
      <t>(a cada 50.000 km ou 2 anos, o que ocorrer primeiro)</t>
    </r>
  </si>
  <si>
    <t>7096430</t>
  </si>
  <si>
    <r>
      <t>Fluído de freio Safebrake 16M (DOT 4+)</t>
    </r>
    <r>
      <rPr>
        <sz val="8"/>
        <color theme="1"/>
        <rFont val="Verdana"/>
        <family val="2"/>
      </rPr>
      <t xml:space="preserve"> 
(a cada 40.000 km ou 2 anos, o que ocorrer primeiro)</t>
    </r>
  </si>
  <si>
    <t>TITANO DS 2.2D AT MY26</t>
  </si>
  <si>
    <r>
      <t xml:space="preserve">Substituição da correia dentada do comando da distribuição do motor </t>
    </r>
    <r>
      <rPr>
        <sz val="8"/>
        <color theme="1"/>
        <rFont val="Verdana"/>
        <family val="2"/>
      </rPr>
      <t>(a cada 120.000 km ou 4 anos, o que ocorrer primeiro)</t>
    </r>
  </si>
  <si>
    <r>
      <t xml:space="preserve">Fluído de freio Safebrake 16M (DOT 4+)
</t>
    </r>
    <r>
      <rPr>
        <sz val="8"/>
        <color theme="1"/>
        <rFont val="Verdana"/>
        <family val="2"/>
      </rPr>
      <t>(a cada 40.000 km ou 2 anos, o que ocorrer primeiro)</t>
    </r>
  </si>
  <si>
    <t>TITANO DS 2.2D MT MY27</t>
  </si>
  <si>
    <t>TITANO DS 2.2D AT MY27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</si>
</sst>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&quot;R$&quot;* #,##0.00_);_(&quot;R$&quot;* \(#,##0.00\);_(&quot;R$&quot;* &quot;-&quot;??_);_(@_)"/>
    <numFmt numFmtId="166" formatCode="_-&quot;R$&quot;\ * #,##0.00_-;\-&quot;R$&quot;\ * #,##0.00_-;_-&quot;R$&quot;\ * &quot;-&quot;??_-;_-@"/>
    <numFmt numFmtId="167" formatCode="0.0%"/>
    <numFmt numFmtId="168" formatCode="0.0"/>
    <numFmt numFmtId="169" formatCode="_-* #,##0.00_-;\-* #,##0.00_-;_-* &quot;-&quot;??_-;_-@"/>
    <numFmt numFmtId="170" formatCode="#,##0.0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color rgb="FFFFFFFF"/>
      <name val="Verdana"/>
      <family val="2"/>
    </font>
    <font>
      <b/>
      <sz val="10"/>
      <color theme="0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sz val="10"/>
      <color rgb="FFFFFFFF"/>
      <name val="Verdana"/>
      <family val="2"/>
    </font>
    <font>
      <sz val="10"/>
      <color theme="1"/>
      <name val="Verdana"/>
      <family val="2"/>
    </font>
    <font>
      <b/>
      <sz val="10"/>
      <color rgb="FFFFFFFF"/>
      <name val="Verdana"/>
      <family val="2"/>
    </font>
    <font>
      <b/>
      <sz val="12"/>
      <color theme="0"/>
      <name val="Verdana"/>
      <family val="2"/>
    </font>
    <font>
      <sz val="8"/>
      <color theme="1"/>
      <name val="Verdana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FFFFF"/>
      <name val="Verdana"/>
      <family val="2"/>
    </font>
  </fonts>
  <fills count="1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  <fill>
      <patternFill patternType="solid">
        <fgColor theme="4"/>
        <bgColor theme="4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8CCE4"/>
        <bgColor indexed="64"/>
      </patternFill>
    </fill>
    <fill>
      <patternFill patternType="solid">
        <fgColor theme="4" tint="0.79998168889431442"/>
        <bgColor rgb="FFB8CCE4"/>
      </patternFill>
    </fill>
    <fill>
      <patternFill patternType="solid">
        <fgColor theme="4" tint="0.59999389629810485"/>
        <bgColor rgb="FFDBE5F1"/>
      </patternFill>
    </fill>
    <fill>
      <patternFill patternType="solid">
        <fgColor theme="4" tint="0.59999389629810485"/>
        <bgColor rgb="FFB8CCE4"/>
      </patternFill>
    </fill>
    <fill>
      <patternFill patternType="solid">
        <fgColor theme="4" tint="0.79998168889431442"/>
        <bgColor rgb="FFDBE5F1"/>
      </patternFill>
    </fill>
    <fill>
      <patternFill patternType="solid">
        <fgColor rgb="FF002060"/>
        <bgColor rgb="FF1F497D"/>
      </patternFill>
    </fill>
    <fill>
      <patternFill patternType="solid">
        <fgColor rgb="FF002060"/>
        <bgColor indexed="64"/>
      </patternFill>
    </fill>
  </fills>
  <borders count="2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double">
        <color theme="0"/>
      </left>
      <right/>
      <top style="thin">
        <color theme="0"/>
      </top>
      <bottom/>
      <diagonal/>
    </border>
    <border>
      <left/>
      <right style="double">
        <color theme="0"/>
      </right>
      <top style="thin">
        <color theme="0"/>
      </top>
      <bottom/>
      <diagonal/>
    </border>
    <border>
      <left style="double">
        <color theme="0"/>
      </left>
      <right/>
      <top style="thin">
        <color theme="0"/>
      </top>
      <bottom style="thin">
        <color theme="0"/>
      </bottom>
      <diagonal/>
    </border>
    <border>
      <left/>
      <right style="double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double">
        <color theme="0"/>
      </left>
      <right/>
      <top/>
      <bottom style="thin">
        <color theme="0"/>
      </bottom>
      <diagonal/>
    </border>
    <border>
      <left/>
      <right style="double">
        <color theme="0"/>
      </right>
      <top/>
      <bottom style="thin">
        <color theme="0"/>
      </bottom>
      <diagonal/>
    </border>
    <border>
      <left style="double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double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double">
        <color theme="0"/>
      </left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double">
        <color theme="0"/>
      </right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medium">
        <color rgb="FFFFFFFF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double">
        <color theme="0"/>
      </left>
      <right style="double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3">
    <xf numFmtId="0" fontId="0" fillId="0" borderId="0"/>
    <xf numFmtId="164" fontId="13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264">
    <xf numFmtId="0" fontId="0" fillId="0" borderId="0" xfId="0"/>
    <xf numFmtId="0" fontId="0" fillId="0" borderId="0" xfId="0" applyAlignment="1">
      <alignment vertical="center"/>
    </xf>
    <xf numFmtId="166" fontId="5" fillId="3" borderId="13" xfId="0" applyNumberFormat="1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3" fontId="7" fillId="5" borderId="14" xfId="0" applyNumberFormat="1" applyFont="1" applyFill="1" applyBorder="1" applyAlignment="1">
      <alignment horizontal="center" vertical="center"/>
    </xf>
    <xf numFmtId="9" fontId="6" fillId="5" borderId="16" xfId="0" quotePrefix="1" applyNumberFormat="1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vertical="center"/>
    </xf>
    <xf numFmtId="2" fontId="8" fillId="3" borderId="15" xfId="0" applyNumberFormat="1" applyFont="1" applyFill="1" applyBorder="1" applyAlignment="1">
      <alignment horizontal="center" vertical="center"/>
    </xf>
    <xf numFmtId="3" fontId="8" fillId="3" borderId="14" xfId="0" applyNumberFormat="1" applyFont="1" applyFill="1" applyBorder="1" applyAlignment="1">
      <alignment horizontal="center" vertical="center"/>
    </xf>
    <xf numFmtId="3" fontId="8" fillId="3" borderId="15" xfId="0" applyNumberFormat="1" applyFont="1" applyFill="1" applyBorder="1" applyAlignment="1">
      <alignment horizontal="center" vertical="center"/>
    </xf>
    <xf numFmtId="3" fontId="8" fillId="3" borderId="17" xfId="0" applyNumberFormat="1" applyFont="1" applyFill="1" applyBorder="1" applyAlignment="1">
      <alignment horizontal="center" vertical="center"/>
    </xf>
    <xf numFmtId="166" fontId="8" fillId="3" borderId="14" xfId="0" applyNumberFormat="1" applyFont="1" applyFill="1" applyBorder="1" applyAlignment="1">
      <alignment horizontal="center" vertical="center"/>
    </xf>
    <xf numFmtId="9" fontId="8" fillId="3" borderId="16" xfId="0" applyNumberFormat="1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vertical="center"/>
    </xf>
    <xf numFmtId="2" fontId="8" fillId="4" borderId="15" xfId="0" applyNumberFormat="1" applyFont="1" applyFill="1" applyBorder="1" applyAlignment="1">
      <alignment horizontal="center" vertical="center"/>
    </xf>
    <xf numFmtId="3" fontId="8" fillId="4" borderId="14" xfId="0" applyNumberFormat="1" applyFont="1" applyFill="1" applyBorder="1" applyAlignment="1">
      <alignment horizontal="center" vertical="center"/>
    </xf>
    <xf numFmtId="3" fontId="8" fillId="4" borderId="15" xfId="0" applyNumberFormat="1" applyFont="1" applyFill="1" applyBorder="1" applyAlignment="1">
      <alignment horizontal="center" vertical="center"/>
    </xf>
    <xf numFmtId="3" fontId="8" fillId="4" borderId="17" xfId="0" applyNumberFormat="1" applyFont="1" applyFill="1" applyBorder="1" applyAlignment="1">
      <alignment horizontal="center" vertical="center"/>
    </xf>
    <xf numFmtId="166" fontId="8" fillId="4" borderId="14" xfId="0" applyNumberFormat="1" applyFont="1" applyFill="1" applyBorder="1" applyAlignment="1">
      <alignment horizontal="center" vertical="center"/>
    </xf>
    <xf numFmtId="9" fontId="8" fillId="4" borderId="16" xfId="0" applyNumberFormat="1" applyFont="1" applyFill="1" applyBorder="1" applyAlignment="1">
      <alignment horizontal="center" vertical="center"/>
    </xf>
    <xf numFmtId="2" fontId="8" fillId="3" borderId="14" xfId="0" applyNumberFormat="1" applyFont="1" applyFill="1" applyBorder="1" applyAlignment="1">
      <alignment horizontal="center" vertical="center"/>
    </xf>
    <xf numFmtId="2" fontId="8" fillId="4" borderId="14" xfId="0" applyNumberFormat="1" applyFont="1" applyFill="1" applyBorder="1" applyAlignment="1">
      <alignment horizontal="center" vertical="center"/>
    </xf>
    <xf numFmtId="2" fontId="8" fillId="4" borderId="17" xfId="0" applyNumberFormat="1" applyFont="1" applyFill="1" applyBorder="1" applyAlignment="1">
      <alignment horizontal="center" vertical="center"/>
    </xf>
    <xf numFmtId="166" fontId="8" fillId="3" borderId="17" xfId="0" applyNumberFormat="1" applyFont="1" applyFill="1" applyBorder="1" applyAlignment="1">
      <alignment horizontal="center" vertical="center"/>
    </xf>
    <xf numFmtId="166" fontId="8" fillId="4" borderId="17" xfId="0" applyNumberFormat="1" applyFont="1" applyFill="1" applyBorder="1" applyAlignment="1">
      <alignment horizontal="center" vertical="center"/>
    </xf>
    <xf numFmtId="4" fontId="8" fillId="4" borderId="14" xfId="0" applyNumberFormat="1" applyFont="1" applyFill="1" applyBorder="1" applyAlignment="1">
      <alignment horizontal="center" vertical="center"/>
    </xf>
    <xf numFmtId="4" fontId="8" fillId="4" borderId="15" xfId="0" applyNumberFormat="1" applyFont="1" applyFill="1" applyBorder="1" applyAlignment="1">
      <alignment horizontal="center" vertical="center"/>
    </xf>
    <xf numFmtId="3" fontId="8" fillId="6" borderId="14" xfId="0" applyNumberFormat="1" applyFont="1" applyFill="1" applyBorder="1" applyAlignment="1">
      <alignment horizontal="center" vertical="center"/>
    </xf>
    <xf numFmtId="166" fontId="8" fillId="6" borderId="14" xfId="0" applyNumberFormat="1" applyFont="1" applyFill="1" applyBorder="1" applyAlignment="1">
      <alignment horizontal="center" vertical="center"/>
    </xf>
    <xf numFmtId="3" fontId="8" fillId="7" borderId="14" xfId="0" applyNumberFormat="1" applyFont="1" applyFill="1" applyBorder="1" applyAlignment="1">
      <alignment horizontal="center" vertical="center"/>
    </xf>
    <xf numFmtId="166" fontId="8" fillId="7" borderId="14" xfId="0" applyNumberFormat="1" applyFont="1" applyFill="1" applyBorder="1" applyAlignment="1">
      <alignment horizontal="center" vertical="center"/>
    </xf>
    <xf numFmtId="2" fontId="8" fillId="7" borderId="14" xfId="0" applyNumberFormat="1" applyFont="1" applyFill="1" applyBorder="1" applyAlignment="1">
      <alignment horizontal="center" vertical="center"/>
    </xf>
    <xf numFmtId="4" fontId="8" fillId="7" borderId="14" xfId="0" applyNumberFormat="1" applyFont="1" applyFill="1" applyBorder="1" applyAlignment="1">
      <alignment horizontal="center" vertical="center"/>
    </xf>
    <xf numFmtId="3" fontId="6" fillId="5" borderId="14" xfId="0" applyNumberFormat="1" applyFont="1" applyFill="1" applyBorder="1" applyAlignment="1">
      <alignment horizontal="center" vertical="center"/>
    </xf>
    <xf numFmtId="167" fontId="8" fillId="3" borderId="16" xfId="0" applyNumberFormat="1" applyFont="1" applyFill="1" applyBorder="1" applyAlignment="1">
      <alignment horizontal="center" vertical="center"/>
    </xf>
    <xf numFmtId="167" fontId="8" fillId="4" borderId="16" xfId="0" applyNumberFormat="1" applyFont="1" applyFill="1" applyBorder="1" applyAlignment="1">
      <alignment horizontal="center" vertical="center"/>
    </xf>
    <xf numFmtId="2" fontId="0" fillId="0" borderId="0" xfId="0" applyNumberFormat="1"/>
    <xf numFmtId="168" fontId="8" fillId="4" borderId="14" xfId="0" applyNumberFormat="1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68" fontId="8" fillId="4" borderId="15" xfId="0" applyNumberFormat="1" applyFont="1" applyFill="1" applyBorder="1" applyAlignment="1">
      <alignment horizontal="center" vertical="center"/>
    </xf>
    <xf numFmtId="1" fontId="8" fillId="4" borderId="15" xfId="0" applyNumberFormat="1" applyFont="1" applyFill="1" applyBorder="1" applyAlignment="1">
      <alignment horizontal="center" vertical="center"/>
    </xf>
    <xf numFmtId="168" fontId="8" fillId="4" borderId="17" xfId="0" applyNumberFormat="1" applyFont="1" applyFill="1" applyBorder="1" applyAlignment="1">
      <alignment horizontal="center" vertical="center"/>
    </xf>
    <xf numFmtId="4" fontId="8" fillId="3" borderId="14" xfId="0" applyNumberFormat="1" applyFont="1" applyFill="1" applyBorder="1" applyAlignment="1">
      <alignment horizontal="center" vertical="center"/>
    </xf>
    <xf numFmtId="4" fontId="8" fillId="3" borderId="15" xfId="0" applyNumberFormat="1" applyFont="1" applyFill="1" applyBorder="1" applyAlignment="1">
      <alignment horizontal="center" vertical="center"/>
    </xf>
    <xf numFmtId="4" fontId="8" fillId="3" borderId="17" xfId="0" applyNumberFormat="1" applyFont="1" applyFill="1" applyBorder="1" applyAlignment="1">
      <alignment horizontal="center" vertical="center"/>
    </xf>
    <xf numFmtId="168" fontId="8" fillId="3" borderId="14" xfId="0" applyNumberFormat="1" applyFont="1" applyFill="1" applyBorder="1" applyAlignment="1">
      <alignment horizontal="center" vertical="center"/>
    </xf>
    <xf numFmtId="168" fontId="8" fillId="3" borderId="15" xfId="0" applyNumberFormat="1" applyFont="1" applyFill="1" applyBorder="1" applyAlignment="1">
      <alignment horizontal="center" vertical="center"/>
    </xf>
    <xf numFmtId="168" fontId="8" fillId="3" borderId="17" xfId="0" applyNumberFormat="1" applyFont="1" applyFill="1" applyBorder="1" applyAlignment="1">
      <alignment horizontal="center" vertical="center"/>
    </xf>
    <xf numFmtId="2" fontId="8" fillId="3" borderId="17" xfId="0" applyNumberFormat="1" applyFont="1" applyFill="1" applyBorder="1" applyAlignment="1">
      <alignment horizontal="center" vertical="center"/>
    </xf>
    <xf numFmtId="9" fontId="6" fillId="5" borderId="16" xfId="0" applyNumberFormat="1" applyFont="1" applyFill="1" applyBorder="1" applyAlignment="1">
      <alignment horizontal="center" vertical="center"/>
    </xf>
    <xf numFmtId="4" fontId="8" fillId="4" borderId="17" xfId="0" applyNumberFormat="1" applyFont="1" applyFill="1" applyBorder="1" applyAlignment="1">
      <alignment horizontal="center" vertical="center"/>
    </xf>
    <xf numFmtId="4" fontId="0" fillId="0" borderId="0" xfId="0" applyNumberFormat="1"/>
    <xf numFmtId="169" fontId="8" fillId="4" borderId="14" xfId="0" applyNumberFormat="1" applyFont="1" applyFill="1" applyBorder="1" applyAlignment="1">
      <alignment horizontal="center" vertical="center"/>
    </xf>
    <xf numFmtId="169" fontId="8" fillId="4" borderId="15" xfId="0" applyNumberFormat="1" applyFont="1" applyFill="1" applyBorder="1" applyAlignment="1">
      <alignment horizontal="center" vertical="center"/>
    </xf>
    <xf numFmtId="3" fontId="8" fillId="8" borderId="14" xfId="0" applyNumberFormat="1" applyFont="1" applyFill="1" applyBorder="1" applyAlignment="1">
      <alignment horizontal="center" vertical="center"/>
    </xf>
    <xf numFmtId="166" fontId="8" fillId="8" borderId="14" xfId="0" applyNumberFormat="1" applyFont="1" applyFill="1" applyBorder="1" applyAlignment="1">
      <alignment horizontal="center" vertical="center"/>
    </xf>
    <xf numFmtId="3" fontId="8" fillId="9" borderId="14" xfId="0" applyNumberFormat="1" applyFont="1" applyFill="1" applyBorder="1" applyAlignment="1">
      <alignment horizontal="center" vertical="center"/>
    </xf>
    <xf numFmtId="166" fontId="8" fillId="9" borderId="14" xfId="0" applyNumberFormat="1" applyFont="1" applyFill="1" applyBorder="1" applyAlignment="1">
      <alignment horizontal="center" vertical="center"/>
    </xf>
    <xf numFmtId="168" fontId="8" fillId="8" borderId="14" xfId="0" applyNumberFormat="1" applyFont="1" applyFill="1" applyBorder="1" applyAlignment="1">
      <alignment horizontal="center" vertical="center"/>
    </xf>
    <xf numFmtId="2" fontId="8" fillId="9" borderId="14" xfId="0" applyNumberFormat="1" applyFont="1" applyFill="1" applyBorder="1" applyAlignment="1">
      <alignment horizontal="center" vertical="center"/>
    </xf>
    <xf numFmtId="169" fontId="0" fillId="0" borderId="0" xfId="0" applyNumberFormat="1" applyAlignment="1">
      <alignment vertical="center"/>
    </xf>
    <xf numFmtId="0" fontId="6" fillId="5" borderId="23" xfId="0" applyFont="1" applyFill="1" applyBorder="1" applyAlignment="1">
      <alignment horizontal="center" vertical="center"/>
    </xf>
    <xf numFmtId="3" fontId="6" fillId="5" borderId="16" xfId="0" applyNumberFormat="1" applyFont="1" applyFill="1" applyBorder="1" applyAlignment="1">
      <alignment horizontal="center" vertical="center"/>
    </xf>
    <xf numFmtId="3" fontId="8" fillId="4" borderId="16" xfId="0" applyNumberFormat="1" applyFont="1" applyFill="1" applyBorder="1" applyAlignment="1">
      <alignment horizontal="center" vertical="center"/>
    </xf>
    <xf numFmtId="3" fontId="8" fillId="3" borderId="16" xfId="0" applyNumberFormat="1" applyFont="1" applyFill="1" applyBorder="1" applyAlignment="1">
      <alignment horizontal="center" vertical="center"/>
    </xf>
    <xf numFmtId="170" fontId="8" fillId="4" borderId="14" xfId="0" applyNumberFormat="1" applyFont="1" applyFill="1" applyBorder="1" applyAlignment="1">
      <alignment horizontal="center" vertical="center"/>
    </xf>
    <xf numFmtId="168" fontId="8" fillId="3" borderId="16" xfId="0" applyNumberFormat="1" applyFont="1" applyFill="1" applyBorder="1" applyAlignment="1">
      <alignment horizontal="center" vertical="center"/>
    </xf>
    <xf numFmtId="2" fontId="8" fillId="4" borderId="16" xfId="0" applyNumberFormat="1" applyFont="1" applyFill="1" applyBorder="1" applyAlignment="1">
      <alignment horizontal="center" vertical="center"/>
    </xf>
    <xf numFmtId="0" fontId="0" fillId="0" borderId="0" xfId="0" quotePrefix="1"/>
    <xf numFmtId="166" fontId="8" fillId="3" borderId="16" xfId="0" applyNumberFormat="1" applyFont="1" applyFill="1" applyBorder="1" applyAlignment="1">
      <alignment horizontal="center" vertical="center"/>
    </xf>
    <xf numFmtId="166" fontId="8" fillId="4" borderId="16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8" fillId="11" borderId="14" xfId="0" applyFont="1" applyFill="1" applyBorder="1" applyAlignment="1">
      <alignment horizontal="center" vertical="center"/>
    </xf>
    <xf numFmtId="0" fontId="8" fillId="11" borderId="14" xfId="0" applyFont="1" applyFill="1" applyBorder="1" applyAlignment="1">
      <alignment vertical="center"/>
    </xf>
    <xf numFmtId="2" fontId="8" fillId="11" borderId="15" xfId="0" applyNumberFormat="1" applyFont="1" applyFill="1" applyBorder="1" applyAlignment="1">
      <alignment horizontal="center" vertical="center"/>
    </xf>
    <xf numFmtId="4" fontId="8" fillId="11" borderId="14" xfId="0" applyNumberFormat="1" applyFont="1" applyFill="1" applyBorder="1" applyAlignment="1">
      <alignment horizontal="center" vertical="center"/>
    </xf>
    <xf numFmtId="3" fontId="8" fillId="11" borderId="14" xfId="0" applyNumberFormat="1" applyFont="1" applyFill="1" applyBorder="1" applyAlignment="1">
      <alignment horizontal="center" vertical="center"/>
    </xf>
    <xf numFmtId="4" fontId="8" fillId="11" borderId="15" xfId="0" applyNumberFormat="1" applyFont="1" applyFill="1" applyBorder="1" applyAlignment="1">
      <alignment horizontal="center" vertical="center"/>
    </xf>
    <xf numFmtId="3" fontId="8" fillId="11" borderId="15" xfId="0" applyNumberFormat="1" applyFont="1" applyFill="1" applyBorder="1" applyAlignment="1">
      <alignment horizontal="center" vertical="center"/>
    </xf>
    <xf numFmtId="4" fontId="8" fillId="11" borderId="17" xfId="0" applyNumberFormat="1" applyFont="1" applyFill="1" applyBorder="1" applyAlignment="1">
      <alignment horizontal="center" vertical="center"/>
    </xf>
    <xf numFmtId="166" fontId="8" fillId="11" borderId="14" xfId="0" applyNumberFormat="1" applyFont="1" applyFill="1" applyBorder="1" applyAlignment="1">
      <alignment horizontal="center" vertical="center"/>
    </xf>
    <xf numFmtId="166" fontId="8" fillId="11" borderId="17" xfId="0" applyNumberFormat="1" applyFont="1" applyFill="1" applyBorder="1" applyAlignment="1">
      <alignment horizontal="center" vertical="center"/>
    </xf>
    <xf numFmtId="167" fontId="8" fillId="11" borderId="16" xfId="0" applyNumberFormat="1" applyFont="1" applyFill="1" applyBorder="1" applyAlignment="1">
      <alignment horizontal="center" vertical="center"/>
    </xf>
    <xf numFmtId="0" fontId="8" fillId="12" borderId="14" xfId="0" applyFont="1" applyFill="1" applyBorder="1" applyAlignment="1">
      <alignment horizontal="center" vertical="center"/>
    </xf>
    <xf numFmtId="0" fontId="8" fillId="12" borderId="14" xfId="0" applyFont="1" applyFill="1" applyBorder="1" applyAlignment="1">
      <alignment vertical="center"/>
    </xf>
    <xf numFmtId="2" fontId="8" fillId="12" borderId="15" xfId="0" applyNumberFormat="1" applyFont="1" applyFill="1" applyBorder="1" applyAlignment="1">
      <alignment horizontal="center" vertical="center"/>
    </xf>
    <xf numFmtId="2" fontId="8" fillId="12" borderId="14" xfId="0" applyNumberFormat="1" applyFont="1" applyFill="1" applyBorder="1" applyAlignment="1">
      <alignment horizontal="center" vertical="center"/>
    </xf>
    <xf numFmtId="166" fontId="8" fillId="12" borderId="14" xfId="0" applyNumberFormat="1" applyFont="1" applyFill="1" applyBorder="1" applyAlignment="1">
      <alignment horizontal="center" vertical="center"/>
    </xf>
    <xf numFmtId="166" fontId="8" fillId="12" borderId="17" xfId="0" applyNumberFormat="1" applyFont="1" applyFill="1" applyBorder="1" applyAlignment="1">
      <alignment horizontal="center" vertical="center"/>
    </xf>
    <xf numFmtId="167" fontId="8" fillId="12" borderId="16" xfId="0" applyNumberFormat="1" applyFont="1" applyFill="1" applyBorder="1" applyAlignment="1">
      <alignment horizontal="center" vertical="center"/>
    </xf>
    <xf numFmtId="1" fontId="8" fillId="3" borderId="14" xfId="0" applyNumberFormat="1" applyFont="1" applyFill="1" applyBorder="1" applyAlignment="1">
      <alignment horizontal="center" vertical="center"/>
    </xf>
    <xf numFmtId="4" fontId="8" fillId="13" borderId="15" xfId="0" applyNumberFormat="1" applyFont="1" applyFill="1" applyBorder="1" applyAlignment="1">
      <alignment horizontal="center" vertical="center"/>
    </xf>
    <xf numFmtId="4" fontId="8" fillId="14" borderId="15" xfId="0" applyNumberFormat="1" applyFont="1" applyFill="1" applyBorder="1" applyAlignment="1">
      <alignment horizontal="center" vertical="center"/>
    </xf>
    <xf numFmtId="3" fontId="8" fillId="11" borderId="17" xfId="0" applyNumberFormat="1" applyFont="1" applyFill="1" applyBorder="1" applyAlignment="1">
      <alignment horizontal="center" vertical="center"/>
    </xf>
    <xf numFmtId="0" fontId="11" fillId="12" borderId="14" xfId="0" applyFont="1" applyFill="1" applyBorder="1" applyAlignment="1">
      <alignment vertical="center"/>
    </xf>
    <xf numFmtId="3" fontId="8" fillId="12" borderId="14" xfId="0" applyNumberFormat="1" applyFont="1" applyFill="1" applyBorder="1" applyAlignment="1">
      <alignment horizontal="center" vertical="center"/>
    </xf>
    <xf numFmtId="3" fontId="8" fillId="12" borderId="15" xfId="0" applyNumberFormat="1" applyFont="1" applyFill="1" applyBorder="1" applyAlignment="1">
      <alignment horizontal="center" vertical="center"/>
    </xf>
    <xf numFmtId="3" fontId="8" fillId="12" borderId="17" xfId="0" applyNumberFormat="1" applyFont="1" applyFill="1" applyBorder="1" applyAlignment="1">
      <alignment horizontal="center" vertical="center"/>
    </xf>
    <xf numFmtId="0" fontId="8" fillId="14" borderId="14" xfId="0" applyFont="1" applyFill="1" applyBorder="1" applyAlignment="1">
      <alignment horizontal="center" vertical="center"/>
    </xf>
    <xf numFmtId="0" fontId="11" fillId="14" borderId="14" xfId="0" applyFont="1" applyFill="1" applyBorder="1" applyAlignment="1">
      <alignment vertical="center"/>
    </xf>
    <xf numFmtId="3" fontId="8" fillId="14" borderId="14" xfId="0" applyNumberFormat="1" applyFont="1" applyFill="1" applyBorder="1" applyAlignment="1">
      <alignment horizontal="center" vertical="center"/>
    </xf>
    <xf numFmtId="3" fontId="8" fillId="14" borderId="15" xfId="0" applyNumberFormat="1" applyFont="1" applyFill="1" applyBorder="1" applyAlignment="1">
      <alignment horizontal="center" vertical="center"/>
    </xf>
    <xf numFmtId="3" fontId="8" fillId="14" borderId="17" xfId="0" applyNumberFormat="1" applyFont="1" applyFill="1" applyBorder="1" applyAlignment="1">
      <alignment horizontal="center" vertical="center"/>
    </xf>
    <xf numFmtId="166" fontId="8" fillId="14" borderId="14" xfId="0" applyNumberFormat="1" applyFont="1" applyFill="1" applyBorder="1" applyAlignment="1">
      <alignment horizontal="center" vertical="center"/>
    </xf>
    <xf numFmtId="4" fontId="8" fillId="12" borderId="15" xfId="0" applyNumberFormat="1" applyFont="1" applyFill="1" applyBorder="1" applyAlignment="1">
      <alignment horizontal="center" vertical="center"/>
    </xf>
    <xf numFmtId="4" fontId="8" fillId="12" borderId="14" xfId="0" applyNumberFormat="1" applyFont="1" applyFill="1" applyBorder="1" applyAlignment="1">
      <alignment horizontal="center" vertical="center"/>
    </xf>
    <xf numFmtId="4" fontId="8" fillId="12" borderId="17" xfId="0" applyNumberFormat="1" applyFont="1" applyFill="1" applyBorder="1" applyAlignment="1">
      <alignment horizontal="center" vertical="center"/>
    </xf>
    <xf numFmtId="3" fontId="4" fillId="15" borderId="7" xfId="0" applyNumberFormat="1" applyFont="1" applyFill="1" applyBorder="1" applyAlignment="1">
      <alignment horizontal="centerContinuous" vertical="center"/>
    </xf>
    <xf numFmtId="0" fontId="12" fillId="16" borderId="8" xfId="0" applyFont="1" applyFill="1" applyBorder="1" applyAlignment="1">
      <alignment horizontal="centerContinuous" vertical="center"/>
    </xf>
    <xf numFmtId="0" fontId="4" fillId="15" borderId="5" xfId="0" applyFont="1" applyFill="1" applyBorder="1" applyAlignment="1">
      <alignment horizontal="centerContinuous" vertical="center"/>
    </xf>
    <xf numFmtId="0" fontId="12" fillId="16" borderId="4" xfId="0" applyFont="1" applyFill="1" applyBorder="1" applyAlignment="1">
      <alignment horizontal="centerContinuous" vertical="center"/>
    </xf>
    <xf numFmtId="0" fontId="12" fillId="16" borderId="6" xfId="0" applyFont="1" applyFill="1" applyBorder="1" applyAlignment="1">
      <alignment horizontal="centerContinuous" vertical="center"/>
    </xf>
    <xf numFmtId="0" fontId="12" fillId="16" borderId="11" xfId="0" applyFont="1" applyFill="1" applyBorder="1" applyAlignment="1">
      <alignment horizontal="centerContinuous" vertical="center"/>
    </xf>
    <xf numFmtId="0" fontId="12" fillId="16" borderId="10" xfId="0" applyFont="1" applyFill="1" applyBorder="1" applyAlignment="1">
      <alignment horizontal="centerContinuous" vertical="center"/>
    </xf>
    <xf numFmtId="2" fontId="8" fillId="14" borderId="14" xfId="0" applyNumberFormat="1" applyFont="1" applyFill="1" applyBorder="1" applyAlignment="1">
      <alignment horizontal="center" vertical="center"/>
    </xf>
    <xf numFmtId="170" fontId="8" fillId="11" borderId="14" xfId="0" applyNumberFormat="1" applyFont="1" applyFill="1" applyBorder="1" applyAlignment="1">
      <alignment horizontal="center" vertical="center"/>
    </xf>
    <xf numFmtId="2" fontId="8" fillId="11" borderId="14" xfId="0" applyNumberFormat="1" applyFont="1" applyFill="1" applyBorder="1" applyAlignment="1">
      <alignment horizontal="center" vertical="center"/>
    </xf>
    <xf numFmtId="168" fontId="8" fillId="12" borderId="14" xfId="0" applyNumberFormat="1" applyFont="1" applyFill="1" applyBorder="1" applyAlignment="1">
      <alignment horizontal="center" vertical="center"/>
    </xf>
    <xf numFmtId="1" fontId="8" fillId="12" borderId="14" xfId="0" applyNumberFormat="1" applyFont="1" applyFill="1" applyBorder="1" applyAlignment="1">
      <alignment horizontal="center" vertical="center"/>
    </xf>
    <xf numFmtId="164" fontId="0" fillId="0" borderId="0" xfId="0" applyNumberFormat="1"/>
    <xf numFmtId="2" fontId="0" fillId="0" borderId="0" xfId="0" applyNumberFormat="1" applyAlignment="1">
      <alignment vertical="center"/>
    </xf>
    <xf numFmtId="166" fontId="0" fillId="0" borderId="0" xfId="0" applyNumberFormat="1"/>
    <xf numFmtId="3" fontId="4" fillId="2" borderId="7" xfId="0" applyNumberFormat="1" applyFont="1" applyFill="1" applyBorder="1" applyAlignment="1">
      <alignment horizontal="centerContinuous" vertical="distributed"/>
    </xf>
    <xf numFmtId="0" fontId="4" fillId="2" borderId="5" xfId="0" applyFont="1" applyFill="1" applyBorder="1" applyAlignment="1">
      <alignment horizontal="centerContinuous" vertical="distributed"/>
    </xf>
    <xf numFmtId="166" fontId="5" fillId="3" borderId="16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Continuous" vertical="distributed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Continuous" vertical="distributed"/>
    </xf>
    <xf numFmtId="0" fontId="4" fillId="2" borderId="6" xfId="0" applyFont="1" applyFill="1" applyBorder="1" applyAlignment="1">
      <alignment horizontal="centerContinuous" vertical="distributed"/>
    </xf>
    <xf numFmtId="0" fontId="9" fillId="2" borderId="5" xfId="0" applyFont="1" applyFill="1" applyBorder="1" applyAlignment="1">
      <alignment horizontal="centerContinuous" vertical="distributed"/>
    </xf>
    <xf numFmtId="0" fontId="9" fillId="2" borderId="21" xfId="0" applyFont="1" applyFill="1" applyBorder="1" applyAlignment="1">
      <alignment horizontal="centerContinuous" vertical="distributed"/>
    </xf>
    <xf numFmtId="0" fontId="4" fillId="2" borderId="19" xfId="0" applyFont="1" applyFill="1" applyBorder="1" applyAlignment="1">
      <alignment horizontal="centerContinuous" vertical="distributed"/>
    </xf>
    <xf numFmtId="3" fontId="4" fillId="2" borderId="11" xfId="0" applyNumberFormat="1" applyFont="1" applyFill="1" applyBorder="1" applyAlignment="1">
      <alignment horizontal="centerContinuous" vertical="distributed"/>
    </xf>
    <xf numFmtId="3" fontId="4" fillId="2" borderId="10" xfId="0" applyNumberFormat="1" applyFont="1" applyFill="1" applyBorder="1" applyAlignment="1">
      <alignment horizontal="centerContinuous" vertical="distributed"/>
    </xf>
    <xf numFmtId="0" fontId="4" fillId="2" borderId="10" xfId="0" applyFont="1" applyFill="1" applyBorder="1" applyAlignment="1">
      <alignment horizontal="centerContinuous" vertical="distributed"/>
    </xf>
    <xf numFmtId="0" fontId="4" fillId="2" borderId="11" xfId="0" applyFont="1" applyFill="1" applyBorder="1" applyAlignment="1">
      <alignment horizontal="centerContinuous" vertical="distributed"/>
    </xf>
    <xf numFmtId="0" fontId="8" fillId="3" borderId="14" xfId="0" applyFont="1" applyFill="1" applyBorder="1" applyAlignment="1">
      <alignment vertical="center" wrapText="1"/>
    </xf>
    <xf numFmtId="0" fontId="8" fillId="4" borderId="14" xfId="0" applyFont="1" applyFill="1" applyBorder="1" applyAlignment="1">
      <alignment vertical="center" wrapText="1"/>
    </xf>
    <xf numFmtId="0" fontId="8" fillId="12" borderId="14" xfId="0" applyFont="1" applyFill="1" applyBorder="1" applyAlignment="1">
      <alignment vertical="center" wrapText="1"/>
    </xf>
    <xf numFmtId="0" fontId="14" fillId="0" borderId="0" xfId="0" applyFont="1" applyAlignment="1">
      <alignment horizontal="center"/>
    </xf>
    <xf numFmtId="0" fontId="15" fillId="0" borderId="0" xfId="2"/>
    <xf numFmtId="3" fontId="4" fillId="2" borderId="18" xfId="0" applyNumberFormat="1" applyFont="1" applyFill="1" applyBorder="1" applyAlignment="1">
      <alignment horizontal="centerContinuous" vertical="distributed"/>
    </xf>
    <xf numFmtId="3" fontId="7" fillId="5" borderId="16" xfId="0" applyNumberFormat="1" applyFont="1" applyFill="1" applyBorder="1" applyAlignment="1">
      <alignment horizontal="center" vertical="center"/>
    </xf>
    <xf numFmtId="3" fontId="4" fillId="2" borderId="16" xfId="0" applyNumberFormat="1" applyFont="1" applyFill="1" applyBorder="1" applyAlignment="1">
      <alignment horizontal="centerContinuous" vertical="distributed"/>
    </xf>
    <xf numFmtId="3" fontId="4" fillId="2" borderId="14" xfId="0" applyNumberFormat="1" applyFont="1" applyFill="1" applyBorder="1" applyAlignment="1">
      <alignment horizontal="centerContinuous" vertical="distributed"/>
    </xf>
    <xf numFmtId="3" fontId="4" fillId="2" borderId="15" xfId="0" applyNumberFormat="1" applyFont="1" applyFill="1" applyBorder="1" applyAlignment="1">
      <alignment horizontal="centerContinuous" vertical="distributed"/>
    </xf>
    <xf numFmtId="166" fontId="5" fillId="3" borderId="14" xfId="0" applyNumberFormat="1" applyFont="1" applyFill="1" applyBorder="1" applyAlignment="1">
      <alignment horizontal="center" vertical="center"/>
    </xf>
    <xf numFmtId="166" fontId="5" fillId="3" borderId="15" xfId="0" applyNumberFormat="1" applyFont="1" applyFill="1" applyBorder="1" applyAlignment="1">
      <alignment horizontal="center" vertical="center"/>
    </xf>
    <xf numFmtId="3" fontId="8" fillId="3" borderId="18" xfId="0" applyNumberFormat="1" applyFont="1" applyFill="1" applyBorder="1" applyAlignment="1">
      <alignment horizontal="center" vertical="center"/>
    </xf>
    <xf numFmtId="3" fontId="8" fillId="4" borderId="18" xfId="0" applyNumberFormat="1" applyFont="1" applyFill="1" applyBorder="1" applyAlignment="1">
      <alignment horizontal="center" vertical="center"/>
    </xf>
    <xf numFmtId="2" fontId="8" fillId="4" borderId="18" xfId="0" applyNumberFormat="1" applyFont="1" applyFill="1" applyBorder="1" applyAlignment="1">
      <alignment horizontal="center" vertical="center"/>
    </xf>
    <xf numFmtId="4" fontId="8" fillId="3" borderId="18" xfId="0" applyNumberFormat="1" applyFont="1" applyFill="1" applyBorder="1" applyAlignment="1">
      <alignment horizontal="center" vertical="center"/>
    </xf>
    <xf numFmtId="170" fontId="8" fillId="4" borderId="15" xfId="0" applyNumberFormat="1" applyFont="1" applyFill="1" applyBorder="1" applyAlignment="1">
      <alignment horizontal="center" vertical="center"/>
    </xf>
    <xf numFmtId="170" fontId="8" fillId="4" borderId="18" xfId="0" applyNumberFormat="1" applyFont="1" applyFill="1" applyBorder="1" applyAlignment="1">
      <alignment horizontal="center" vertical="center"/>
    </xf>
    <xf numFmtId="4" fontId="8" fillId="4" borderId="18" xfId="0" applyNumberFormat="1" applyFont="1" applyFill="1" applyBorder="1" applyAlignment="1">
      <alignment horizontal="center" vertical="center"/>
    </xf>
    <xf numFmtId="166" fontId="5" fillId="3" borderId="18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3" fontId="4" fillId="2" borderId="10" xfId="0" applyNumberFormat="1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2" fontId="8" fillId="3" borderId="16" xfId="0" applyNumberFormat="1" applyFont="1" applyFill="1" applyBorder="1" applyAlignment="1">
      <alignment horizontal="center" vertical="center"/>
    </xf>
    <xf numFmtId="3" fontId="7" fillId="5" borderId="25" xfId="0" applyNumberFormat="1" applyFont="1" applyFill="1" applyBorder="1" applyAlignment="1">
      <alignment horizontal="center" vertical="center"/>
    </xf>
    <xf numFmtId="3" fontId="8" fillId="12" borderId="18" xfId="0" applyNumberFormat="1" applyFont="1" applyFill="1" applyBorder="1" applyAlignment="1">
      <alignment horizontal="center" vertical="center"/>
    </xf>
    <xf numFmtId="3" fontId="7" fillId="5" borderId="15" xfId="0" applyNumberFormat="1" applyFont="1" applyFill="1" applyBorder="1" applyAlignment="1">
      <alignment horizontal="center" vertical="center"/>
    </xf>
    <xf numFmtId="4" fontId="8" fillId="3" borderId="16" xfId="0" applyNumberFormat="1" applyFont="1" applyFill="1" applyBorder="1" applyAlignment="1">
      <alignment horizontal="center" vertical="center"/>
    </xf>
    <xf numFmtId="4" fontId="8" fillId="12" borderId="18" xfId="0" applyNumberFormat="1" applyFont="1" applyFill="1" applyBorder="1" applyAlignment="1">
      <alignment horizontal="center" vertical="center"/>
    </xf>
    <xf numFmtId="166" fontId="8" fillId="11" borderId="16" xfId="0" applyNumberFormat="1" applyFont="1" applyFill="1" applyBorder="1" applyAlignment="1">
      <alignment horizontal="center" vertical="center"/>
    </xf>
    <xf numFmtId="166" fontId="8" fillId="12" borderId="16" xfId="0" applyNumberFormat="1" applyFont="1" applyFill="1" applyBorder="1" applyAlignment="1">
      <alignment horizontal="center" vertical="center"/>
    </xf>
    <xf numFmtId="0" fontId="11" fillId="10" borderId="18" xfId="0" applyFont="1" applyFill="1" applyBorder="1" applyAlignment="1">
      <alignment horizontal="center" vertical="center" wrapText="1"/>
    </xf>
    <xf numFmtId="170" fontId="8" fillId="3" borderId="15" xfId="0" applyNumberFormat="1" applyFont="1" applyFill="1" applyBorder="1" applyAlignment="1">
      <alignment horizontal="center" vertical="center"/>
    </xf>
    <xf numFmtId="2" fontId="8" fillId="3" borderId="18" xfId="0" applyNumberFormat="1" applyFont="1" applyFill="1" applyBorder="1" applyAlignment="1">
      <alignment horizontal="center" vertical="center"/>
    </xf>
    <xf numFmtId="166" fontId="5" fillId="3" borderId="26" xfId="0" applyNumberFormat="1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vertical="center"/>
    </xf>
    <xf numFmtId="164" fontId="8" fillId="4" borderId="14" xfId="1" applyFont="1" applyFill="1" applyBorder="1" applyAlignment="1">
      <alignment vertical="center"/>
    </xf>
    <xf numFmtId="164" fontId="8" fillId="3" borderId="14" xfId="1" applyFont="1" applyFill="1" applyBorder="1" applyAlignment="1">
      <alignment vertical="center"/>
    </xf>
    <xf numFmtId="0" fontId="12" fillId="16" borderId="21" xfId="0" applyFont="1" applyFill="1" applyBorder="1" applyAlignment="1">
      <alignment horizontal="centerContinuous" vertical="center"/>
    </xf>
    <xf numFmtId="166" fontId="8" fillId="4" borderId="1" xfId="0" applyNumberFormat="1" applyFont="1" applyFill="1" applyBorder="1" applyAlignment="1">
      <alignment horizontal="center" vertical="center"/>
    </xf>
    <xf numFmtId="49" fontId="6" fillId="5" borderId="14" xfId="0" applyNumberFormat="1" applyFont="1" applyFill="1" applyBorder="1" applyAlignment="1">
      <alignment horizontal="center" vertical="center"/>
    </xf>
    <xf numFmtId="49" fontId="8" fillId="3" borderId="14" xfId="0" applyNumberFormat="1" applyFont="1" applyFill="1" applyBorder="1" applyAlignment="1">
      <alignment horizontal="center" vertical="center"/>
    </xf>
    <xf numFmtId="49" fontId="8" fillId="4" borderId="14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8" fillId="11" borderId="14" xfId="0" applyNumberFormat="1" applyFont="1" applyFill="1" applyBorder="1" applyAlignment="1">
      <alignment horizontal="center" vertical="center"/>
    </xf>
    <xf numFmtId="49" fontId="8" fillId="12" borderId="14" xfId="0" applyNumberFormat="1" applyFont="1" applyFill="1" applyBorder="1" applyAlignment="1">
      <alignment horizontal="center" vertical="center"/>
    </xf>
    <xf numFmtId="49" fontId="8" fillId="14" borderId="14" xfId="0" applyNumberFormat="1" applyFont="1" applyFill="1" applyBorder="1" applyAlignment="1">
      <alignment horizontal="center" vertical="center"/>
    </xf>
    <xf numFmtId="49" fontId="8" fillId="3" borderId="15" xfId="0" applyNumberFormat="1" applyFont="1" applyFill="1" applyBorder="1" applyAlignment="1">
      <alignment horizontal="center" vertical="center"/>
    </xf>
    <xf numFmtId="49" fontId="8" fillId="4" borderId="15" xfId="0" applyNumberFormat="1" applyFont="1" applyFill="1" applyBorder="1" applyAlignment="1">
      <alignment horizontal="center" vertical="center"/>
    </xf>
    <xf numFmtId="49" fontId="8" fillId="11" borderId="15" xfId="0" applyNumberFormat="1" applyFont="1" applyFill="1" applyBorder="1" applyAlignment="1">
      <alignment horizontal="center" vertical="center"/>
    </xf>
    <xf numFmtId="49" fontId="8" fillId="12" borderId="15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2" fillId="16" borderId="9" xfId="0" applyFont="1" applyFill="1" applyBorder="1"/>
    <xf numFmtId="0" fontId="2" fillId="16" borderId="10" xfId="0" applyFont="1" applyFill="1" applyBorder="1"/>
    <xf numFmtId="0" fontId="2" fillId="16" borderId="12" xfId="0" applyFont="1" applyFill="1" applyBorder="1"/>
    <xf numFmtId="0" fontId="12" fillId="16" borderId="26" xfId="0" applyFont="1" applyFill="1" applyBorder="1" applyAlignment="1">
      <alignment horizontal="centerContinuous" vertical="center"/>
    </xf>
    <xf numFmtId="0" fontId="8" fillId="11" borderId="14" xfId="0" applyFont="1" applyFill="1" applyBorder="1" applyAlignment="1">
      <alignment vertical="center" wrapText="1"/>
    </xf>
    <xf numFmtId="0" fontId="3" fillId="15" borderId="3" xfId="0" applyFont="1" applyFill="1" applyBorder="1" applyAlignment="1">
      <alignment horizontal="centerContinuous" vertical="distributed"/>
    </xf>
    <xf numFmtId="0" fontId="2" fillId="16" borderId="4" xfId="0" applyFont="1" applyFill="1" applyBorder="1" applyAlignment="1">
      <alignment horizontal="centerContinuous" vertical="distributed"/>
    </xf>
    <xf numFmtId="0" fontId="2" fillId="16" borderId="6" xfId="0" applyFont="1" applyFill="1" applyBorder="1" applyAlignment="1">
      <alignment horizontal="centerContinuous" vertical="distributed"/>
    </xf>
    <xf numFmtId="0" fontId="6" fillId="5" borderId="2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Continuous" vertical="distributed"/>
    </xf>
    <xf numFmtId="49" fontId="6" fillId="5" borderId="2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Continuous" vertical="distributed"/>
    </xf>
    <xf numFmtId="0" fontId="3" fillId="2" borderId="4" xfId="0" applyFont="1" applyFill="1" applyBorder="1" applyAlignment="1">
      <alignment horizontal="centerContinuous" vertical="distributed"/>
    </xf>
    <xf numFmtId="0" fontId="3" fillId="2" borderId="6" xfId="0" applyFont="1" applyFill="1" applyBorder="1" applyAlignment="1">
      <alignment horizontal="centerContinuous" vertical="distributed"/>
    </xf>
    <xf numFmtId="0" fontId="3" fillId="2" borderId="21" xfId="0" applyFont="1" applyFill="1" applyBorder="1" applyAlignment="1">
      <alignment horizontal="centerContinuous" vertical="distributed"/>
    </xf>
    <xf numFmtId="0" fontId="16" fillId="2" borderId="10" xfId="0" applyFont="1" applyFill="1" applyBorder="1" applyAlignment="1">
      <alignment horizontal="centerContinuous" vertical="distributed"/>
    </xf>
    <xf numFmtId="0" fontId="3" fillId="2" borderId="27" xfId="0" applyFont="1" applyFill="1" applyBorder="1" applyAlignment="1">
      <alignment horizontal="centerContinuous" vertical="distributed"/>
    </xf>
    <xf numFmtId="0" fontId="3" fillId="2" borderId="25" xfId="0" applyFont="1" applyFill="1" applyBorder="1" applyAlignment="1">
      <alignment horizontal="centerContinuous" vertical="distributed"/>
    </xf>
    <xf numFmtId="0" fontId="1" fillId="0" borderId="0" xfId="0" applyFont="1"/>
    <xf numFmtId="0" fontId="4" fillId="2" borderId="18" xfId="0" applyFont="1" applyFill="1" applyBorder="1" applyAlignment="1">
      <alignment horizontal="center" vertical="center"/>
    </xf>
    <xf numFmtId="0" fontId="2" fillId="0" borderId="16" xfId="0" applyFont="1" applyBorder="1"/>
    <xf numFmtId="166" fontId="5" fillId="3" borderId="18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9" xfId="0" applyFont="1" applyBorder="1"/>
    <xf numFmtId="0" fontId="2" fillId="0" borderId="10" xfId="0" applyFont="1" applyBorder="1"/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3" fontId="4" fillId="2" borderId="7" xfId="0" applyNumberFormat="1" applyFont="1" applyFill="1" applyBorder="1" applyAlignment="1">
      <alignment horizontal="center" vertical="center"/>
    </xf>
    <xf numFmtId="3" fontId="4" fillId="2" borderId="18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12" xfId="0" applyFont="1" applyBorder="1"/>
    <xf numFmtId="0" fontId="2" fillId="0" borderId="11" xfId="0" applyFont="1" applyBorder="1"/>
    <xf numFmtId="0" fontId="2" fillId="0" borderId="18" xfId="0" applyFont="1" applyBorder="1"/>
    <xf numFmtId="0" fontId="2" fillId="0" borderId="8" xfId="0" applyFont="1" applyBorder="1"/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3" fontId="4" fillId="2" borderId="19" xfId="0" applyNumberFormat="1" applyFont="1" applyFill="1" applyBorder="1" applyAlignment="1">
      <alignment horizontal="center" vertical="center"/>
    </xf>
    <xf numFmtId="0" fontId="2" fillId="0" borderId="21" xfId="0" applyFont="1" applyBorder="1"/>
    <xf numFmtId="0" fontId="4" fillId="2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3" fontId="4" fillId="2" borderId="11" xfId="0" applyNumberFormat="1" applyFont="1" applyFill="1" applyBorder="1" applyAlignment="1">
      <alignment horizontal="center" vertical="center"/>
    </xf>
    <xf numFmtId="3" fontId="4" fillId="2" borderId="10" xfId="0" applyNumberFormat="1" applyFont="1" applyFill="1" applyBorder="1" applyAlignment="1">
      <alignment horizontal="center" vertical="center"/>
    </xf>
    <xf numFmtId="0" fontId="11" fillId="10" borderId="24" xfId="0" applyFont="1" applyFill="1" applyBorder="1" applyAlignment="1">
      <alignment horizontal="center" vertical="center" wrapText="1"/>
    </xf>
    <xf numFmtId="0" fontId="11" fillId="10" borderId="18" xfId="0" applyFont="1" applyFill="1" applyBorder="1" applyAlignment="1">
      <alignment horizontal="center" vertical="center" wrapText="1"/>
    </xf>
    <xf numFmtId="0" fontId="2" fillId="0" borderId="20" xfId="0" applyFont="1" applyBorder="1"/>
    <xf numFmtId="0" fontId="2" fillId="0" borderId="22" xfId="0" applyFont="1" applyBorder="1"/>
  </cellXfs>
  <cellStyles count="3">
    <cellStyle name="Hiperlink" xfId="2" builtinId="8"/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6CFC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hiftup.sharepoint.com/sites/RevisoProgramadaStellantis2/Shared%20Documents/General/Base/BaseDeRevis&#245;es_xF_Brasil.xlsx" TargetMode="External"/><Relationship Id="rId1" Type="http://schemas.openxmlformats.org/officeDocument/2006/relationships/externalLinkPath" Target="https://shiftup.sharepoint.com/sites/RevisoProgramadaStellantis2/Shared%20Documents/General/Base/BaseDeRevis&#245;es_xF_Bras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JGDSGJ-yKU-8vWt92b0oGbdx4L-nMblNrepg28JVSSz9N8mslwWbToNPSLIcUP-_" itemId="01TFNYOFUNWURIFA7HM5G3TLLYDTSVBSTL">
      <xxl21:absoluteUrl r:id="rId2"/>
    </xxl21:alternateUrls>
    <sheetNames>
      <sheetName val="PREÇO ATUAL"/>
      <sheetName val="LUBRIFICANTE FIAT"/>
      <sheetName val="LUBRIFICANTE PSA"/>
      <sheetName val="LUBRIFICANTE LEAPMOTOR"/>
      <sheetName val="LUBRIFICANTE CJDR"/>
      <sheetName val="Planilha1"/>
    </sheetNames>
    <sheetDataSet>
      <sheetData sheetId="0">
        <row r="1">
          <cell r="A1" t="str">
            <v>DESENHO</v>
          </cell>
          <cell r="B1" t="str">
            <v>DENOMINAÇÃO</v>
          </cell>
          <cell r="C1" t="str">
            <v>NF Base SP</v>
          </cell>
          <cell r="D1" t="str">
            <v>PREÇO VENDA</v>
          </cell>
        </row>
        <row r="2">
          <cell r="A2" t="str">
            <v>9809532380</v>
          </cell>
          <cell r="B2" t="str">
            <v>FILTRO DE OLEO</v>
          </cell>
          <cell r="C2"/>
          <cell r="D2">
            <v>119.9</v>
          </cell>
        </row>
        <row r="3">
          <cell r="A3" t="str">
            <v>77368658</v>
          </cell>
          <cell r="B3" t="str">
            <v>ELEMENTO FILTRANTE</v>
          </cell>
          <cell r="C3"/>
          <cell r="D3">
            <v>529.9</v>
          </cell>
        </row>
        <row r="4">
          <cell r="A4" t="str">
            <v>9826368080</v>
          </cell>
          <cell r="B4" t="str">
            <v>TENSOR DE CORREIA</v>
          </cell>
          <cell r="C4"/>
          <cell r="D4">
            <v>749.53</v>
          </cell>
        </row>
        <row r="5">
          <cell r="A5" t="str">
            <v>9677491780</v>
          </cell>
          <cell r="B5" t="str">
            <v>ANEL DO BUJÃO</v>
          </cell>
          <cell r="C5"/>
          <cell r="D5">
            <v>13.1274</v>
          </cell>
        </row>
        <row r="6">
          <cell r="A6" t="str">
            <v>9400164889</v>
          </cell>
          <cell r="B6" t="str">
            <v>ANEL DO BUJÃO</v>
          </cell>
          <cell r="C6"/>
          <cell r="D6">
            <v>13.24</v>
          </cell>
        </row>
        <row r="7">
          <cell r="A7" t="str">
            <v>155254505</v>
          </cell>
          <cell r="B7" t="str">
            <v>FILTRO DE ÓLEO DO MOTOR</v>
          </cell>
          <cell r="C7"/>
          <cell r="D7">
            <v>105.9</v>
          </cell>
        </row>
        <row r="8">
          <cell r="A8" t="str">
            <v>155253599</v>
          </cell>
          <cell r="B8" t="str">
            <v>FILTRO COMBUSTIVEL</v>
          </cell>
          <cell r="C8"/>
          <cell r="D8">
            <v>379.9</v>
          </cell>
        </row>
        <row r="9">
          <cell r="A9" t="str">
            <v>9813908880</v>
          </cell>
          <cell r="B9" t="str">
            <v>ELEMENTO DE FILTRO DE AR</v>
          </cell>
          <cell r="C9"/>
          <cell r="D9">
            <v>133.51</v>
          </cell>
        </row>
        <row r="10">
          <cell r="A10" t="str">
            <v>6000655015</v>
          </cell>
          <cell r="B10" t="str">
            <v>FILTRO DE PÓLEN</v>
          </cell>
          <cell r="C10"/>
          <cell r="D10">
            <v>158.84</v>
          </cell>
        </row>
        <row r="11">
          <cell r="A11" t="str">
            <v>155253981</v>
          </cell>
          <cell r="B11" t="str">
            <v>CORREIA DE DISTRIBUIÇÃO</v>
          </cell>
          <cell r="C11"/>
          <cell r="D11">
            <v>382.62</v>
          </cell>
        </row>
        <row r="12">
          <cell r="A12" t="str">
            <v>55267995</v>
          </cell>
          <cell r="B12" t="str">
            <v>VELA IGNICAO</v>
          </cell>
          <cell r="C12"/>
          <cell r="D12">
            <v>175.9</v>
          </cell>
        </row>
        <row r="13">
          <cell r="A13" t="str">
            <v>52162685</v>
          </cell>
          <cell r="B13" t="str">
            <v>FILTRO COMBUSTIVEL CMBGA</v>
          </cell>
          <cell r="C13"/>
          <cell r="D13">
            <v>35.9</v>
          </cell>
        </row>
        <row r="14">
          <cell r="A14" t="str">
            <v>7087265</v>
          </cell>
          <cell r="B14" t="str">
            <v>CJ REPARO REDUTOR DE PRESSAO</v>
          </cell>
          <cell r="C14"/>
          <cell r="D14">
            <v>0</v>
          </cell>
        </row>
        <row r="15">
          <cell r="A15" t="str">
            <v>46348847</v>
          </cell>
          <cell r="B15" t="str">
            <v>VELA IGNICAO</v>
          </cell>
          <cell r="C15"/>
          <cell r="D15">
            <v>119.9</v>
          </cell>
        </row>
        <row r="16">
          <cell r="A16" t="str">
            <v>55258359</v>
          </cell>
          <cell r="B16" t="str">
            <v>CORREIA POLY-V 6K L=1452MM X21,16</v>
          </cell>
          <cell r="C16"/>
          <cell r="D16">
            <v>179.9</v>
          </cell>
        </row>
        <row r="17">
          <cell r="A17" t="str">
            <v>77367623</v>
          </cell>
          <cell r="B17" t="str">
            <v>ELEMENTO FILTRANTE</v>
          </cell>
          <cell r="C17"/>
          <cell r="D17">
            <v>379</v>
          </cell>
        </row>
        <row r="18">
          <cell r="A18" t="str">
            <v>77369138</v>
          </cell>
          <cell r="B18" t="str">
            <v>GASOLIO</v>
          </cell>
          <cell r="C18"/>
          <cell r="D18">
            <v>489</v>
          </cell>
        </row>
        <row r="19">
          <cell r="A19" t="str">
            <v>55251324</v>
          </cell>
          <cell r="B19" t="str">
            <v>CORREIA AUXILIAR DO MOTOR 6 DENTES</v>
          </cell>
          <cell r="C19"/>
          <cell r="D19">
            <v>296.29000000000002</v>
          </cell>
        </row>
        <row r="20">
          <cell r="A20" t="str">
            <v>46354609</v>
          </cell>
          <cell r="B20" t="str">
            <v>CORREIA AUXILIAR DO MOTOR 6 DENTES</v>
          </cell>
          <cell r="C20"/>
          <cell r="D20">
            <v>296.29000000000002</v>
          </cell>
        </row>
        <row r="21">
          <cell r="A21" t="str">
            <v>55267966</v>
          </cell>
          <cell r="B21" t="str">
            <v>CORREIA TRANSMISSAO  POLY-V 5K L1171-DAY</v>
          </cell>
          <cell r="C21"/>
          <cell r="D21">
            <v>143.22999999999999</v>
          </cell>
        </row>
        <row r="22">
          <cell r="A22" t="str">
            <v>71779555</v>
          </cell>
          <cell r="B22" t="str">
            <v>FILTRO OLEO C/MARCA MOPAR (0,6L)</v>
          </cell>
          <cell r="C22"/>
          <cell r="D22">
            <v>199.9</v>
          </cell>
        </row>
        <row r="23">
          <cell r="A23" t="str">
            <v>2995811</v>
          </cell>
          <cell r="B23" t="str">
            <v>FILTRO OLEO C MARCA FPT  0 6L    CURTO</v>
          </cell>
          <cell r="C23"/>
          <cell r="D23">
            <v>199.9</v>
          </cell>
        </row>
        <row r="24">
          <cell r="A24" t="str">
            <v>46796687</v>
          </cell>
          <cell r="B24" t="str">
            <v>FILTRO OLEO MOTOR</v>
          </cell>
          <cell r="C24"/>
          <cell r="D24">
            <v>112.46</v>
          </cell>
        </row>
        <row r="25">
          <cell r="A25" t="str">
            <v>6000631700</v>
          </cell>
          <cell r="B25" t="str">
            <v>FILTRO DE OLEO DO MOTOR</v>
          </cell>
          <cell r="C25"/>
          <cell r="D25">
            <v>112.46</v>
          </cell>
        </row>
        <row r="26">
          <cell r="A26" t="str">
            <v>7094709</v>
          </cell>
          <cell r="B26" t="str">
            <v>FILTRO OLEO MOTOR WEGA</v>
          </cell>
          <cell r="C26"/>
          <cell r="D26">
            <v>79.900000000000006</v>
          </cell>
        </row>
        <row r="27">
          <cell r="A27" t="str">
            <v>71754237</v>
          </cell>
          <cell r="B27" t="str">
            <v>FILTRO OLEO MOTOR</v>
          </cell>
          <cell r="C27"/>
          <cell r="D27">
            <v>89.9</v>
          </cell>
        </row>
        <row r="28">
          <cell r="A28" t="str">
            <v>5802102136</v>
          </cell>
          <cell r="B28" t="str">
            <v>CORREIA COMPRESSOR/ARV RIBS=4 L=880MM</v>
          </cell>
          <cell r="C28"/>
          <cell r="D28">
            <v>189.9</v>
          </cell>
        </row>
        <row r="29">
          <cell r="A29" t="str">
            <v>51773404</v>
          </cell>
          <cell r="B29" t="str">
            <v>ELEMENTO FILTRO AR</v>
          </cell>
          <cell r="C29"/>
          <cell r="D29">
            <v>122.04</v>
          </cell>
        </row>
        <row r="30">
          <cell r="A30" t="str">
            <v>5801467815</v>
          </cell>
          <cell r="B30" t="str">
            <v>CORREIA DISTRIBUICAO L=1695.45MM</v>
          </cell>
          <cell r="C30"/>
          <cell r="D30">
            <v>663.26</v>
          </cell>
        </row>
        <row r="31">
          <cell r="A31" t="str">
            <v>71738161</v>
          </cell>
          <cell r="B31" t="str">
            <v>CORREIA BOMBA DH 3KX700 -(DUPLO FORN)</v>
          </cell>
          <cell r="C31"/>
          <cell r="D31">
            <v>90.7</v>
          </cell>
        </row>
        <row r="32">
          <cell r="A32" t="str">
            <v>55208286</v>
          </cell>
          <cell r="B32" t="str">
            <v>ELEMENTO FILTRO AR</v>
          </cell>
          <cell r="C32"/>
          <cell r="D32">
            <v>37.92</v>
          </cell>
        </row>
        <row r="33">
          <cell r="A33" t="str">
            <v>55211240</v>
          </cell>
          <cell r="B33" t="str">
            <v>CORREIA ARV MANIV/ DH-L=10,68X895MM</v>
          </cell>
          <cell r="C33"/>
          <cell r="D33">
            <v>149.54</v>
          </cell>
        </row>
        <row r="34">
          <cell r="A34" t="str">
            <v>55232450</v>
          </cell>
          <cell r="B34" t="str">
            <v>CORREAI TRANSMISSAO SERIE K 1150X5-DAYCO</v>
          </cell>
          <cell r="C34"/>
          <cell r="D34">
            <v>151.99</v>
          </cell>
        </row>
        <row r="35">
          <cell r="A35" t="str">
            <v>155258265</v>
          </cell>
          <cell r="B35" t="str">
            <v>VELA IGNICAO RESISTIVA</v>
          </cell>
          <cell r="C35"/>
          <cell r="D35">
            <v>78.900000000000006</v>
          </cell>
        </row>
        <row r="36">
          <cell r="A36" t="str">
            <v>KSP148183AD</v>
          </cell>
          <cell r="B36" t="str">
            <v>VELA DE IGNICAO</v>
          </cell>
          <cell r="C36"/>
          <cell r="D36">
            <v>169.9</v>
          </cell>
        </row>
        <row r="37">
          <cell r="A37" t="str">
            <v>52062431</v>
          </cell>
          <cell r="B37" t="str">
            <v>ELEMENTO FILTRANTE</v>
          </cell>
          <cell r="C37"/>
          <cell r="D37">
            <v>89.9</v>
          </cell>
        </row>
        <row r="38">
          <cell r="A38" t="str">
            <v>7087808</v>
          </cell>
          <cell r="B38" t="str">
            <v>FILTRO OLEO + ORING.                   .</v>
          </cell>
          <cell r="C38"/>
          <cell r="D38">
            <v>42.9</v>
          </cell>
        </row>
        <row r="39">
          <cell r="A39" t="str">
            <v>55271951</v>
          </cell>
          <cell r="B39" t="str">
            <v>CORREIA POLY V ALTERNADOR/ARV L=1184MM</v>
          </cell>
          <cell r="C39"/>
          <cell r="D39">
            <v>175.9</v>
          </cell>
        </row>
        <row r="40">
          <cell r="A40" t="str">
            <v>51857956</v>
          </cell>
          <cell r="B40" t="str">
            <v>ELEMENTO FILTRO AR</v>
          </cell>
          <cell r="C40"/>
          <cell r="D40">
            <v>90.75</v>
          </cell>
        </row>
        <row r="41">
          <cell r="A41" t="str">
            <v>52046268</v>
          </cell>
          <cell r="B41" t="str">
            <v>ELEMENTO FILTRANTE</v>
          </cell>
          <cell r="C41"/>
          <cell r="D41">
            <v>89.9</v>
          </cell>
        </row>
        <row r="42">
          <cell r="A42" t="str">
            <v>77365902</v>
          </cell>
          <cell r="B42" t="str">
            <v>ELEMENTO FILTRANTE FILTRO DO COMBUSTIVEL</v>
          </cell>
          <cell r="C42"/>
          <cell r="D42">
            <v>234.01</v>
          </cell>
        </row>
        <row r="43">
          <cell r="A43" t="str">
            <v>7082141</v>
          </cell>
          <cell r="B43" t="str">
            <v>ELEMENTO FILTRO AR</v>
          </cell>
          <cell r="C43"/>
          <cell r="D43">
            <v>45.9</v>
          </cell>
        </row>
        <row r="44">
          <cell r="A44" t="str">
            <v>51854598</v>
          </cell>
          <cell r="B44" t="str">
            <v>ELEMENTO FILTRANTE DO AR</v>
          </cell>
          <cell r="C44"/>
          <cell r="D44">
            <v>86.9</v>
          </cell>
        </row>
        <row r="45">
          <cell r="A45" t="str">
            <v>46420988</v>
          </cell>
          <cell r="B45" t="str">
            <v>ELEMENTO FILTRO AR</v>
          </cell>
          <cell r="C45"/>
          <cell r="D45">
            <v>45.9</v>
          </cell>
        </row>
        <row r="46">
          <cell r="A46" t="str">
            <v>50048146</v>
          </cell>
          <cell r="B46" t="str">
            <v>CORREIA</v>
          </cell>
          <cell r="C46"/>
          <cell r="D46">
            <v>302.22000000000003</v>
          </cell>
        </row>
        <row r="47">
          <cell r="A47" t="str">
            <v>55226520</v>
          </cell>
          <cell r="B47" t="str">
            <v>VELA IGNICAO ZKR8B-10 (7101060)</v>
          </cell>
          <cell r="C47"/>
          <cell r="D47">
            <v>42.9</v>
          </cell>
        </row>
        <row r="48">
          <cell r="A48" t="str">
            <v>55258482</v>
          </cell>
          <cell r="B48" t="str">
            <v>CORREIA DENTADA-DAYCO C/GRAXA BALDOTOX</v>
          </cell>
          <cell r="C48"/>
          <cell r="D48">
            <v>110.87</v>
          </cell>
        </row>
        <row r="49">
          <cell r="A49" t="str">
            <v>46751179</v>
          </cell>
          <cell r="B49" t="str">
            <v>FILTRO OLEO - SOGEFI</v>
          </cell>
          <cell r="C49"/>
          <cell r="D49">
            <v>71.2</v>
          </cell>
        </row>
        <row r="50">
          <cell r="A50" t="str">
            <v>50055447</v>
          </cell>
          <cell r="B50" t="str">
            <v>FILTRO OLEO MOTOR</v>
          </cell>
          <cell r="C50"/>
          <cell r="D50">
            <v>102.7</v>
          </cell>
        </row>
        <row r="51">
          <cell r="A51" t="str">
            <v>K04892339AB</v>
          </cell>
          <cell r="B51" t="str">
            <v>FILTRO DE OLEO DO MOTOR</v>
          </cell>
          <cell r="C51"/>
          <cell r="D51">
            <v>0</v>
          </cell>
        </row>
        <row r="52">
          <cell r="A52" t="str">
            <v>50057786</v>
          </cell>
          <cell r="B52" t="str">
            <v>FILTRO OLEO MOTOR</v>
          </cell>
          <cell r="C52"/>
          <cell r="D52">
            <v>102.7</v>
          </cell>
        </row>
        <row r="53">
          <cell r="A53" t="str">
            <v>55244798</v>
          </cell>
          <cell r="B53" t="str">
            <v>CORREIA COMPRESSOR/ARV L1387MM K6 DAYCO</v>
          </cell>
          <cell r="C53"/>
          <cell r="D53">
            <v>219.9</v>
          </cell>
        </row>
        <row r="54">
          <cell r="A54" t="str">
            <v>55267121</v>
          </cell>
          <cell r="B54" t="str">
            <v>VELA IGNICAO NGK KR8B-10D</v>
          </cell>
          <cell r="C54"/>
          <cell r="D54">
            <v>52.9</v>
          </cell>
        </row>
        <row r="55">
          <cell r="A55" t="str">
            <v>46480362</v>
          </cell>
          <cell r="B55" t="str">
            <v>VELA IGNICAO BKR6E (13509)</v>
          </cell>
          <cell r="C55"/>
          <cell r="D55">
            <v>24.15</v>
          </cell>
        </row>
        <row r="56">
          <cell r="A56" t="str">
            <v>51977574</v>
          </cell>
          <cell r="B56" t="str">
            <v>ELEMENTO FILTRANTE</v>
          </cell>
          <cell r="C56"/>
          <cell r="D56">
            <v>101.54</v>
          </cell>
        </row>
        <row r="57">
          <cell r="A57" t="str">
            <v>46744566</v>
          </cell>
          <cell r="B57" t="str">
            <v>CORREIA ARVORE MANIVELAS/BOMBA DH-HUTCHI</v>
          </cell>
          <cell r="C57"/>
          <cell r="D57">
            <v>27.9</v>
          </cell>
        </row>
        <row r="58">
          <cell r="A58" t="str">
            <v>55236185</v>
          </cell>
          <cell r="B58" t="str">
            <v xml:space="preserve">CORREIA POLY V 5K L1175 -DAYCO </v>
          </cell>
          <cell r="C58"/>
          <cell r="D58">
            <v>139.9</v>
          </cell>
        </row>
        <row r="59">
          <cell r="A59" t="str">
            <v>500388408</v>
          </cell>
          <cell r="B59" t="str">
            <v>CORREIA ALTER/BOMBA DAGUA 24,92X1076X7</v>
          </cell>
          <cell r="C59"/>
          <cell r="D59">
            <v>229.9</v>
          </cell>
        </row>
        <row r="60">
          <cell r="A60" t="str">
            <v>46337687</v>
          </cell>
          <cell r="B60" t="str">
            <v>CORREIA DENTADA-CONTINENTAL C/GRAXA</v>
          </cell>
          <cell r="C60"/>
          <cell r="D60">
            <v>145.9</v>
          </cell>
        </row>
        <row r="61">
          <cell r="A61" t="str">
            <v>KSP261405AB</v>
          </cell>
          <cell r="B61" t="str">
            <v>VELA IGNICAO</v>
          </cell>
          <cell r="C61"/>
          <cell r="D61">
            <v>136.9</v>
          </cell>
        </row>
        <row r="62">
          <cell r="A62" t="str">
            <v>K68191349AC</v>
          </cell>
          <cell r="B62" t="str">
            <v>KIT FILTRO OLEO  FILTRO GUARNICAO</v>
          </cell>
          <cell r="C62"/>
          <cell r="D62">
            <v>199.09</v>
          </cell>
        </row>
        <row r="63">
          <cell r="A63" t="str">
            <v>K68535613AA</v>
          </cell>
          <cell r="B63" t="str">
            <v>ELEMENTO FILTRANTE DE AR CABINE</v>
          </cell>
          <cell r="C63"/>
          <cell r="D63">
            <v>169.9</v>
          </cell>
        </row>
        <row r="64">
          <cell r="A64" t="str">
            <v>K68257791AB</v>
          </cell>
          <cell r="B64" t="str">
            <v>FILTRO DE AR</v>
          </cell>
          <cell r="C64"/>
          <cell r="D64">
            <v>219.9</v>
          </cell>
        </row>
        <row r="65">
          <cell r="A65" t="str">
            <v>K1AML00006A</v>
          </cell>
          <cell r="B65" t="str">
            <v xml:space="preserve">FILTRO OLEO DO MOTOR </v>
          </cell>
          <cell r="C65"/>
          <cell r="D65">
            <v>219.04</v>
          </cell>
        </row>
        <row r="66">
          <cell r="A66" t="str">
            <v>K68535621AA</v>
          </cell>
          <cell r="B66" t="str">
            <v>ELEMENTO FILTRANTE DE AR DA CABINE</v>
          </cell>
          <cell r="C66"/>
          <cell r="D66">
            <v>513.61</v>
          </cell>
        </row>
        <row r="67">
          <cell r="A67" t="str">
            <v>K68257030AA</v>
          </cell>
          <cell r="B67" t="str">
            <v>FILTRO DE AR DO MOTOR</v>
          </cell>
          <cell r="C67"/>
          <cell r="D67">
            <v>593.72</v>
          </cell>
        </row>
        <row r="68">
          <cell r="A68" t="str">
            <v>K68535619AA</v>
          </cell>
          <cell r="B68" t="str">
            <v>FILTRO DE A/C</v>
          </cell>
          <cell r="C68"/>
          <cell r="D68">
            <v>474.59</v>
          </cell>
        </row>
        <row r="69">
          <cell r="A69" t="str">
            <v>K52022378AB</v>
          </cell>
          <cell r="B69" t="str">
            <v>FILTRO DE AR DO MOTOR</v>
          </cell>
          <cell r="C69"/>
          <cell r="D69">
            <v>349.9</v>
          </cell>
        </row>
        <row r="70">
          <cell r="A70" t="str">
            <v>K05083285AA</v>
          </cell>
          <cell r="B70" t="str">
            <v>FILTRO DE OLEO DO MOTOR</v>
          </cell>
          <cell r="C70"/>
          <cell r="D70">
            <v>183.39</v>
          </cell>
        </row>
        <row r="71">
          <cell r="A71" t="str">
            <v>K68157291AA</v>
          </cell>
          <cell r="B71" t="str">
            <v>FILTRO DE COMBUSTIVEL</v>
          </cell>
          <cell r="C71"/>
          <cell r="D71">
            <v>793.25</v>
          </cell>
        </row>
        <row r="72">
          <cell r="A72" t="str">
            <v>K68197867AB</v>
          </cell>
          <cell r="B72" t="str">
            <v>KIT FILTRO SEPARADOR</v>
          </cell>
          <cell r="C72"/>
          <cell r="D72">
            <v>1540.98</v>
          </cell>
        </row>
        <row r="73">
          <cell r="A73" t="str">
            <v>K68517554AA</v>
          </cell>
          <cell r="B73" t="str">
            <v>ELEMENTO FILTRANTE DE AR DO MOTOR</v>
          </cell>
          <cell r="C73"/>
          <cell r="D73">
            <v>550.39</v>
          </cell>
        </row>
        <row r="74">
          <cell r="A74" t="str">
            <v>K05058693AA</v>
          </cell>
          <cell r="B74" t="str">
            <v>FILTRO DO AR CONDICIONADO</v>
          </cell>
          <cell r="C74"/>
          <cell r="D74">
            <v>245.9</v>
          </cell>
        </row>
        <row r="75">
          <cell r="A75" t="str">
            <v>K68081249AD</v>
          </cell>
          <cell r="B75" t="str">
            <v>FILTRO AR</v>
          </cell>
          <cell r="C75"/>
          <cell r="D75">
            <v>179.9</v>
          </cell>
        </row>
        <row r="76">
          <cell r="A76" t="str">
            <v>K68548579AA</v>
          </cell>
          <cell r="B76" t="str">
            <v>ELEMENTO FILTRANTE</v>
          </cell>
          <cell r="C76"/>
          <cell r="D76">
            <v>667.88</v>
          </cell>
        </row>
        <row r="77">
          <cell r="A77" t="str">
            <v>K68436631AA</v>
          </cell>
          <cell r="B77" t="str">
            <v>ELEM. FITRANTE SEPAR. COMBUSTIVEL/AGUA</v>
          </cell>
          <cell r="C77"/>
          <cell r="D77">
            <v>790.71</v>
          </cell>
        </row>
        <row r="78">
          <cell r="A78" t="str">
            <v>K68002433AC</v>
          </cell>
          <cell r="B78" t="str">
            <v>RESPIRO DO CARTER</v>
          </cell>
          <cell r="C78"/>
          <cell r="D78">
            <v>1920.3934199999999</v>
          </cell>
        </row>
        <row r="79">
          <cell r="A79" t="str">
            <v>K68606182AA</v>
          </cell>
          <cell r="B79" t="str">
            <v>FILTRO DO AR CONDICIONADO</v>
          </cell>
          <cell r="C79"/>
          <cell r="D79">
            <v>489.9</v>
          </cell>
        </row>
        <row r="80">
          <cell r="A80" t="str">
            <v>K04861756AA</v>
          </cell>
          <cell r="B80" t="str">
            <v>ELEMENTO DO FILTRO DE AR</v>
          </cell>
          <cell r="C80"/>
          <cell r="D80">
            <v>647.44000000000005</v>
          </cell>
        </row>
        <row r="81">
          <cell r="A81" t="str">
            <v>K68492616AA</v>
          </cell>
          <cell r="B81" t="str">
            <v>FILTRO DE OLEO DO MOTOR</v>
          </cell>
          <cell r="C81"/>
          <cell r="D81">
            <v>765.45</v>
          </cell>
        </row>
        <row r="82">
          <cell r="A82" t="str">
            <v>46343218</v>
          </cell>
          <cell r="B82" t="str">
            <v>FILTRO DE ?LEO</v>
          </cell>
          <cell r="C82"/>
          <cell r="D82">
            <v>765.45</v>
          </cell>
        </row>
        <row r="83">
          <cell r="A83" t="str">
            <v>K68260792AB</v>
          </cell>
          <cell r="B83" t="str">
            <v>FILTRO DE AR DA CABINE</v>
          </cell>
          <cell r="C83"/>
          <cell r="D83">
            <v>597.23</v>
          </cell>
        </row>
        <row r="84">
          <cell r="A84" t="str">
            <v>K04861688AB</v>
          </cell>
          <cell r="B84" t="str">
            <v>FILTRO DE AR DO MOTOR DE IGNICAO</v>
          </cell>
          <cell r="C84"/>
          <cell r="D84">
            <v>409.45</v>
          </cell>
        </row>
        <row r="85">
          <cell r="A85" t="str">
            <v>K04726067AA</v>
          </cell>
          <cell r="B85" t="str">
            <v>FILTRO SEPARADOR DE COMBUSTIVEL</v>
          </cell>
          <cell r="C85"/>
          <cell r="D85">
            <v>529.6</v>
          </cell>
        </row>
        <row r="86">
          <cell r="A86" t="str">
            <v>K68071668AA</v>
          </cell>
          <cell r="B86" t="str">
            <v>FILTRO AR CABINE</v>
          </cell>
          <cell r="C86"/>
          <cell r="D86">
            <v>189.9</v>
          </cell>
        </row>
        <row r="87">
          <cell r="A87" t="str">
            <v>K04861746AB</v>
          </cell>
          <cell r="B87" t="str">
            <v>ELEMENTO FILTRO AR</v>
          </cell>
          <cell r="C87"/>
          <cell r="D87">
            <v>637.95000000000005</v>
          </cell>
        </row>
        <row r="88">
          <cell r="A88" t="str">
            <v>K68127809AA</v>
          </cell>
          <cell r="B88" t="str">
            <v>FILTRO DO AR CONDICIONADO</v>
          </cell>
          <cell r="C88"/>
          <cell r="D88">
            <v>272.38</v>
          </cell>
        </row>
        <row r="89">
          <cell r="A89" t="str">
            <v>K68127809AB</v>
          </cell>
          <cell r="B89" t="str">
            <v>FILTRO DO AR CONDICIONADO</v>
          </cell>
          <cell r="C89"/>
          <cell r="D89">
            <v>272.38</v>
          </cell>
        </row>
        <row r="90">
          <cell r="A90" t="str">
            <v>K04861737AB</v>
          </cell>
          <cell r="B90" t="str">
            <v>FILTRO DE AR</v>
          </cell>
          <cell r="C90"/>
          <cell r="D90">
            <v>604.79999999999995</v>
          </cell>
        </row>
        <row r="91">
          <cell r="A91" t="str">
            <v>K68386779AA</v>
          </cell>
          <cell r="B91" t="str">
            <v>PURIFICADOR DE AR</v>
          </cell>
          <cell r="C91"/>
          <cell r="D91">
            <v>405.9</v>
          </cell>
        </row>
        <row r="92">
          <cell r="A92" t="str">
            <v>46348274</v>
          </cell>
          <cell r="B92" t="str">
            <v>CORREIA DE TRANSMISSAO</v>
          </cell>
          <cell r="C92"/>
          <cell r="D92">
            <v>0</v>
          </cell>
        </row>
        <row r="93">
          <cell r="A93" t="str">
            <v>50051491</v>
          </cell>
          <cell r="B93" t="str">
            <v>VELA DE IGNICAO</v>
          </cell>
          <cell r="C93"/>
          <cell r="D93">
            <v>252.11</v>
          </cell>
        </row>
        <row r="94">
          <cell r="A94" t="str">
            <v>71775823</v>
          </cell>
          <cell r="B94" t="str">
            <v>FILTRO DO AR CONDICIONADO CARVOES ATIVOS</v>
          </cell>
          <cell r="C94"/>
          <cell r="D94">
            <v>154.6</v>
          </cell>
        </row>
        <row r="95">
          <cell r="A95" t="str">
            <v>KSP143877AB</v>
          </cell>
          <cell r="B95" t="str">
            <v>VELA DE IGNICAO</v>
          </cell>
          <cell r="C95"/>
          <cell r="D95">
            <v>299.89999999999998</v>
          </cell>
        </row>
        <row r="96">
          <cell r="A96" t="str">
            <v>46350119</v>
          </cell>
          <cell r="B96" t="str">
            <v>ANEL O RING</v>
          </cell>
          <cell r="C96"/>
          <cell r="D96">
            <v>87.928979999999996</v>
          </cell>
        </row>
        <row r="97">
          <cell r="A97" t="str">
            <v>46347605</v>
          </cell>
          <cell r="B97" t="str">
            <v xml:space="preserve">FILTRO DE OLEO CC1.3 TURBO </v>
          </cell>
          <cell r="C97"/>
          <cell r="D97">
            <v>112.46</v>
          </cell>
        </row>
        <row r="98">
          <cell r="A98" t="str">
            <v>53489525</v>
          </cell>
          <cell r="B98" t="str">
            <v>FILTRO COMBUSTIVEL MOTOR 1.3CC TUR CMBGA</v>
          </cell>
          <cell r="C98"/>
          <cell r="D98">
            <v>35.9</v>
          </cell>
        </row>
        <row r="99">
          <cell r="A99" t="str">
            <v>52080841</v>
          </cell>
          <cell r="B99" t="str">
            <v xml:space="preserve">ELEMENTO FILTRANTE </v>
          </cell>
          <cell r="C99"/>
          <cell r="D99">
            <v>114.17</v>
          </cell>
        </row>
        <row r="100">
          <cell r="A100" t="str">
            <v>52079874</v>
          </cell>
          <cell r="B100" t="str">
            <v xml:space="preserve">ELEMENTO FILTRANTE </v>
          </cell>
          <cell r="C100"/>
          <cell r="D100">
            <v>180.21</v>
          </cell>
        </row>
        <row r="101">
          <cell r="A101" t="str">
            <v>46336161</v>
          </cell>
          <cell r="B101" t="str">
            <v>VELA IGNICAO</v>
          </cell>
          <cell r="C101"/>
          <cell r="D101">
            <v>169.9</v>
          </cell>
        </row>
        <row r="102">
          <cell r="A102" t="str">
            <v>46348571</v>
          </cell>
          <cell r="B102" t="str">
            <v>CORREIA ALTERNADOR/COMPRESSOR</v>
          </cell>
          <cell r="C102"/>
          <cell r="D102">
            <v>88.64</v>
          </cell>
        </row>
        <row r="103">
          <cell r="A103" t="str">
            <v>K68565698AA</v>
          </cell>
          <cell r="B103" t="str">
            <v>ELEMENTO FILTRANTE AR CONDICIONADO</v>
          </cell>
          <cell r="C103"/>
          <cell r="D103">
            <v>521</v>
          </cell>
        </row>
        <row r="104">
          <cell r="A104" t="str">
            <v>KSP225755AB</v>
          </cell>
          <cell r="B104" t="str">
            <v>VELA IGNICAO</v>
          </cell>
          <cell r="C104"/>
          <cell r="D104">
            <v>389.12</v>
          </cell>
        </row>
        <row r="105">
          <cell r="A105" t="str">
            <v>46337528</v>
          </cell>
          <cell r="B105" t="str">
            <v>FILTRO DE OLEO</v>
          </cell>
          <cell r="C105"/>
          <cell r="D105">
            <v>80.900000000000006</v>
          </cell>
        </row>
        <row r="106">
          <cell r="A106" t="str">
            <v>155253938</v>
          </cell>
          <cell r="B106" t="str">
            <v>TENSOR DA CORREIA DENTADA</v>
          </cell>
          <cell r="C106"/>
          <cell r="D106">
            <v>381.11</v>
          </cell>
        </row>
        <row r="107">
          <cell r="A107" t="str">
            <v>155254522</v>
          </cell>
          <cell r="B107" t="str">
            <v>BOMBA DE AGUA DO MOTOR</v>
          </cell>
          <cell r="C107"/>
          <cell r="D107">
            <v>1645.2396000000001</v>
          </cell>
        </row>
        <row r="108">
          <cell r="A108" t="str">
            <v>9813908180</v>
          </cell>
          <cell r="B108" t="str">
            <v>CORREIA</v>
          </cell>
          <cell r="C108"/>
          <cell r="D108">
            <v>205.93</v>
          </cell>
        </row>
        <row r="109">
          <cell r="A109" t="str">
            <v>155253564</v>
          </cell>
          <cell r="B109" t="str">
            <v>TENSOR CORREIA AUX</v>
          </cell>
          <cell r="C109"/>
          <cell r="D109">
            <v>690</v>
          </cell>
        </row>
        <row r="110">
          <cell r="A110" t="str">
            <v>46344793</v>
          </cell>
          <cell r="B110" t="str">
            <v>VELA DE IGNICAO</v>
          </cell>
          <cell r="C110"/>
          <cell r="D110">
            <v>259.89999999999998</v>
          </cell>
        </row>
        <row r="111">
          <cell r="A111" t="str">
            <v>77369203</v>
          </cell>
          <cell r="B111" t="str">
            <v>ELEMENTO FILTRANTE AR CONDICIONADO</v>
          </cell>
          <cell r="C111"/>
          <cell r="D111">
            <v>185</v>
          </cell>
        </row>
        <row r="112">
          <cell r="A112" t="str">
            <v>46345198</v>
          </cell>
          <cell r="B112" t="str">
            <v>CORREIA DE BORRACHA</v>
          </cell>
          <cell r="C112"/>
          <cell r="D112">
            <v>607.79999999999995</v>
          </cell>
        </row>
        <row r="113">
          <cell r="A113" t="str">
            <v>9467642480</v>
          </cell>
          <cell r="B113" t="str">
            <v>CORREIA DE BORRACHA</v>
          </cell>
          <cell r="C113"/>
          <cell r="D113">
            <v>581.33000000000004</v>
          </cell>
        </row>
        <row r="114">
          <cell r="A114" t="str">
            <v>6000633316</v>
          </cell>
          <cell r="B114" t="str">
            <v>FILTRO DE AR CONDICIONADO</v>
          </cell>
          <cell r="C114"/>
          <cell r="D114">
            <v>80.900000000000006</v>
          </cell>
        </row>
        <row r="115">
          <cell r="A115" t="str">
            <v>155258297</v>
          </cell>
          <cell r="B115" t="str">
            <v>BOMBA DE AGUA DO MOTOR</v>
          </cell>
          <cell r="C115"/>
          <cell r="D115">
            <v>0</v>
          </cell>
        </row>
        <row r="116">
          <cell r="A116" t="str">
            <v>7094559</v>
          </cell>
          <cell r="B116" t="str">
            <v>ELEMENTO FILTRANTE</v>
          </cell>
          <cell r="C116"/>
          <cell r="D116">
            <v>279.89999999999998</v>
          </cell>
        </row>
        <row r="117">
          <cell r="A117" t="str">
            <v>9809996880</v>
          </cell>
          <cell r="B117" t="str">
            <v>CORREIA</v>
          </cell>
          <cell r="C117"/>
          <cell r="D117">
            <v>285.89999999999998</v>
          </cell>
        </row>
        <row r="118">
          <cell r="A118" t="str">
            <v>155253402</v>
          </cell>
          <cell r="B118" t="str">
            <v>TENSOR DE CORREIA</v>
          </cell>
          <cell r="C118"/>
          <cell r="D118">
            <v>583.49</v>
          </cell>
        </row>
        <row r="119">
          <cell r="A119" t="str">
            <v>53485830</v>
          </cell>
          <cell r="B119" t="str">
            <v>ELEMENTO FILTRANTE</v>
          </cell>
          <cell r="C119"/>
          <cell r="D119">
            <v>299.89999999999998</v>
          </cell>
        </row>
        <row r="120">
          <cell r="A120" t="str">
            <v>K68089195AA</v>
          </cell>
          <cell r="B120" t="str">
            <v>OLEO LUBRIFICANTE</v>
          </cell>
          <cell r="C120"/>
          <cell r="D120">
            <v>330.63</v>
          </cell>
        </row>
        <row r="121">
          <cell r="A121" t="str">
            <v>K04892339BE</v>
          </cell>
          <cell r="B121" t="str">
            <v xml:space="preserve">Elemento Filtrante do Filtro Óleo  </v>
          </cell>
          <cell r="C121"/>
          <cell r="D121">
            <v>102.7</v>
          </cell>
        </row>
        <row r="122">
          <cell r="A122" t="str">
            <v>K68608193AA</v>
          </cell>
          <cell r="B122" t="str">
            <v>Filtro Ar Condicionado</v>
          </cell>
          <cell r="C122"/>
          <cell r="D122">
            <v>816.4</v>
          </cell>
        </row>
        <row r="123">
          <cell r="A123" t="str">
            <v>K68357605AA</v>
          </cell>
          <cell r="B123" t="str">
            <v>Elemento Filtrante do Ar</v>
          </cell>
          <cell r="C123"/>
          <cell r="D123">
            <v>741.49950000000013</v>
          </cell>
        </row>
        <row r="124">
          <cell r="A124" t="str">
            <v>K68292346AA</v>
          </cell>
          <cell r="B124" t="str">
            <v>Vela de Ignição</v>
          </cell>
          <cell r="C124"/>
          <cell r="D124">
            <v>252.11</v>
          </cell>
        </row>
        <row r="125">
          <cell r="A125" t="str">
            <v>50049079</v>
          </cell>
          <cell r="B125" t="str">
            <v>CORREIA DE BORRACHA DE TRANSMISSAO</v>
          </cell>
          <cell r="C125"/>
          <cell r="D125">
            <v>411.1</v>
          </cell>
        </row>
        <row r="126">
          <cell r="A126" t="str">
            <v>53490623</v>
          </cell>
          <cell r="B126" t="str">
            <v>FILTRO COMBUSTIVEL BENZINA</v>
          </cell>
          <cell r="C126"/>
          <cell r="D126">
            <v>64.39</v>
          </cell>
        </row>
        <row r="127">
          <cell r="A127" t="str">
            <v>155255800</v>
          </cell>
          <cell r="B127" t="str">
            <v>Filtro de Combustível</v>
          </cell>
          <cell r="C127"/>
          <cell r="D127">
            <v>337.69767676948788</v>
          </cell>
        </row>
        <row r="128">
          <cell r="A128" t="str">
            <v>155255862</v>
          </cell>
          <cell r="B128" t="str">
            <v>Filtro de Ar</v>
          </cell>
          <cell r="C128"/>
          <cell r="D128">
            <v>315.89999999999998</v>
          </cell>
        </row>
        <row r="129">
          <cell r="A129" t="str">
            <v>155253408</v>
          </cell>
          <cell r="B129" t="str">
            <v>KIT DIST+POM AC</v>
          </cell>
          <cell r="C129"/>
          <cell r="D129">
            <v>1699.9</v>
          </cell>
        </row>
        <row r="130">
          <cell r="A130" t="str">
            <v>155255880</v>
          </cell>
          <cell r="B130" t="str">
            <v>KIT ACCESSORI</v>
          </cell>
          <cell r="C130"/>
          <cell r="D130">
            <v>602.5</v>
          </cell>
        </row>
        <row r="131">
          <cell r="A131" t="str">
            <v>K68466307AB</v>
          </cell>
          <cell r="B131" t="str">
            <v>FILTRO DE OLEO DO MOTOR</v>
          </cell>
          <cell r="C131"/>
          <cell r="D131">
            <v>305.89999999999998</v>
          </cell>
        </row>
        <row r="132">
          <cell r="A132" t="str">
            <v>K68575644AB</v>
          </cell>
          <cell r="B132" t="str">
            <v>ELEMENTO FILTRANTE</v>
          </cell>
          <cell r="C132"/>
          <cell r="D132">
            <v>869.9</v>
          </cell>
        </row>
        <row r="133">
          <cell r="A133" t="str">
            <v>46356228</v>
          </cell>
          <cell r="B133" t="str">
            <v>Filtro de Óleo</v>
          </cell>
          <cell r="C133"/>
          <cell r="D133">
            <v>123</v>
          </cell>
        </row>
        <row r="134">
          <cell r="A134" t="str">
            <v>52234083</v>
          </cell>
          <cell r="B134" t="str">
            <v>Elemento Filtrante do Ar</v>
          </cell>
          <cell r="C134"/>
          <cell r="D134">
            <v>181.5</v>
          </cell>
        </row>
        <row r="135">
          <cell r="A135" t="str">
            <v>46358641</v>
          </cell>
          <cell r="B135" t="str">
            <v>Correia dos orgãos auxiliares do motor</v>
          </cell>
          <cell r="C135"/>
          <cell r="D135">
            <v>289.35000000000002</v>
          </cell>
        </row>
        <row r="136">
          <cell r="A136" t="str">
            <v>46356229</v>
          </cell>
          <cell r="B136" t="str">
            <v>Correia dentada do comando da distribuição</v>
          </cell>
          <cell r="C136"/>
          <cell r="D136">
            <v>567.54999999999995</v>
          </cell>
        </row>
        <row r="137">
          <cell r="A137" t="str">
            <v>46357445</v>
          </cell>
          <cell r="B137" t="str">
            <v>CORREIA AUXILIAR MOTOR 6PK</v>
          </cell>
          <cell r="C137"/>
          <cell r="D137">
            <v>283.39</v>
          </cell>
        </row>
        <row r="138">
          <cell r="A138" t="str">
            <v>9801366680</v>
          </cell>
          <cell r="B138" t="str">
            <v>ELEMENTO FILTRANTE DE COMBUSTIVEL</v>
          </cell>
          <cell r="C138"/>
          <cell r="D138">
            <v>202.89</v>
          </cell>
        </row>
        <row r="139">
          <cell r="A139" t="str">
            <v>46357071</v>
          </cell>
          <cell r="B139" t="str">
            <v>CORREIA TRANSMISSAO</v>
          </cell>
          <cell r="C139"/>
          <cell r="D139">
            <v>289</v>
          </cell>
        </row>
        <row r="140">
          <cell r="A140" t="str">
            <v>9853098280</v>
          </cell>
          <cell r="B140" t="str">
            <v>ELEMENTO FILTRO DE AR</v>
          </cell>
          <cell r="C140"/>
          <cell r="D140">
            <v>175.9</v>
          </cell>
        </row>
        <row r="141">
          <cell r="A141" t="str">
            <v>1699580280</v>
          </cell>
          <cell r="B141" t="str">
            <v>ELEMENTO FILTRANTE</v>
          </cell>
          <cell r="C141"/>
          <cell r="D141">
            <v>212.95</v>
          </cell>
        </row>
        <row r="142">
          <cell r="A142" t="str">
            <v>52233685</v>
          </cell>
          <cell r="B142" t="str">
            <v>FILTRO AR</v>
          </cell>
          <cell r="C142"/>
          <cell r="D142">
            <v>1206.3</v>
          </cell>
        </row>
        <row r="143">
          <cell r="A143" t="str">
            <v>52222118</v>
          </cell>
          <cell r="B143" t="str">
            <v>Elemento do filtro de aspirção de ar do motor</v>
          </cell>
          <cell r="C143"/>
          <cell r="D143">
            <v>675.9</v>
          </cell>
        </row>
        <row r="144">
          <cell r="A144" t="str">
            <v>7099618</v>
          </cell>
          <cell r="B144" t="str">
            <v>FILTRO VAPOR COMBUSTIVEL</v>
          </cell>
          <cell r="C144"/>
          <cell r="D144">
            <v>217.923</v>
          </cell>
        </row>
        <row r="145">
          <cell r="A145" t="str">
            <v>6002680378</v>
          </cell>
          <cell r="B145" t="str">
            <v>ELEMENTO DO FILTRO DO A/C</v>
          </cell>
          <cell r="C145"/>
          <cell r="D145">
            <v>155</v>
          </cell>
        </row>
        <row r="146">
          <cell r="A146" t="str">
            <v>6002684193</v>
          </cell>
          <cell r="B146" t="str">
            <v>FILTRO DE ÓLEO</v>
          </cell>
          <cell r="C146"/>
          <cell r="D146">
            <v>149.9</v>
          </cell>
        </row>
        <row r="147">
          <cell r="A147" t="str">
            <v>6002684354</v>
          </cell>
          <cell r="B147" t="str">
            <v>ELEMENTO FILTRO DO AR</v>
          </cell>
          <cell r="C147"/>
          <cell r="D147">
            <v>165.9</v>
          </cell>
        </row>
        <row r="148">
          <cell r="A148" t="str">
            <v>6002684318</v>
          </cell>
          <cell r="B148" t="str">
            <v>VELA DE IGNIÇÃO</v>
          </cell>
          <cell r="C148"/>
          <cell r="D148">
            <v>279.89999999999998</v>
          </cell>
        </row>
        <row r="149">
          <cell r="A149" t="str">
            <v>6002684412</v>
          </cell>
          <cell r="B149" t="str">
            <v>MANGUEIRA DE BORRACHA</v>
          </cell>
          <cell r="C149"/>
          <cell r="D149">
            <v>209.80799999999999</v>
          </cell>
        </row>
        <row r="150">
          <cell r="A150" t="str">
            <v>9868511280</v>
          </cell>
          <cell r="B150" t="str">
            <v>FILTRO DE COMBUSTIVEL</v>
          </cell>
          <cell r="C150"/>
          <cell r="D150">
            <v>0</v>
          </cell>
        </row>
        <row r="151">
          <cell r="A151" t="str">
            <v>50167285</v>
          </cell>
          <cell r="B151" t="str">
            <v>FILTRO VAPOR COMBUSTIVEL</v>
          </cell>
          <cell r="C151"/>
          <cell r="D151">
            <v>1076.9042400000001</v>
          </cell>
        </row>
        <row r="152">
          <cell r="A152" t="str">
            <v>50058444</v>
          </cell>
          <cell r="B152" t="str">
            <v>VELA IGNICAO IRIDIUM</v>
          </cell>
          <cell r="C152"/>
          <cell r="D152">
            <v>240.1</v>
          </cell>
        </row>
        <row r="153">
          <cell r="A153" t="str">
            <v>52033266</v>
          </cell>
          <cell r="B153" t="str">
            <v>FILTRO COMBUSTIVEL</v>
          </cell>
          <cell r="C153"/>
          <cell r="D153">
            <v>1836.07</v>
          </cell>
        </row>
        <row r="154">
          <cell r="A154" t="str">
            <v>46349670</v>
          </cell>
          <cell r="B154" t="str">
            <v xml:space="preserve"> CORREIA POLY-V ALTERNADOR/COMPRESSOR</v>
          </cell>
          <cell r="C154"/>
          <cell r="D154">
            <v>180.85</v>
          </cell>
        </row>
        <row r="155">
          <cell r="A155" t="str">
            <v>7097655</v>
          </cell>
          <cell r="B155" t="str">
            <v>Filtro de ar limpo do canister</v>
          </cell>
          <cell r="C155"/>
          <cell r="D155">
            <v>181.86600000000001</v>
          </cell>
        </row>
        <row r="156">
          <cell r="A156" t="str">
            <v>K68677800AA</v>
          </cell>
          <cell r="B156" t="str">
            <v>Kit elemento do filtro de combustível</v>
          </cell>
          <cell r="C156"/>
          <cell r="D156">
            <v>2790</v>
          </cell>
        </row>
        <row r="157">
          <cell r="A157" t="str">
            <v>K68677810AA</v>
          </cell>
          <cell r="B157" t="str">
            <v>Filtro de Óleo do Motor</v>
          </cell>
          <cell r="C157"/>
          <cell r="D157">
            <v>635</v>
          </cell>
        </row>
        <row r="158">
          <cell r="A158" t="str">
            <v>K68645327AA</v>
          </cell>
          <cell r="B158" t="str">
            <v>Filtro de Ar do Motor</v>
          </cell>
          <cell r="C158"/>
          <cell r="D158">
            <v>439.04</v>
          </cell>
        </row>
        <row r="159">
          <cell r="A159" t="str">
            <v>2850000369</v>
          </cell>
          <cell r="B159" t="str">
            <v>REMOVEDOR CARBONO ISO TECH 1L</v>
          </cell>
          <cell r="C159"/>
          <cell r="D159">
            <v>0</v>
          </cell>
        </row>
        <row r="160">
          <cell r="A160" t="str">
            <v>9878309480</v>
          </cell>
          <cell r="B160" t="str">
            <v>Elemento do filtro de Combustível</v>
          </cell>
          <cell r="C160"/>
          <cell r="D160">
            <v>519.9</v>
          </cell>
        </row>
        <row r="161">
          <cell r="A161" t="str">
            <v>2850000479</v>
          </cell>
          <cell r="B161" t="str">
            <v>ISOTECH 012 LIMPA INJETORES GDI</v>
          </cell>
          <cell r="C161"/>
          <cell r="D161">
            <v>124.45</v>
          </cell>
        </row>
        <row r="162">
          <cell r="A162" t="str">
            <v>K68079487AB</v>
          </cell>
          <cell r="B162" t="str">
            <v>FILTRO DO AR</v>
          </cell>
          <cell r="C162"/>
          <cell r="D162">
            <v>489.9</v>
          </cell>
        </row>
        <row r="163">
          <cell r="A163"/>
          <cell r="B163"/>
          <cell r="C163"/>
          <cell r="D163">
            <v>0</v>
          </cell>
        </row>
        <row r="164">
          <cell r="A164" t="str">
            <v>2852960097</v>
          </cell>
          <cell r="B164" t="str">
            <v>Líquido de Arrefecimento - OAT -25°C</v>
          </cell>
          <cell r="C164"/>
          <cell r="D164">
            <v>132.82749999999999</v>
          </cell>
        </row>
        <row r="165">
          <cell r="A165" t="str">
            <v>7098151</v>
          </cell>
          <cell r="B165" t="str">
            <v>Óleo do Redutor - Idemitsu Lube LP-EDF-01 (OM)</v>
          </cell>
          <cell r="C165"/>
          <cell r="D165">
            <v>276.50722000000002</v>
          </cell>
        </row>
        <row r="166">
          <cell r="A166" t="str">
            <v>2852960050</v>
          </cell>
          <cell r="B166" t="str">
            <v>Fluído de Freio DOT 4</v>
          </cell>
          <cell r="C166"/>
          <cell r="D166">
            <v>12.03</v>
          </cell>
        </row>
        <row r="167">
          <cell r="A167" t="str">
            <v>6002680761</v>
          </cell>
          <cell r="B167" t="str">
            <v>FILTRO DE OLEO DO REDUTOR</v>
          </cell>
          <cell r="C167"/>
          <cell r="D167">
            <v>79</v>
          </cell>
        </row>
        <row r="168">
          <cell r="A168" t="str">
            <v>155255303</v>
          </cell>
          <cell r="B168" t="str">
            <v>FLUIDO DE FREIO (0,5L)</v>
          </cell>
          <cell r="C168"/>
          <cell r="D168">
            <v>32.700000000000003</v>
          </cell>
        </row>
        <row r="169">
          <cell r="A169" t="str">
            <v>155255304</v>
          </cell>
          <cell r="B169" t="str">
            <v>FLUIDO DE FREIO (5,0L)</v>
          </cell>
          <cell r="C169"/>
          <cell r="D169">
            <v>116.05799999999999</v>
          </cell>
        </row>
        <row r="170">
          <cell r="A170" t="str">
            <v>7096425</v>
          </cell>
          <cell r="B170" t="str">
            <v>OLEO 80W 90 GL 5  1L</v>
          </cell>
          <cell r="C170"/>
          <cell r="D170">
            <v>103.45</v>
          </cell>
        </row>
        <row r="171">
          <cell r="A171" t="str">
            <v>7094487</v>
          </cell>
          <cell r="B171" t="str">
            <v>OLEO MOTOR  INEO HTC 5W30  1L</v>
          </cell>
          <cell r="C171"/>
          <cell r="D171">
            <v>98.47</v>
          </cell>
        </row>
        <row r="172">
          <cell r="A172" t="str">
            <v>7099873</v>
          </cell>
          <cell r="B172" t="str">
            <v>Óleo da caixa de câmbio mecânica</v>
          </cell>
          <cell r="C172"/>
          <cell r="D172">
            <v>165.76</v>
          </cell>
        </row>
        <row r="173">
          <cell r="A173" t="str">
            <v>46360326</v>
          </cell>
          <cell r="B173" t="str">
            <v>Correia dos órgão auxiliares</v>
          </cell>
          <cell r="C173"/>
          <cell r="D173">
            <v>215</v>
          </cell>
        </row>
        <row r="174">
          <cell r="A174" t="str">
            <v>7096883</v>
          </cell>
          <cell r="B174" t="str">
            <v>Filtro de ar limpo do canister</v>
          </cell>
          <cell r="C174"/>
          <cell r="D174">
            <v>203.03100000000001</v>
          </cell>
        </row>
        <row r="175">
          <cell r="A175" t="str">
            <v>9870588980</v>
          </cell>
          <cell r="B175" t="str">
            <v>Filtor de Combustível</v>
          </cell>
          <cell r="C175"/>
          <cell r="D175">
            <v>40.549999999999997</v>
          </cell>
        </row>
        <row r="176">
          <cell r="A176" t="str">
            <v>9868844680</v>
          </cell>
          <cell r="B176" t="str">
            <v>Elemento do filtro de ar do motor</v>
          </cell>
          <cell r="C176"/>
          <cell r="D176">
            <v>114.17</v>
          </cell>
        </row>
        <row r="177">
          <cell r="A177" t="str">
            <v>9865412380</v>
          </cell>
          <cell r="B177" t="str">
            <v>Filtro de ar limpo do canister</v>
          </cell>
          <cell r="C177"/>
          <cell r="D177">
            <v>61.26</v>
          </cell>
        </row>
        <row r="178">
          <cell r="A178" t="str">
            <v>6509863780</v>
          </cell>
          <cell r="B178" t="str">
            <v>FILTRO CANISTER E TUBO</v>
          </cell>
          <cell r="C178"/>
          <cell r="D178">
            <v>269.88</v>
          </cell>
        </row>
        <row r="179">
          <cell r="A179" t="str">
            <v>1699672780</v>
          </cell>
          <cell r="B179" t="str">
            <v>Correia dos órgão auxiliar</v>
          </cell>
          <cell r="C179"/>
          <cell r="D179">
            <v>218.78</v>
          </cell>
        </row>
        <row r="180">
          <cell r="A180" t="str">
            <v>46356406</v>
          </cell>
          <cell r="B180" t="str">
            <v>CORREIA POLY-V ALTERNADOR/COMPRESSOR</v>
          </cell>
          <cell r="C180"/>
          <cell r="D180">
            <v>218.78</v>
          </cell>
        </row>
        <row r="181">
          <cell r="A181" t="str">
            <v>9871117080</v>
          </cell>
          <cell r="B181" t="str">
            <v>Elemento do filtro de ar do motor</v>
          </cell>
          <cell r="C181"/>
          <cell r="D181">
            <v>89.9</v>
          </cell>
        </row>
        <row r="182">
          <cell r="A182" t="str">
            <v>9873754880</v>
          </cell>
          <cell r="B182" t="str">
            <v>Elemento do filtro de ar do motor</v>
          </cell>
          <cell r="C182"/>
          <cell r="D182">
            <v>89.9</v>
          </cell>
        </row>
        <row r="183">
          <cell r="A183" t="str">
            <v>7097628</v>
          </cell>
          <cell r="B183" t="str">
            <v>Filtro de ar limpo do canister</v>
          </cell>
          <cell r="C183"/>
          <cell r="D183">
            <v>314.82</v>
          </cell>
        </row>
        <row r="184">
          <cell r="A184" t="str">
            <v>6002685822</v>
          </cell>
          <cell r="B184" t="str">
            <v>Elemento do filtro do ar condicionado</v>
          </cell>
          <cell r="C184"/>
          <cell r="D184">
            <v>191.88</v>
          </cell>
        </row>
        <row r="185">
          <cell r="A185">
            <v>6002688428</v>
          </cell>
          <cell r="B185" t="str">
            <v>Filtro de Ar do Motor</v>
          </cell>
          <cell r="C185"/>
          <cell r="D185">
            <v>0</v>
          </cell>
        </row>
        <row r="186">
          <cell r="A186" t="str">
            <v>6002688463</v>
          </cell>
          <cell r="B186" t="str">
            <v>Elemento Filtro de Carvão Ativado</v>
          </cell>
          <cell r="C186"/>
          <cell r="D186">
            <v>0</v>
          </cell>
        </row>
        <row r="187">
          <cell r="A187" t="str">
            <v>6002688481</v>
          </cell>
          <cell r="B187" t="str">
            <v>Filtro de Combustível</v>
          </cell>
          <cell r="C187"/>
          <cell r="D187">
            <v>446</v>
          </cell>
        </row>
        <row r="188">
          <cell r="A188"/>
          <cell r="B188"/>
          <cell r="C188"/>
          <cell r="D188"/>
        </row>
        <row r="189">
          <cell r="A189"/>
          <cell r="B189"/>
          <cell r="C189"/>
          <cell r="D189"/>
        </row>
        <row r="190">
          <cell r="A190"/>
          <cell r="B190"/>
          <cell r="C190"/>
          <cell r="D190"/>
        </row>
        <row r="191">
          <cell r="A191"/>
          <cell r="B191"/>
          <cell r="C191"/>
          <cell r="D191"/>
        </row>
        <row r="192">
          <cell r="A192"/>
          <cell r="B192"/>
          <cell r="C192"/>
          <cell r="D192"/>
        </row>
        <row r="193">
          <cell r="A193"/>
          <cell r="B193"/>
          <cell r="C193"/>
          <cell r="D193"/>
        </row>
        <row r="194">
          <cell r="A194"/>
          <cell r="B194"/>
          <cell r="C194"/>
          <cell r="D194"/>
        </row>
        <row r="195">
          <cell r="A195"/>
          <cell r="B195"/>
          <cell r="C195"/>
          <cell r="D195"/>
        </row>
        <row r="196">
          <cell r="A196"/>
          <cell r="B196"/>
          <cell r="C196"/>
          <cell r="D196"/>
        </row>
        <row r="197">
          <cell r="A197"/>
          <cell r="B197"/>
          <cell r="C197"/>
          <cell r="D197"/>
        </row>
        <row r="198">
          <cell r="A198"/>
          <cell r="B198"/>
          <cell r="C198"/>
          <cell r="D198"/>
        </row>
        <row r="199">
          <cell r="A199"/>
          <cell r="B199"/>
          <cell r="C199"/>
          <cell r="D199"/>
        </row>
        <row r="200">
          <cell r="A200" t="str">
            <v>K68218941LA_J</v>
          </cell>
          <cell r="B200" t="str">
            <v>MOPAR MAXPRO DIESEL DPF 15W40 CJ4 CX3X5L</v>
          </cell>
          <cell r="C200"/>
          <cell r="D200">
            <v>101.63362713029804</v>
          </cell>
        </row>
        <row r="201">
          <cell r="A201" t="str">
            <v>K04549625LA_J</v>
          </cell>
          <cell r="B201" t="str">
            <v>MOPAR BRAKE FLUID DOT 4</v>
          </cell>
          <cell r="C201"/>
          <cell r="D201">
            <v>39.926710537072431</v>
          </cell>
        </row>
        <row r="202">
          <cell r="A202" t="str">
            <v>K04549626LA_J</v>
          </cell>
          <cell r="B202" t="str">
            <v>MOPAR BRAKE FLUID DOT 4S</v>
          </cell>
          <cell r="C202"/>
          <cell r="D202">
            <v>53.549808391520813</v>
          </cell>
        </row>
        <row r="203">
          <cell r="A203" t="str">
            <v>K04549625LA_F</v>
          </cell>
          <cell r="B203" t="str">
            <v>MOPAR BRAKE FLUID DOT 4</v>
          </cell>
          <cell r="C203"/>
          <cell r="D203">
            <v>33.622493083850472</v>
          </cell>
        </row>
        <row r="204">
          <cell r="A204" t="str">
            <v>K04549626LA_F</v>
          </cell>
          <cell r="B204" t="str">
            <v>MOPAR BRAKE FLUID DOT 4S</v>
          </cell>
          <cell r="C204"/>
          <cell r="D204">
            <v>45.09</v>
          </cell>
        </row>
        <row r="205">
          <cell r="A205" t="str">
            <v>K68218921LA_F</v>
          </cell>
          <cell r="B205" t="str">
            <v>MOPAR MAXPRO 5W30 (SN/GF-5)</v>
          </cell>
          <cell r="C205"/>
          <cell r="D205">
            <v>98.56222158238279</v>
          </cell>
        </row>
        <row r="206">
          <cell r="A206" t="str">
            <v>K68218951LA_F</v>
          </cell>
          <cell r="B206" t="str">
            <v>MOPAR MAXPRO SYNTHETIC 0W20 (SP/GF-6A)</v>
          </cell>
          <cell r="C206"/>
          <cell r="D206">
            <v>94.126931447834295</v>
          </cell>
        </row>
        <row r="207">
          <cell r="A207" t="str">
            <v>K68231015LA_F</v>
          </cell>
          <cell r="B207" t="str">
            <v>MOPAR MAXPRO DIESEL DPF C2 5W30</v>
          </cell>
          <cell r="C207"/>
          <cell r="D207">
            <v>110.2557468128982</v>
          </cell>
        </row>
        <row r="208">
          <cell r="A208" t="str">
            <v>K68231015LA_F (1)</v>
          </cell>
          <cell r="B208" t="str">
            <v>MOPAR MAXPRO DIESEL DPF C2 5W30 (NOVO DUCATO)</v>
          </cell>
          <cell r="C208"/>
          <cell r="D208">
            <v>84.89692504593161</v>
          </cell>
        </row>
        <row r="209">
          <cell r="A209" t="str">
            <v>K68444160LA_F</v>
          </cell>
          <cell r="B209" t="str">
            <v>MOPAR MAXPRO SYNTHETIC 0W30</v>
          </cell>
          <cell r="C209"/>
          <cell r="D209">
            <v>107.0915531472088</v>
          </cell>
        </row>
        <row r="210">
          <cell r="A210" t="str">
            <v>K68444160LA_J</v>
          </cell>
          <cell r="B210" t="str">
            <v>MOPAR MAXPRO SYNTHETIC 0W30</v>
          </cell>
          <cell r="C210"/>
          <cell r="D210">
            <v>101.73697548984836</v>
          </cell>
        </row>
        <row r="211">
          <cell r="A211" t="str">
            <v>K68231021LA_F</v>
          </cell>
          <cell r="B211" t="str">
            <v>HELIX ULTRA PROF AV 5W40</v>
          </cell>
          <cell r="C211"/>
          <cell r="D211">
            <v>115.80083472573328</v>
          </cell>
        </row>
        <row r="212">
          <cell r="A212" t="str">
            <v>K68218890LA_F</v>
          </cell>
          <cell r="B212" t="str">
            <v>MOPAR MAXPRO SYNTHETIC 5W20 (SP/GF-6A)</v>
          </cell>
          <cell r="C212"/>
          <cell r="D212">
            <v>113.13732354944682</v>
          </cell>
        </row>
        <row r="213">
          <cell r="A213" t="str">
            <v>K68218921LA_J</v>
          </cell>
          <cell r="B213" t="str">
            <v>MOPAR MAXPRO 5W30 (SN/GF-5)</v>
          </cell>
          <cell r="C213"/>
          <cell r="D213">
            <v>93.634110503263656</v>
          </cell>
        </row>
        <row r="214">
          <cell r="A214" t="str">
            <v>K68231015LA_J</v>
          </cell>
          <cell r="B214" t="str">
            <v>MOPAR MAXPRO DIESEL DPF C2 5W30</v>
          </cell>
          <cell r="C214"/>
          <cell r="D214">
            <v>104.74295947225332</v>
          </cell>
        </row>
        <row r="215">
          <cell r="A215" t="str">
            <v>K68218890LA_J</v>
          </cell>
          <cell r="B215" t="str">
            <v>MOPAR MAXPRO SYNTHETIC 5W20 (SP/GF-6A)</v>
          </cell>
          <cell r="C215"/>
          <cell r="D215">
            <v>107.48045737197448</v>
          </cell>
        </row>
        <row r="216">
          <cell r="A216" t="str">
            <v>K68231021LA_J</v>
          </cell>
          <cell r="B216" t="str">
            <v>HELIX ULTRA PROF AV 5W40</v>
          </cell>
          <cell r="C216"/>
          <cell r="D216">
            <v>110.01079298944663</v>
          </cell>
        </row>
        <row r="217">
          <cell r="A217" t="str">
            <v>K68320416LB_J</v>
          </cell>
          <cell r="B217" t="str">
            <v>MOPAR MAXPRO SYNTHETIC 5W30 (SP/GF-6A)</v>
          </cell>
          <cell r="C217"/>
          <cell r="D217">
            <v>101.70061932652617</v>
          </cell>
        </row>
        <row r="218">
          <cell r="A218" t="str">
            <v>K68218951LA_J</v>
          </cell>
          <cell r="B218" t="str">
            <v>MOPAR MAXPRO SYNTHETIC 0W20 (SP/GF-6A)</v>
          </cell>
          <cell r="C218"/>
          <cell r="D218">
            <v>89.420584875442586</v>
          </cell>
        </row>
        <row r="219">
          <cell r="A219" t="str">
            <v>7092751</v>
          </cell>
          <cell r="B219" t="str">
            <v>Rimula R5 LE 10W40 CK-4</v>
          </cell>
          <cell r="C219"/>
          <cell r="D219">
            <v>113.42445371304279</v>
          </cell>
        </row>
        <row r="220">
          <cell r="A220" t="str">
            <v>7093293_F</v>
          </cell>
          <cell r="B220" t="str">
            <v>FLUIDO DE FREIO 500 BEV</v>
          </cell>
          <cell r="C220"/>
          <cell r="D220">
            <v>61.791375360000004</v>
          </cell>
        </row>
        <row r="221">
          <cell r="A221" t="str">
            <v>7093293_J</v>
          </cell>
          <cell r="B221" t="str">
            <v>FLUIDO DE FREIO COMPASS PHEV</v>
          </cell>
          <cell r="C221"/>
          <cell r="D221">
            <v>67.841400000000007</v>
          </cell>
        </row>
        <row r="222">
          <cell r="A222" t="str">
            <v>7094488</v>
          </cell>
          <cell r="B222" t="str">
            <v>Liquido de Arrefecimento Diluido -35° (DFS)</v>
          </cell>
          <cell r="C222"/>
          <cell r="D222">
            <v>61.98</v>
          </cell>
        </row>
        <row r="223">
          <cell r="A223" t="str">
            <v>7096432</v>
          </cell>
          <cell r="B223" t="str">
            <v>SPIRAX S6 ATF X 6x1L</v>
          </cell>
          <cell r="C223"/>
          <cell r="D223">
            <v>108.90736101994595</v>
          </cell>
        </row>
        <row r="224">
          <cell r="A224" t="str">
            <v>7096430</v>
          </cell>
          <cell r="B224" t="str">
            <v>SPIRAX S3 ATF MD3 CX 6 X 1L</v>
          </cell>
          <cell r="C224"/>
          <cell r="D224">
            <v>97.748169473968517</v>
          </cell>
        </row>
        <row r="225">
          <cell r="A225" t="str">
            <v>7096960</v>
          </cell>
          <cell r="B225" t="str">
            <v>Aditivo para óleo do motor - TUNAP</v>
          </cell>
          <cell r="C225"/>
          <cell r="D225">
            <v>290.49799999999999</v>
          </cell>
        </row>
        <row r="226">
          <cell r="A226" t="str">
            <v>K68218041LA_F</v>
          </cell>
          <cell r="B226" t="str">
            <v>80W 90GL-5</v>
          </cell>
          <cell r="C226"/>
          <cell r="D226">
            <v>122.51893409859807</v>
          </cell>
        </row>
        <row r="227">
          <cell r="A227" t="str">
            <v>K68218921LA_L</v>
          </cell>
          <cell r="B227" t="str">
            <v>MOPAR MAXPRO 5W30 (SN/GF-5)</v>
          </cell>
          <cell r="C227"/>
          <cell r="D227">
            <v>68.993555107667959</v>
          </cell>
        </row>
        <row r="228">
          <cell r="A228" t="str">
            <v>7098496</v>
          </cell>
          <cell r="B228" t="str">
            <v>ADITIVO DETOX DGA - SOLUBILIZANTE (180 ml)</v>
          </cell>
          <cell r="C228"/>
          <cell r="D228">
            <v>79.962999999999994</v>
          </cell>
        </row>
        <row r="229">
          <cell r="A229" t="str">
            <v>7099025</v>
          </cell>
          <cell r="B229" t="str">
            <v>ADITIVO DT300 TREATMENT (370 ml)</v>
          </cell>
          <cell r="C229"/>
          <cell r="D229">
            <v>79.468999999999994</v>
          </cell>
        </row>
        <row r="230">
          <cell r="A230" t="str">
            <v>7095576</v>
          </cell>
          <cell r="B230" t="str">
            <v>SAE 75W – API GL4 (Mopar Dual Dry Clutch Transmission Fluid)</v>
          </cell>
          <cell r="C230"/>
          <cell r="D230">
            <v>165.97812000000002</v>
          </cell>
        </row>
        <row r="231">
          <cell r="A231" t="str">
            <v>K68547228LA_F</v>
          </cell>
          <cell r="B231" t="str">
            <v>MOPAR Coolant OAT 50</v>
          </cell>
          <cell r="C231"/>
          <cell r="D231">
            <v>0</v>
          </cell>
        </row>
        <row r="232">
          <cell r="A232" t="str">
            <v>K68163849LA</v>
          </cell>
          <cell r="B232" t="str">
            <v>MOPAR Coolant OAT 50 5,0L</v>
          </cell>
          <cell r="C232"/>
          <cell r="D232">
            <v>36.591999999999999</v>
          </cell>
        </row>
        <row r="233">
          <cell r="A233" t="str">
            <v>K04549626LA</v>
          </cell>
          <cell r="B233" t="str">
            <v>MOPAR BRAKE FLUID DOT 4S</v>
          </cell>
          <cell r="C233"/>
          <cell r="D233">
            <v>53.549808391520813</v>
          </cell>
        </row>
        <row r="234">
          <cell r="A234" t="str">
            <v>K68218925LA</v>
          </cell>
          <cell r="B234" t="str">
            <v>Mopar ZF 8&amp;9 velocidades ATF automatic transmission</v>
          </cell>
          <cell r="C234"/>
          <cell r="D234">
            <v>180.86</v>
          </cell>
        </row>
        <row r="235">
          <cell r="A235" t="str">
            <v>K68444159LA_J</v>
          </cell>
          <cell r="B235" t="str">
            <v>MOPAR MAXPRO SYNTHETIC 0W30 CX 12X1L</v>
          </cell>
          <cell r="C235"/>
          <cell r="D235">
            <v>105.79247767393605</v>
          </cell>
        </row>
        <row r="236">
          <cell r="A236" t="str">
            <v>K68163849LA_J</v>
          </cell>
          <cell r="B236" t="str">
            <v>Líquido do sistema de arrefecimento do motor</v>
          </cell>
          <cell r="C236"/>
          <cell r="D236">
            <v>347.62400000000002</v>
          </cell>
        </row>
        <row r="237">
          <cell r="A237" t="str">
            <v>K68547228LA</v>
          </cell>
          <cell r="B237" t="str">
            <v xml:space="preserve">MOPAR ANTIFREEZE COOLANT OAT 50/50 </v>
          </cell>
          <cell r="C237"/>
          <cell r="D237">
            <v>66.272000000000006</v>
          </cell>
        </row>
        <row r="238">
          <cell r="A238" t="str">
            <v>K68320416LB_L</v>
          </cell>
          <cell r="B238" t="str">
            <v>MOPAR MAXPRO SYNT 5W30 SP/GF-6A</v>
          </cell>
          <cell r="C238"/>
          <cell r="D238">
            <v>74.937298451124548</v>
          </cell>
        </row>
        <row r="239">
          <cell r="A239" t="str">
            <v>K68547228LA_L</v>
          </cell>
          <cell r="B239" t="str">
            <v xml:space="preserve">MOPAR ANTIFREEZE COOLANT OAT 50/50 </v>
          </cell>
          <cell r="C239"/>
          <cell r="D239">
            <v>51.414999999999992</v>
          </cell>
        </row>
        <row r="240">
          <cell r="A240"/>
          <cell r="B240"/>
          <cell r="C240"/>
          <cell r="D240"/>
        </row>
        <row r="241">
          <cell r="A241"/>
          <cell r="B241"/>
          <cell r="C241"/>
          <cell r="D241"/>
        </row>
        <row r="242">
          <cell r="A242"/>
          <cell r="B242"/>
          <cell r="C242"/>
          <cell r="D242"/>
        </row>
        <row r="243">
          <cell r="A243"/>
          <cell r="B243"/>
          <cell r="C243"/>
          <cell r="D243"/>
        </row>
        <row r="244">
          <cell r="A244"/>
          <cell r="B244"/>
          <cell r="C244"/>
          <cell r="D244"/>
        </row>
        <row r="245">
          <cell r="A245"/>
          <cell r="B245"/>
          <cell r="C245"/>
          <cell r="D245"/>
        </row>
        <row r="247">
          <cell r="A247" t="str">
            <v>MÃO DE OBRA</v>
          </cell>
          <cell r="B247"/>
          <cell r="C247"/>
          <cell r="D247"/>
        </row>
        <row r="248">
          <cell r="A248" t="str">
            <v>MO FIAT</v>
          </cell>
          <cell r="B248" t="str">
            <v>Mão de Obra Fiat</v>
          </cell>
          <cell r="C248"/>
          <cell r="D248">
            <v>342</v>
          </cell>
        </row>
        <row r="249">
          <cell r="A249" t="str">
            <v>MO JEEP</v>
          </cell>
          <cell r="B249" t="str">
            <v>Mão de Obra Jeep</v>
          </cell>
          <cell r="C249"/>
          <cell r="D249">
            <v>342</v>
          </cell>
        </row>
        <row r="250">
          <cell r="A250" t="str">
            <v>MO IMPORTADOS</v>
          </cell>
          <cell r="B250" t="str">
            <v>Mão de Obra dos Importados + RAM</v>
          </cell>
          <cell r="C250"/>
          <cell r="D250">
            <v>434</v>
          </cell>
        </row>
        <row r="251">
          <cell r="A251" t="str">
            <v>MO_RAMPAGE</v>
          </cell>
          <cell r="B251" t="str">
            <v>Mão de Obra Rampage</v>
          </cell>
          <cell r="C251"/>
          <cell r="D251">
            <v>410</v>
          </cell>
        </row>
        <row r="252">
          <cell r="A252" t="str">
            <v>MO_LEAP</v>
          </cell>
          <cell r="B252" t="str">
            <v>Mão de Obra Rampage</v>
          </cell>
          <cell r="C252"/>
          <cell r="D252">
            <v>300</v>
          </cell>
        </row>
        <row r="254">
          <cell r="A254" t="str">
            <v>7092774</v>
          </cell>
          <cell r="B254" t="str">
            <v>OLEO MAXPRO DIESEL DPF 15W40 (CK4) 100ML</v>
          </cell>
          <cell r="C254"/>
          <cell r="D254"/>
        </row>
        <row r="255">
          <cell r="A255" t="str">
            <v>7092775</v>
          </cell>
          <cell r="B255" t="str">
            <v>OLEO RIMULA R5 LE 10W40 AP CK4 100ML</v>
          </cell>
          <cell r="C255"/>
          <cell r="D255"/>
        </row>
        <row r="256">
          <cell r="A256" t="str">
            <v>7092776</v>
          </cell>
          <cell r="B256" t="str">
            <v>OLEO MAXPRO SYNT DIESEL DPF C2 5W3 100ML</v>
          </cell>
          <cell r="C256"/>
          <cell r="D256"/>
        </row>
        <row r="257">
          <cell r="A257" t="str">
            <v>7092777</v>
          </cell>
          <cell r="B257" t="str">
            <v>OLEO MOPAR MAXPRO 5W30 (SN/GF-5) 100ML</v>
          </cell>
          <cell r="C257"/>
          <cell r="D257"/>
        </row>
        <row r="258">
          <cell r="A258" t="str">
            <v>7092778</v>
          </cell>
          <cell r="B258" t="str">
            <v>OLEO MAXPRO SYNT 0W20 (SP/GF-6A) 100ML</v>
          </cell>
          <cell r="C258"/>
          <cell r="D258"/>
        </row>
        <row r="259">
          <cell r="A259" t="str">
            <v>7092779</v>
          </cell>
          <cell r="B259" t="str">
            <v>OLEO MOPAR MAXPRO SYNT 0W30 - 100ML</v>
          </cell>
          <cell r="C259"/>
          <cell r="D259"/>
        </row>
        <row r="260">
          <cell r="A260" t="str">
            <v>7092780</v>
          </cell>
          <cell r="B260" t="str">
            <v>OLEO MAXPRO SYNT 5W20 (SP/GF-6A) - 100ML</v>
          </cell>
          <cell r="C260"/>
          <cell r="D260"/>
        </row>
        <row r="261">
          <cell r="A261" t="str">
            <v>7092801</v>
          </cell>
          <cell r="B261" t="str">
            <v xml:space="preserve">FLUIDO DE FREIO MOPAR DOT 4 - 100ML </v>
          </cell>
          <cell r="C261"/>
          <cell r="D261"/>
        </row>
        <row r="262">
          <cell r="A262" t="str">
            <v>7092802</v>
          </cell>
          <cell r="B262" t="str">
            <v>FLUIDO DE FREIO MOPAR DOT 4S - 100ML</v>
          </cell>
          <cell r="C262"/>
          <cell r="D262"/>
        </row>
        <row r="263">
          <cell r="A263" t="str">
            <v>7094394</v>
          </cell>
          <cell r="B263" t="str">
            <v>FLUIDO DE FREIO DOT 5.1 500ML</v>
          </cell>
          <cell r="C263"/>
        </row>
        <row r="275">
          <cell r="A275" t="str">
            <v>PN</v>
          </cell>
          <cell r="B275" t="str">
            <v>DESCRIÇÃO</v>
          </cell>
          <cell r="D275" t="str">
            <v>PPS</v>
          </cell>
        </row>
        <row r="276">
          <cell r="A276" t="str">
            <v>MO PEUGEOT</v>
          </cell>
          <cell r="B276" t="str">
            <v>MÃO DE OBRA NEGOCIADA PARA 208 1.0</v>
          </cell>
          <cell r="D276">
            <v>351</v>
          </cell>
        </row>
        <row r="277">
          <cell r="A277" t="str">
            <v>MO 1</v>
          </cell>
          <cell r="B277" t="str">
            <v>VALOR MÃO DE OBRA REVISÃO PADRÃO</v>
          </cell>
          <cell r="D277">
            <v>446</v>
          </cell>
        </row>
        <row r="278">
          <cell r="A278" t="str">
            <v>MO VAN</v>
          </cell>
          <cell r="B278" t="str">
            <v>EXPERT, BOXER, JUMPY E JUMPER</v>
          </cell>
          <cell r="D278">
            <v>311</v>
          </cell>
        </row>
        <row r="279">
          <cell r="A279" t="str">
            <v>MO PARTNER</v>
          </cell>
          <cell r="B279" t="str">
            <v>VALOR MÃO DE OBRA PARTNER</v>
          </cell>
          <cell r="D279">
            <v>311</v>
          </cell>
        </row>
        <row r="280">
          <cell r="A280" t="str">
            <v>MO CITROEN</v>
          </cell>
          <cell r="B280" t="str">
            <v>Lançamento de Tarifa Novo C3</v>
          </cell>
          <cell r="D280">
            <v>351</v>
          </cell>
        </row>
        <row r="281">
          <cell r="A281" t="str">
            <v>LAVAGEM 1</v>
          </cell>
          <cell r="B281" t="str">
            <v>LAVAGEM PASSEIO ou UTILITÁRIO PEQUENO</v>
          </cell>
          <cell r="D281">
            <v>39</v>
          </cell>
        </row>
        <row r="282">
          <cell r="A282" t="str">
            <v>LAVAGEM 2</v>
          </cell>
          <cell r="B282" t="str">
            <v>LAVAGEM UTILITÁRIO MÉDIO</v>
          </cell>
          <cell r="D282">
            <v>56</v>
          </cell>
        </row>
        <row r="283">
          <cell r="A283" t="str">
            <v>LAVAGEM 3</v>
          </cell>
          <cell r="B283" t="str">
            <v>LAVAGEM UTILITÁRIO GRANDE</v>
          </cell>
          <cell r="D283">
            <v>68</v>
          </cell>
        </row>
        <row r="288">
          <cell r="A288" t="str">
            <v>PN</v>
          </cell>
          <cell r="B288" t="str">
            <v>DESCRIÇÃO</v>
          </cell>
          <cell r="D288" t="str">
            <v>PPS</v>
          </cell>
        </row>
        <row r="289">
          <cell r="A289" t="str">
            <v>183135</v>
          </cell>
          <cell r="B289" t="str">
            <v>TOTAL QUARTZ INEO FIRST 0W30</v>
          </cell>
          <cell r="D289">
            <v>62.037807104000002</v>
          </cell>
        </row>
        <row r="290">
          <cell r="A290" t="str">
            <v>181909</v>
          </cell>
          <cell r="B290" t="str">
            <v>TOTAL QUARTZ 7000 10W40</v>
          </cell>
          <cell r="D290">
            <v>36.136265983999998</v>
          </cell>
        </row>
        <row r="291">
          <cell r="A291" t="str">
            <v>195373</v>
          </cell>
          <cell r="B291" t="str">
            <v>TOTAL QUARTZ INEO EC5 5W30</v>
          </cell>
          <cell r="D291">
            <v>50.276402175999998</v>
          </cell>
        </row>
        <row r="292">
          <cell r="A292" t="str">
            <v>214082</v>
          </cell>
          <cell r="B292" t="str">
            <v>TOTAL TRANSMISSION GEAR 8 - 75w80</v>
          </cell>
          <cell r="D292">
            <v>77.507143167999999</v>
          </cell>
        </row>
        <row r="293">
          <cell r="A293" t="str">
            <v>219616</v>
          </cell>
          <cell r="B293" t="str">
            <v>TOTAL QUARTZ INEO FIRST 0W30</v>
          </cell>
          <cell r="D293">
            <v>69.033999999999992</v>
          </cell>
        </row>
        <row r="294">
          <cell r="A294" t="str">
            <v>LBRW004808</v>
          </cell>
          <cell r="B294" t="str">
            <v>LIQUIDO DE ARREFECIMENTO DILUIDO AUTOMOT</v>
          </cell>
          <cell r="D294">
            <v>61.98</v>
          </cell>
        </row>
        <row r="295">
          <cell r="A295" t="str">
            <v>LBRW005912</v>
          </cell>
          <cell r="B295" t="str">
            <v>MOPAR MAXPRO 5W30 (SN/GF-5)</v>
          </cell>
          <cell r="D295">
            <v>71.040000000000006</v>
          </cell>
        </row>
        <row r="296">
          <cell r="A296" t="str">
            <v>LBRW005937</v>
          </cell>
          <cell r="B296" t="str">
            <v>MOPAR MAXPRO SYNTHETIC 0W20 (SP/GF-6A)</v>
          </cell>
          <cell r="D296">
            <v>89.96</v>
          </cell>
        </row>
        <row r="297">
          <cell r="A297" t="str">
            <v>K04549625LA_P</v>
          </cell>
          <cell r="B297" t="str">
            <v>MOPAR BRAKE FLUID DOT 4</v>
          </cell>
          <cell r="D297">
            <v>33.619999999999997</v>
          </cell>
        </row>
        <row r="298">
          <cell r="A298" t="str">
            <v>1BP30800AA</v>
          </cell>
          <cell r="B298" t="str">
            <v>E: FLUIDO FREIO DOT 4 500ML</v>
          </cell>
          <cell r="D298">
            <v>43.36</v>
          </cell>
        </row>
        <row r="299">
          <cell r="A299" t="str">
            <v>1610725580</v>
          </cell>
          <cell r="B299" t="str">
            <v>FLUÍDO DE FREIO - 0,5L</v>
          </cell>
          <cell r="D299">
            <v>75.540000000000006</v>
          </cell>
        </row>
        <row r="300">
          <cell r="A300" t="str">
            <v>1636508280</v>
          </cell>
          <cell r="B300" t="str">
            <v>FLUIDO FREIO DOT 4 500ML</v>
          </cell>
          <cell r="D300">
            <v>28.69</v>
          </cell>
        </row>
        <row r="301">
          <cell r="A301" t="str">
            <v>LBRW006013</v>
          </cell>
          <cell r="B301" t="str">
            <v>Mopar Maxpro Syntetic Diesel DPF C2 5W30</v>
          </cell>
          <cell r="D301">
            <v>82.04</v>
          </cell>
        </row>
        <row r="302">
          <cell r="A302" t="str">
            <v>K68218951LA_PSA</v>
          </cell>
          <cell r="B302" t="str">
            <v>MOPAR MAXPRO SYNTHETIC 0W20 (SP/GF-6A)</v>
          </cell>
          <cell r="D302">
            <v>65.888852013484012</v>
          </cell>
        </row>
        <row r="303">
          <cell r="A303" t="str">
            <v>K68218921LA_PSA</v>
          </cell>
          <cell r="B303" t="str">
            <v>MOPAR MAXPRO 5W30 (SN/GF-5)</v>
          </cell>
          <cell r="D303">
            <v>68.993555107667959</v>
          </cell>
        </row>
        <row r="304">
          <cell r="A304" t="str">
            <v>K68231015LA_PSA</v>
          </cell>
          <cell r="B304" t="str">
            <v>MOPAR MAXPRO DIESEL DPF C2 5W30</v>
          </cell>
          <cell r="D304">
            <v>77.179022769028762</v>
          </cell>
        </row>
        <row r="305">
          <cell r="A305" t="str">
            <v>K68444160LA_PSA</v>
          </cell>
          <cell r="B305" t="str">
            <v>MOPAR MAXPRO SYNTHETIC 0W30</v>
          </cell>
          <cell r="D305">
            <v>74.964087203046162</v>
          </cell>
        </row>
        <row r="306">
          <cell r="A306" t="str">
            <v>K68218950LA_PSA</v>
          </cell>
          <cell r="B306" t="str">
            <v>MOPAR MAXPRO SYNT 0W20 SP/GF-6A CX12X1L</v>
          </cell>
          <cell r="D306">
            <v>69.51654148789946</v>
          </cell>
        </row>
        <row r="307">
          <cell r="A307" t="str">
            <v>K68231014LA_PSA</v>
          </cell>
          <cell r="B307" t="str">
            <v>MOPAR MAXPRO DIESEL DPF 5W-30 CX 12x1L</v>
          </cell>
          <cell r="D307">
            <v>79.868406159568906</v>
          </cell>
        </row>
        <row r="310">
          <cell r="A310" t="str">
            <v>PN</v>
          </cell>
          <cell r="B310" t="str">
            <v>DESCRIÇÃO</v>
          </cell>
          <cell r="D310" t="str">
            <v xml:space="preserve">PPS </v>
          </cell>
        </row>
        <row r="311">
          <cell r="A311" t="str">
            <v>16488</v>
          </cell>
          <cell r="B311" t="str">
            <v>JUNTA DE TAMPA DE CÁRTER CILINDROS AUTOM</v>
          </cell>
          <cell r="C311"/>
          <cell r="D311">
            <v>19.02072325684869</v>
          </cell>
        </row>
        <row r="312">
          <cell r="A312" t="str">
            <v>899500004</v>
          </cell>
          <cell r="B312" t="str">
            <v>KIT DE PROTEÇÃO PARA O VEÍCULO</v>
          </cell>
          <cell r="C312"/>
          <cell r="D312">
            <v>8.3000000000000007</v>
          </cell>
        </row>
        <row r="313">
          <cell r="A313" t="str">
            <v>31338</v>
          </cell>
          <cell r="B313" t="str">
            <v>JUNTA TAMPA ESVAZIAMENTO MOTOR</v>
          </cell>
          <cell r="C313"/>
          <cell r="D313">
            <v>3.2365699999999999</v>
          </cell>
        </row>
        <row r="314">
          <cell r="A314" t="str">
            <v>16484</v>
          </cell>
          <cell r="B314" t="str">
            <v>JUNTA TAMPA ESVAZIAMENTO MOTOR</v>
          </cell>
          <cell r="C314"/>
          <cell r="D314">
            <v>6.6875499999999999</v>
          </cell>
        </row>
        <row r="315">
          <cell r="A315" t="str">
            <v>31327</v>
          </cell>
          <cell r="B315" t="str">
            <v>JUNTA DE TAMPA DE CÁRTER CILINDROS</v>
          </cell>
          <cell r="C315"/>
          <cell r="D315">
            <v>8.5</v>
          </cell>
        </row>
        <row r="316">
          <cell r="A316" t="str">
            <v>5960F3</v>
          </cell>
          <cell r="B316" t="str">
            <v>VELA</v>
          </cell>
          <cell r="C316"/>
          <cell r="D316">
            <v>35.9</v>
          </cell>
        </row>
        <row r="317">
          <cell r="A317" t="str">
            <v>1692660480</v>
          </cell>
          <cell r="B317" t="str">
            <v>CORREIA DA BOMBA D'ÁGUA</v>
          </cell>
          <cell r="C317"/>
          <cell r="D317">
            <v>50.9</v>
          </cell>
        </row>
        <row r="318">
          <cell r="A318" t="str">
            <v>1567E1</v>
          </cell>
          <cell r="B318" t="str">
            <v>FILTRO ALIMENTAÇÃO COMBUSTÍVEL</v>
          </cell>
          <cell r="C318"/>
          <cell r="D318">
            <v>35.9</v>
          </cell>
        </row>
        <row r="319">
          <cell r="A319" t="str">
            <v>9818914980</v>
          </cell>
          <cell r="B319" t="str">
            <v>FILTRO OLEO</v>
          </cell>
          <cell r="C319"/>
          <cell r="D319">
            <v>85.9</v>
          </cell>
        </row>
        <row r="320">
          <cell r="A320" t="str">
            <v>1109AL</v>
          </cell>
          <cell r="B320" t="str">
            <v>FILTRO OLEO</v>
          </cell>
          <cell r="C320"/>
          <cell r="D320">
            <v>79.900000000000006</v>
          </cell>
        </row>
        <row r="321">
          <cell r="A321" t="str">
            <v>1610693780</v>
          </cell>
          <cell r="B321" t="str">
            <v>FILTRO DE ÓLEO DO MOTOR</v>
          </cell>
          <cell r="C321"/>
          <cell r="D321">
            <v>92.9</v>
          </cell>
        </row>
        <row r="322">
          <cell r="A322" t="str">
            <v>5960H7</v>
          </cell>
          <cell r="B322" t="str">
            <v>VELA DE IGNIÇÃO - AUTOMOTIVO</v>
          </cell>
          <cell r="C322"/>
          <cell r="D322">
            <v>59.9</v>
          </cell>
        </row>
        <row r="323">
          <cell r="A323" t="str">
            <v>9808389880</v>
          </cell>
          <cell r="B323" t="str">
            <v>VELA</v>
          </cell>
          <cell r="C323"/>
          <cell r="D323">
            <v>66.98</v>
          </cell>
        </row>
        <row r="324">
          <cell r="A324" t="str">
            <v>9816863980</v>
          </cell>
          <cell r="B324" t="str">
            <v>VELA DE IGNIÇÃO MOTOR</v>
          </cell>
          <cell r="C324"/>
          <cell r="D324">
            <v>69.900000000000006</v>
          </cell>
        </row>
        <row r="325">
          <cell r="A325" t="str">
            <v>1609428080</v>
          </cell>
          <cell r="B325" t="str">
            <v>LOTE FILTROS</v>
          </cell>
          <cell r="C325"/>
          <cell r="D325">
            <v>93.9</v>
          </cell>
        </row>
        <row r="326">
          <cell r="A326" t="str">
            <v>1609428180</v>
          </cell>
          <cell r="B326" t="str">
            <v>LOTE FILTROS AUTOMOTIVO - L.I</v>
          </cell>
          <cell r="C326"/>
          <cell r="D326">
            <v>149.9</v>
          </cell>
        </row>
        <row r="327">
          <cell r="A327" t="str">
            <v>6479A1</v>
          </cell>
          <cell r="B327" t="str">
            <v>FILTRO POLENE - L.I</v>
          </cell>
          <cell r="C327"/>
          <cell r="D327">
            <v>89.9</v>
          </cell>
        </row>
        <row r="328">
          <cell r="A328" t="str">
            <v>9803800180</v>
          </cell>
          <cell r="B328" t="str">
            <v>VELA</v>
          </cell>
          <cell r="C328"/>
          <cell r="D328">
            <v>125.9</v>
          </cell>
        </row>
        <row r="329">
          <cell r="A329" t="str">
            <v>1444VH</v>
          </cell>
          <cell r="B329" t="str">
            <v>ELEMENTO FILTRANTE FILTRO DE AR AUTOMOTI</v>
          </cell>
          <cell r="C329"/>
          <cell r="D329">
            <v>97.9</v>
          </cell>
        </row>
        <row r="330">
          <cell r="A330" t="str">
            <v>1312766080</v>
          </cell>
          <cell r="B330" t="str">
            <v>FILTRO POLENE - LI</v>
          </cell>
          <cell r="C330"/>
          <cell r="D330">
            <v>62.16</v>
          </cell>
        </row>
        <row r="331">
          <cell r="A331" t="str">
            <v>6479C2</v>
          </cell>
          <cell r="B331" t="str">
            <v>FILTRO POLENE</v>
          </cell>
          <cell r="C331"/>
          <cell r="D331">
            <v>80.099999999999994</v>
          </cell>
        </row>
        <row r="332">
          <cell r="A332" t="str">
            <v>9809643880</v>
          </cell>
          <cell r="B332" t="str">
            <v>ELEMENTO FILTRO</v>
          </cell>
          <cell r="C332"/>
          <cell r="D332">
            <v>103.9</v>
          </cell>
        </row>
        <row r="333">
          <cell r="A333" t="str">
            <v>6479C9</v>
          </cell>
          <cell r="B333" t="str">
            <v>FILTRO POLENE</v>
          </cell>
          <cell r="C333"/>
          <cell r="D333">
            <v>109.9</v>
          </cell>
        </row>
        <row r="334">
          <cell r="A334" t="str">
            <v>1608887680</v>
          </cell>
          <cell r="B334" t="str">
            <v>ENROLADOR POLIA</v>
          </cell>
          <cell r="C334"/>
          <cell r="D334">
            <v>105.9</v>
          </cell>
        </row>
        <row r="335">
          <cell r="A335" t="str">
            <v>83062</v>
          </cell>
          <cell r="B335" t="str">
            <v>ENROLADOR POLIA AUTOMOTIVO</v>
          </cell>
          <cell r="C335"/>
          <cell r="D335">
            <v>171.9924</v>
          </cell>
        </row>
        <row r="336">
          <cell r="A336" t="str">
            <v>9802348680</v>
          </cell>
          <cell r="B336" t="str">
            <v>ELEMENTO DE FILTRO DE AR</v>
          </cell>
          <cell r="C336"/>
          <cell r="D336">
            <v>142.9</v>
          </cell>
        </row>
        <row r="337">
          <cell r="A337" t="str">
            <v>1444TT</v>
          </cell>
          <cell r="B337" t="str">
            <v>ELEMENTO FILTRANTE FILTRO DE AR AUTOMOTI</v>
          </cell>
          <cell r="C337"/>
          <cell r="D337">
            <v>125.9</v>
          </cell>
        </row>
        <row r="338">
          <cell r="A338" t="str">
            <v>1444VX</v>
          </cell>
          <cell r="B338" t="str">
            <v>ELEMENTO FILTRANTE FILTRO DE AR AUTOMOTI</v>
          </cell>
          <cell r="C338"/>
          <cell r="D338">
            <v>179.9</v>
          </cell>
        </row>
        <row r="339">
          <cell r="A339" t="str">
            <v>0816F2</v>
          </cell>
          <cell r="B339" t="str">
            <v>CORREIA DENTADA DE DISTRIBUIÇÃO</v>
          </cell>
          <cell r="C339"/>
          <cell r="D339">
            <v>199</v>
          </cell>
        </row>
        <row r="340">
          <cell r="A340" t="str">
            <v>1654517280</v>
          </cell>
          <cell r="B340" t="str">
            <v>VELA DE IGNIÇÃO MOTOR - AUTOMOTIVO</v>
          </cell>
          <cell r="C340"/>
          <cell r="D340">
            <v>175.9</v>
          </cell>
        </row>
        <row r="341">
          <cell r="A341" t="str">
            <v>6447XG</v>
          </cell>
          <cell r="B341" t="str">
            <v>LOTE FILTROS AUTOMOTIVO</v>
          </cell>
          <cell r="C341"/>
          <cell r="D341">
            <v>95.9</v>
          </cell>
        </row>
        <row r="342">
          <cell r="A342" t="str">
            <v>1622962080</v>
          </cell>
          <cell r="B342" t="str">
            <v>FILTRO DE ÓLEO</v>
          </cell>
          <cell r="C342"/>
          <cell r="D342">
            <v>195.17436000000001</v>
          </cell>
        </row>
        <row r="343">
          <cell r="A343" t="str">
            <v>6447XF</v>
          </cell>
          <cell r="B343" t="str">
            <v>FILTRO DE PÓLEN</v>
          </cell>
          <cell r="C343"/>
          <cell r="D343">
            <v>158.84</v>
          </cell>
        </row>
        <row r="344">
          <cell r="A344" t="str">
            <v>1444XH</v>
          </cell>
          <cell r="B344" t="str">
            <v>ELEMENTO FILTRANTE FILTRO DE AR AUTOMOTI</v>
          </cell>
          <cell r="C344"/>
          <cell r="D344">
            <v>359.9</v>
          </cell>
        </row>
        <row r="345">
          <cell r="A345" t="str">
            <v>1606402680</v>
          </cell>
          <cell r="B345" t="str">
            <v>ELEMENTO FILTRO</v>
          </cell>
          <cell r="C345"/>
          <cell r="D345">
            <v>271.5</v>
          </cell>
        </row>
        <row r="346">
          <cell r="A346" t="str">
            <v>9809532380</v>
          </cell>
          <cell r="B346" t="str">
            <v>FILTRO OLEO</v>
          </cell>
          <cell r="C346"/>
          <cell r="D346">
            <v>119.9</v>
          </cell>
        </row>
        <row r="347">
          <cell r="A347" t="str">
            <v>9801366680</v>
          </cell>
          <cell r="B347" t="str">
            <v>FILTRO COMBUSTIVEL</v>
          </cell>
          <cell r="C347"/>
          <cell r="D347">
            <v>202.89</v>
          </cell>
        </row>
        <row r="348">
          <cell r="A348" t="str">
            <v>82990</v>
          </cell>
          <cell r="B348" t="str">
            <v>POLIA TENSORA DISTRIBUIÇÃO</v>
          </cell>
          <cell r="C348"/>
          <cell r="D348">
            <v>279.89999999999998</v>
          </cell>
        </row>
        <row r="349">
          <cell r="A349" t="str">
            <v>1609117780</v>
          </cell>
          <cell r="B349" t="str">
            <v>CORREIA VENTOIN</v>
          </cell>
          <cell r="C349"/>
          <cell r="D349">
            <v>229.9</v>
          </cell>
        </row>
        <row r="350">
          <cell r="A350" t="str">
            <v>83042</v>
          </cell>
          <cell r="B350" t="str">
            <v>TENSOR</v>
          </cell>
          <cell r="C350"/>
          <cell r="D350">
            <v>263.31</v>
          </cell>
        </row>
        <row r="351">
          <cell r="A351" t="str">
            <v>9800716580</v>
          </cell>
          <cell r="B351" t="str">
            <v>CORREIA DO ALTERNADOR</v>
          </cell>
          <cell r="C351"/>
          <cell r="D351">
            <v>255.01</v>
          </cell>
        </row>
        <row r="352">
          <cell r="A352" t="str">
            <v>1629036580</v>
          </cell>
          <cell r="B352" t="str">
            <v>ELEMENTO FILTRO</v>
          </cell>
          <cell r="C352"/>
          <cell r="D352">
            <v>274.92</v>
          </cell>
        </row>
        <row r="353">
          <cell r="A353" t="str">
            <v>5751E9</v>
          </cell>
          <cell r="B353" t="str">
            <v>TENSOR DINÂMICO AUTOMOTIVO</v>
          </cell>
          <cell r="C353"/>
          <cell r="D353">
            <v>323.69</v>
          </cell>
        </row>
        <row r="354">
          <cell r="A354" t="str">
            <v>1606267680</v>
          </cell>
          <cell r="B354" t="str">
            <v>CARTUCHO DE FILTRO DECANTADOR AUTOMOTIVO</v>
          </cell>
          <cell r="C354"/>
          <cell r="D354">
            <v>299</v>
          </cell>
        </row>
        <row r="355">
          <cell r="A355" t="str">
            <v>1621267280</v>
          </cell>
          <cell r="B355" t="str">
            <v>KIT CORREIA ROLETE ACESSÓRIO</v>
          </cell>
          <cell r="C355"/>
          <cell r="D355">
            <v>383.9</v>
          </cell>
        </row>
        <row r="356">
          <cell r="A356" t="str">
            <v>1654514680</v>
          </cell>
          <cell r="B356" t="str">
            <v>CORREIA DISTRIB 118 DENTS</v>
          </cell>
          <cell r="C356"/>
          <cell r="D356">
            <v>519.9</v>
          </cell>
        </row>
        <row r="357">
          <cell r="A357" t="str">
            <v>1654507680</v>
          </cell>
          <cell r="B357" t="str">
            <v>ESTICADOR</v>
          </cell>
          <cell r="C357"/>
          <cell r="D357">
            <v>389.47</v>
          </cell>
        </row>
        <row r="358">
          <cell r="A358" t="str">
            <v>1611503880</v>
          </cell>
          <cell r="B358" t="str">
            <v>KIT CORREIA ROLETE ACESSÓRIO</v>
          </cell>
          <cell r="C358"/>
          <cell r="D358">
            <v>430.9</v>
          </cell>
        </row>
        <row r="359">
          <cell r="A359" t="str">
            <v>1636996080</v>
          </cell>
          <cell r="B359" t="str">
            <v>POLIA TENSORA ALTERNADOR</v>
          </cell>
          <cell r="C359"/>
          <cell r="D359">
            <v>445.9</v>
          </cell>
        </row>
        <row r="360">
          <cell r="A360" t="str">
            <v>0816H6</v>
          </cell>
          <cell r="B360" t="str">
            <v>CORREIA DENTADA DISTRIBUIÇÃO AUTOMOTIVO</v>
          </cell>
          <cell r="C360"/>
          <cell r="D360">
            <v>290</v>
          </cell>
        </row>
        <row r="361">
          <cell r="A361" t="str">
            <v>0816G4</v>
          </cell>
          <cell r="B361" t="str">
            <v>CORREIA DENTADA DISTRIBUIÇÃO AUTOMOTIVO</v>
          </cell>
          <cell r="C361"/>
          <cell r="D361">
            <v>519.9</v>
          </cell>
        </row>
        <row r="362">
          <cell r="A362" t="str">
            <v>1606931980</v>
          </cell>
          <cell r="B362" t="str">
            <v>POLIA TENSORA DE DISTRIBUIÇÃO AUTOMOTIVO</v>
          </cell>
          <cell r="C362"/>
          <cell r="D362">
            <v>469.9</v>
          </cell>
        </row>
        <row r="363">
          <cell r="A363" t="str">
            <v>1637819080</v>
          </cell>
          <cell r="B363" t="str">
            <v>KIT ACESSÓRIO</v>
          </cell>
          <cell r="C363"/>
          <cell r="D363">
            <v>680</v>
          </cell>
        </row>
        <row r="364">
          <cell r="A364" t="str">
            <v>1610577680</v>
          </cell>
          <cell r="B364" t="str">
            <v>CORREIA DE DISTRIBUIÇÃO</v>
          </cell>
          <cell r="C364"/>
          <cell r="D364">
            <v>409.9</v>
          </cell>
        </row>
        <row r="365">
          <cell r="A365" t="str">
            <v>1614111980</v>
          </cell>
          <cell r="B365" t="str">
            <v>ELEMENTO FILTRO</v>
          </cell>
          <cell r="C365"/>
          <cell r="D365">
            <v>709</v>
          </cell>
        </row>
        <row r="366">
          <cell r="A366" t="str">
            <v>1611627180</v>
          </cell>
          <cell r="B366" t="str">
            <v>KIT CORREIA ROLETE ACESSÓRIO</v>
          </cell>
          <cell r="C366"/>
          <cell r="D366">
            <v>721.54</v>
          </cell>
        </row>
        <row r="367">
          <cell r="A367" t="str">
            <v>1678169380</v>
          </cell>
          <cell r="B367" t="str">
            <v>KIT ACESSÓRIO</v>
          </cell>
          <cell r="C367"/>
          <cell r="D367">
            <v>772.36</v>
          </cell>
        </row>
        <row r="368">
          <cell r="A368" t="str">
            <v>1679938180</v>
          </cell>
          <cell r="B368" t="str">
            <v>KIT ACESSÓRIO</v>
          </cell>
          <cell r="C368"/>
          <cell r="D368">
            <v>906.9</v>
          </cell>
        </row>
        <row r="369">
          <cell r="A369" t="str">
            <v>1684448180</v>
          </cell>
          <cell r="B369" t="str">
            <v>KIT DISTRIBUIÇÃO + BOMBA DE ÁGUA</v>
          </cell>
          <cell r="C369"/>
          <cell r="D369">
            <v>1409.9</v>
          </cell>
        </row>
        <row r="370">
          <cell r="A370" t="str">
            <v>1612801280</v>
          </cell>
          <cell r="B370" t="str">
            <v>CORREIA DENTADA DISTRIBUIÇÃO</v>
          </cell>
          <cell r="C370"/>
          <cell r="D370">
            <v>663.26</v>
          </cell>
        </row>
        <row r="371">
          <cell r="A371" t="str">
            <v>1613327980</v>
          </cell>
          <cell r="B371" t="str">
            <v>ARTIGO</v>
          </cell>
          <cell r="C371"/>
          <cell r="D371">
            <v>1800</v>
          </cell>
        </row>
        <row r="372">
          <cell r="A372" t="str">
            <v>1633984880</v>
          </cell>
          <cell r="B372" t="str">
            <v>CORREIA DO ALTERNADOR</v>
          </cell>
          <cell r="C372"/>
          <cell r="D372">
            <v>208.02</v>
          </cell>
        </row>
        <row r="373">
          <cell r="A373" t="str">
            <v>5750ZH</v>
          </cell>
          <cell r="B373" t="str">
            <v>CORREIA DO ALTERNADOR</v>
          </cell>
          <cell r="C373"/>
          <cell r="D373">
            <v>249.9</v>
          </cell>
        </row>
        <row r="374">
          <cell r="A374" t="str">
            <v>5750XG</v>
          </cell>
          <cell r="B374" t="str">
            <v>CORREIA DO ALTERNADOR AUTOMOTIVO</v>
          </cell>
          <cell r="C374"/>
          <cell r="D374">
            <v>339</v>
          </cell>
        </row>
        <row r="375">
          <cell r="A375" t="str">
            <v>9835123980</v>
          </cell>
          <cell r="B375" t="str">
            <v>ELEMENTO DE FILTRO DE AR</v>
          </cell>
          <cell r="C375"/>
          <cell r="D375">
            <v>215.99</v>
          </cell>
        </row>
        <row r="376">
          <cell r="A376" t="str">
            <v>1444VK</v>
          </cell>
          <cell r="B376" t="str">
            <v>ELEMENTO FILTRANTE FILTRO DE AR AUTOMOTI</v>
          </cell>
          <cell r="C376"/>
          <cell r="D376">
            <v>129.9</v>
          </cell>
        </row>
        <row r="377">
          <cell r="A377" t="str">
            <v>9833350880</v>
          </cell>
          <cell r="B377" t="str">
            <v>FILTRO DE PÓLEN</v>
          </cell>
          <cell r="C377"/>
          <cell r="D377">
            <v>159.9</v>
          </cell>
        </row>
        <row r="378">
          <cell r="A378" t="str">
            <v>9821858280</v>
          </cell>
          <cell r="B378" t="str">
            <v>KIT CORREIA DO ALTERNADOR</v>
          </cell>
          <cell r="C378"/>
          <cell r="D378">
            <v>245.9</v>
          </cell>
        </row>
        <row r="379">
          <cell r="A379" t="str">
            <v>1643639680</v>
          </cell>
          <cell r="B379" t="str">
            <v>KIT DISTRIBUIÇÃO+BOMBA DE ÁGUA</v>
          </cell>
          <cell r="C379"/>
          <cell r="D379">
            <v>1550.8989999999999</v>
          </cell>
        </row>
        <row r="380">
          <cell r="A380" t="str">
            <v>9837591680</v>
          </cell>
          <cell r="B380" t="str">
            <v>TENSOR DINÂMICO - AUTOMOTIVO</v>
          </cell>
          <cell r="C380"/>
          <cell r="D380">
            <v>429.9</v>
          </cell>
        </row>
        <row r="381">
          <cell r="A381" t="str">
            <v>1611424280</v>
          </cell>
          <cell r="B381" t="str">
            <v>TENSOR DINÂMICO - AUTOMOTIVO</v>
          </cell>
          <cell r="C381"/>
          <cell r="D381">
            <v>695.12</v>
          </cell>
        </row>
        <row r="382">
          <cell r="A382" t="str">
            <v>1611425380</v>
          </cell>
          <cell r="B382" t="str">
            <v>TENSOR DINÂMICO AUTOMOTIVO</v>
          </cell>
          <cell r="C382"/>
          <cell r="D382">
            <v>1879.32</v>
          </cell>
        </row>
        <row r="383">
          <cell r="A383" t="str">
            <v>46751179</v>
          </cell>
          <cell r="B383" t="str">
            <v>FILTRO DE ÓLEO DO MOTOR</v>
          </cell>
          <cell r="C383"/>
          <cell r="D383">
            <v>71.2</v>
          </cell>
        </row>
        <row r="384">
          <cell r="A384" t="str">
            <v>46416684</v>
          </cell>
          <cell r="B384" t="str">
            <v>FILTRO COMBUSTIVEL</v>
          </cell>
          <cell r="C384"/>
          <cell r="D384">
            <v>181.9</v>
          </cell>
        </row>
        <row r="385">
          <cell r="A385" t="str">
            <v>51854598</v>
          </cell>
          <cell r="B385" t="str">
            <v>ELEMENTO DE FILTRO DE AR</v>
          </cell>
          <cell r="C385"/>
          <cell r="D385">
            <v>86.9</v>
          </cell>
        </row>
        <row r="386">
          <cell r="A386" t="str">
            <v>55226520</v>
          </cell>
          <cell r="B386" t="str">
            <v>VELA DE IGNIÇÃO</v>
          </cell>
          <cell r="C386"/>
          <cell r="D386">
            <v>42.9</v>
          </cell>
        </row>
        <row r="387">
          <cell r="A387" t="str">
            <v>55236185</v>
          </cell>
          <cell r="B387" t="str">
            <v>CORREIA TRANSMISSÃO c/ AC</v>
          </cell>
          <cell r="C387"/>
          <cell r="D387">
            <v>139.9</v>
          </cell>
        </row>
        <row r="388">
          <cell r="A388" t="str">
            <v>46744566</v>
          </cell>
          <cell r="B388" t="str">
            <v>CORREIA TRANSMISSÃO DH</v>
          </cell>
          <cell r="C388"/>
          <cell r="D388">
            <v>27.9</v>
          </cell>
        </row>
        <row r="389">
          <cell r="A389" t="str">
            <v>46337687</v>
          </cell>
          <cell r="B389" t="str">
            <v>CORREIA DE DISTRIBUIÇÃO</v>
          </cell>
          <cell r="C389"/>
          <cell r="D389">
            <v>145.9</v>
          </cell>
        </row>
        <row r="390">
          <cell r="A390" t="str">
            <v>9833351080</v>
          </cell>
          <cell r="B390" t="str">
            <v>Filtro Habitáculo Carvão</v>
          </cell>
          <cell r="C390"/>
          <cell r="D390">
            <v>179</v>
          </cell>
        </row>
        <row r="391">
          <cell r="A391" t="str">
            <v>1681138080</v>
          </cell>
          <cell r="B391" t="str">
            <v>Filtro de Óleo do Motor</v>
          </cell>
          <cell r="C391"/>
          <cell r="D391">
            <v>112.46</v>
          </cell>
        </row>
        <row r="392">
          <cell r="A392" t="str">
            <v>7094709</v>
          </cell>
          <cell r="B392" t="str">
            <v>Filtro de Óleo do Motor</v>
          </cell>
          <cell r="C392"/>
          <cell r="D392">
            <v>79.900000000000006</v>
          </cell>
        </row>
        <row r="393">
          <cell r="A393" t="str">
            <v>1681140780</v>
          </cell>
          <cell r="B393" t="str">
            <v>Velas de Ignição</v>
          </cell>
          <cell r="C393"/>
          <cell r="D393">
            <v>175.9</v>
          </cell>
        </row>
        <row r="394">
          <cell r="A394" t="str">
            <v>9844893980</v>
          </cell>
          <cell r="B394" t="str">
            <v>Correia dos Órgãos Auxiliares</v>
          </cell>
          <cell r="C394"/>
          <cell r="D394">
            <v>149.9</v>
          </cell>
        </row>
        <row r="395">
          <cell r="A395" t="str">
            <v>9846155280</v>
          </cell>
          <cell r="B395" t="str">
            <v>Filtro Ar Condicionado</v>
          </cell>
          <cell r="C395"/>
          <cell r="D395">
            <v>315</v>
          </cell>
        </row>
        <row r="396">
          <cell r="A396" t="str">
            <v>1612490080</v>
          </cell>
          <cell r="B396" t="str">
            <v>Correia Auxiliar (Correia + tensor)</v>
          </cell>
          <cell r="C396"/>
          <cell r="D396">
            <v>621.24</v>
          </cell>
        </row>
        <row r="397">
          <cell r="A397" t="str">
            <v>1680682480</v>
          </cell>
          <cell r="B397" t="str">
            <v>FILTRO DE ÓLEO DO MOTOR</v>
          </cell>
          <cell r="C397"/>
          <cell r="D397">
            <v>105.9</v>
          </cell>
        </row>
        <row r="398">
          <cell r="A398" t="str">
            <v>9813908880</v>
          </cell>
          <cell r="B398" t="str">
            <v>Elemento do filtro de ar do motor</v>
          </cell>
          <cell r="C398"/>
          <cell r="D398">
            <v>133.51</v>
          </cell>
        </row>
        <row r="399">
          <cell r="A399" t="str">
            <v>1628925680</v>
          </cell>
          <cell r="B399" t="str">
            <v>Correia de distribuição</v>
          </cell>
          <cell r="C399"/>
          <cell r="D399">
            <v>382.62</v>
          </cell>
        </row>
        <row r="400">
          <cell r="A400" t="str">
            <v>1631627780</v>
          </cell>
          <cell r="B400" t="str">
            <v>Correia Auxiliar (Correia + tensor)</v>
          </cell>
          <cell r="C400"/>
          <cell r="D400">
            <v>772.36</v>
          </cell>
        </row>
        <row r="401">
          <cell r="A401" t="str">
            <v>1674210980</v>
          </cell>
          <cell r="B401" t="str">
            <v>Filtro de combustível</v>
          </cell>
          <cell r="C401"/>
          <cell r="D401">
            <v>510.9</v>
          </cell>
        </row>
        <row r="402">
          <cell r="A402" t="str">
            <v>816K8</v>
          </cell>
          <cell r="B402" t="str">
            <v>Correia de distribuição</v>
          </cell>
          <cell r="C402"/>
          <cell r="D402">
            <v>553.65</v>
          </cell>
        </row>
        <row r="403">
          <cell r="A403" t="str">
            <v>1638028880</v>
          </cell>
          <cell r="B403" t="str">
            <v>KIT Correia Auxiliar (Correia + tensor)</v>
          </cell>
          <cell r="C403"/>
          <cell r="D403">
            <v>1106.8599999999999</v>
          </cell>
        </row>
        <row r="404">
          <cell r="A404" t="str">
            <v>1610278280</v>
          </cell>
          <cell r="B404" t="str">
            <v>kit Correia distribucion + bomba de agua</v>
          </cell>
          <cell r="C404"/>
          <cell r="D404">
            <v>1699.9</v>
          </cell>
        </row>
        <row r="405">
          <cell r="A405" t="str">
            <v>1674213480</v>
          </cell>
          <cell r="B405" t="str">
            <v>FILTRO COMBUSTIVEL</v>
          </cell>
          <cell r="C405"/>
          <cell r="D405">
            <v>379.9</v>
          </cell>
        </row>
        <row r="406">
          <cell r="A406" t="str">
            <v>9851412980</v>
          </cell>
          <cell r="B406" t="str">
            <v>FILTRO DE AR</v>
          </cell>
          <cell r="C406"/>
          <cell r="D406">
            <v>289.89999999999998</v>
          </cell>
        </row>
        <row r="407">
          <cell r="A407" t="str">
            <v>1682801480</v>
          </cell>
          <cell r="B407" t="str">
            <v>JUNTA DE TAMPA DE CÁRTER CILINDROS AUTOM</v>
          </cell>
          <cell r="C407"/>
          <cell r="D407">
            <v>7.6064500000000006</v>
          </cell>
        </row>
        <row r="408">
          <cell r="A408" t="str">
            <v>1637754580</v>
          </cell>
          <cell r="B408" t="str">
            <v>Kit Correia do Alternador</v>
          </cell>
          <cell r="C408"/>
          <cell r="D408">
            <v>700</v>
          </cell>
        </row>
        <row r="409">
          <cell r="A409" t="str">
            <v>V760401480</v>
          </cell>
          <cell r="B409" t="str">
            <v>CORREIA</v>
          </cell>
          <cell r="C409"/>
          <cell r="D409">
            <v>289</v>
          </cell>
        </row>
        <row r="410">
          <cell r="A410" t="str">
            <v>1611425480</v>
          </cell>
          <cell r="B410" t="str">
            <v>TENSOR DINÂMICO</v>
          </cell>
          <cell r="C410"/>
          <cell r="D410">
            <v>447.11</v>
          </cell>
        </row>
        <row r="411">
          <cell r="A411" t="str">
            <v>1686475080</v>
          </cell>
          <cell r="B411" t="str">
            <v>FILTRO OLEO</v>
          </cell>
          <cell r="C411"/>
          <cell r="D411">
            <v>112.46</v>
          </cell>
        </row>
        <row r="412">
          <cell r="A412" t="str">
            <v>1567C8</v>
          </cell>
          <cell r="B412" t="str">
            <v>FILTRO ALIMENTAÇÃO COMBUSTÍVEL AUTOMOTIV</v>
          </cell>
          <cell r="C412"/>
          <cell r="D412">
            <v>35.9</v>
          </cell>
        </row>
        <row r="413">
          <cell r="A413" t="str">
            <v>9859861880</v>
          </cell>
          <cell r="B413" t="str">
            <v>ELEMENTO FILTRO</v>
          </cell>
          <cell r="C413"/>
          <cell r="D413">
            <v>180.21</v>
          </cell>
        </row>
        <row r="414">
          <cell r="A414" t="str">
            <v>1686479580</v>
          </cell>
          <cell r="B414" t="str">
            <v>VELA</v>
          </cell>
          <cell r="C414"/>
          <cell r="D414">
            <v>169.9</v>
          </cell>
        </row>
        <row r="415">
          <cell r="A415" t="str">
            <v>9846587280</v>
          </cell>
          <cell r="B415" t="str">
            <v>CORREIA</v>
          </cell>
          <cell r="C415"/>
          <cell r="D415">
            <v>99.9</v>
          </cell>
        </row>
        <row r="416">
          <cell r="A416" t="str">
            <v>1690617680</v>
          </cell>
          <cell r="B416" t="str">
            <v>KIT ACESSÓRIO</v>
          </cell>
          <cell r="C416"/>
          <cell r="D416">
            <v>0</v>
          </cell>
        </row>
        <row r="417">
          <cell r="A417" t="str">
            <v>9844631980</v>
          </cell>
          <cell r="B417" t="str">
            <v>FILTRO ALIMENTAÇÃO COMBUSTÍVEL AUTOMOTIV</v>
          </cell>
          <cell r="C417"/>
          <cell r="D417">
            <v>44.203121044875544</v>
          </cell>
        </row>
        <row r="418">
          <cell r="A418" t="str">
            <v>1628925780</v>
          </cell>
          <cell r="B418" t="str">
            <v>TENSOR CORREIA DE DISTRIBUIÇÃO</v>
          </cell>
          <cell r="C418"/>
          <cell r="D418">
            <v>381.11</v>
          </cell>
        </row>
        <row r="419">
          <cell r="A419" t="str">
            <v>1638159580</v>
          </cell>
          <cell r="B419" t="str">
            <v>BOMBA D´AGUA</v>
          </cell>
          <cell r="C419"/>
          <cell r="D419">
            <v>1684.8542</v>
          </cell>
        </row>
        <row r="420">
          <cell r="A420" t="str">
            <v>1611503780</v>
          </cell>
          <cell r="B420" t="str">
            <v>TENSOR CORREIA DOS ÓRGÃOS AUXILIARES</v>
          </cell>
          <cell r="C420"/>
          <cell r="D420">
            <v>568.16999999999996</v>
          </cell>
        </row>
        <row r="421">
          <cell r="A421" t="str">
            <v>9813908180</v>
          </cell>
          <cell r="B421" t="str">
            <v>CORREIA DOS ÓRGÃOS AUXILIARES</v>
          </cell>
          <cell r="C421"/>
          <cell r="D421">
            <v>205.93</v>
          </cell>
        </row>
        <row r="422">
          <cell r="A422" t="str">
            <v>1675581680</v>
          </cell>
          <cell r="B422" t="str">
            <v>Filtro de Habitáculo</v>
          </cell>
          <cell r="C422"/>
          <cell r="D422">
            <v>142.19</v>
          </cell>
        </row>
        <row r="423">
          <cell r="A423" t="str">
            <v>1679472180</v>
          </cell>
          <cell r="B423" t="str">
            <v>Bujão de Enchimento da Caixa de Redução</v>
          </cell>
          <cell r="C423"/>
          <cell r="D423">
            <v>174.80540999999999</v>
          </cell>
        </row>
        <row r="424">
          <cell r="A424" t="str">
            <v>1680523080</v>
          </cell>
          <cell r="B424" t="str">
            <v>Plug de Dreno da Caixa de Redução</v>
          </cell>
          <cell r="C424"/>
          <cell r="D424">
            <v>221.85308999999998</v>
          </cell>
        </row>
        <row r="425">
          <cell r="A425" t="str">
            <v>9838392880</v>
          </cell>
          <cell r="B425" t="str">
            <v>Correia da Caixa de Redução</v>
          </cell>
          <cell r="C425"/>
          <cell r="D425">
            <v>751.99712999999997</v>
          </cell>
        </row>
        <row r="426">
          <cell r="A426" t="str">
            <v>9841404780</v>
          </cell>
          <cell r="B426" t="str">
            <v>Parafuso XE EMB RTS</v>
          </cell>
          <cell r="C426"/>
          <cell r="D426">
            <v>109.82897</v>
          </cell>
        </row>
        <row r="427">
          <cell r="A427" t="str">
            <v>1618078480</v>
          </cell>
          <cell r="B427" t="str">
            <v>75W80 Transmissão HBVFE2</v>
          </cell>
          <cell r="C427"/>
          <cell r="D427">
            <v>184.16798</v>
          </cell>
        </row>
        <row r="428">
          <cell r="A428" t="str">
            <v>52162685</v>
          </cell>
          <cell r="B428" t="str">
            <v>FILTRO COMBUSTIVEL</v>
          </cell>
          <cell r="C428"/>
          <cell r="D428">
            <v>35.9</v>
          </cell>
        </row>
        <row r="429">
          <cell r="A429" t="str">
            <v>1441424880</v>
          </cell>
          <cell r="B429" t="str">
            <v>CORREIA</v>
          </cell>
          <cell r="C429"/>
          <cell r="D429">
            <v>289</v>
          </cell>
        </row>
        <row r="430">
          <cell r="A430" t="str">
            <v>1686499080</v>
          </cell>
          <cell r="B430" t="str">
            <v>CORREIA DISTRIB</v>
          </cell>
          <cell r="C430"/>
          <cell r="D430">
            <v>567.46</v>
          </cell>
        </row>
        <row r="431">
          <cell r="A431" t="str">
            <v>46356228</v>
          </cell>
          <cell r="B431" t="str">
            <v>FILTRO OLEO</v>
          </cell>
          <cell r="C431"/>
          <cell r="D431">
            <v>123</v>
          </cell>
        </row>
        <row r="432">
          <cell r="A432" t="str">
            <v>9853098280</v>
          </cell>
          <cell r="B432" t="str">
            <v>ELEMENTO FILTRO</v>
          </cell>
          <cell r="C432"/>
          <cell r="D432">
            <v>175.9</v>
          </cell>
        </row>
        <row r="433">
          <cell r="A433" t="str">
            <v>1686521980</v>
          </cell>
          <cell r="B433" t="str">
            <v>Elemento do filtro de Combustível</v>
          </cell>
          <cell r="C433"/>
          <cell r="D433">
            <v>489</v>
          </cell>
        </row>
        <row r="434">
          <cell r="A434" t="str">
            <v>1695012180</v>
          </cell>
          <cell r="B434" t="str">
            <v>Elemento do filtro de aspiração de ar do motor</v>
          </cell>
          <cell r="C434"/>
          <cell r="D434">
            <v>680.9</v>
          </cell>
        </row>
        <row r="435">
          <cell r="A435" t="str">
            <v>1694815380</v>
          </cell>
          <cell r="B435" t="str">
            <v>Correia dos órgão auxiliares</v>
          </cell>
          <cell r="C435"/>
          <cell r="D435">
            <v>289</v>
          </cell>
        </row>
        <row r="436">
          <cell r="A436" t="str">
            <v>9809454280</v>
          </cell>
          <cell r="B436" t="str">
            <v>FILTRO</v>
          </cell>
          <cell r="C436"/>
          <cell r="D436">
            <v>68.386580000000009</v>
          </cell>
        </row>
        <row r="437">
          <cell r="A437" t="str">
            <v>9868511280</v>
          </cell>
          <cell r="B437" t="str">
            <v xml:space="preserve"> FILTRO DE COMBUSTIVEL</v>
          </cell>
          <cell r="C437"/>
          <cell r="D437">
            <v>356.32</v>
          </cell>
        </row>
        <row r="438">
          <cell r="A438" t="str">
            <v>9878309480</v>
          </cell>
          <cell r="B438"/>
          <cell r="C438"/>
          <cell r="D438">
            <v>519.9</v>
          </cell>
        </row>
        <row r="439">
          <cell r="A439" t="str">
            <v>1695200280</v>
          </cell>
          <cell r="B439" t="str">
            <v>Elemento do filtro de Combustível</v>
          </cell>
          <cell r="C439"/>
          <cell r="D439">
            <v>1049.9000000000001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2281B-4A48-40A2-AB31-2E94B5115C96}">
  <sheetPr codeName="Planilha2">
    <tabColor rgb="FF00FF00"/>
  </sheetPr>
  <dimension ref="A1:AJ964"/>
  <sheetViews>
    <sheetView showGridLines="0" workbookViewId="0">
      <pane xSplit="4" topLeftCell="E1" activePane="topRight" state="frozen"/>
      <selection activeCell="B24" sqref="B24"/>
      <selection pane="topRight" activeCell="H30" sqref="H30"/>
    </sheetView>
  </sheetViews>
  <sheetFormatPr defaultColWidth="14.3828125" defaultRowHeight="15" customHeight="1" x14ac:dyDescent="0.4"/>
  <cols>
    <col min="1" max="1" width="3.3046875" customWidth="1"/>
    <col min="2" max="2" width="60.84375" customWidth="1"/>
    <col min="3" max="3" width="16.84375" style="187" customWidth="1"/>
    <col min="4" max="4" width="8.69140625" customWidth="1"/>
    <col min="5" max="7" width="5.15234375" bestFit="1" customWidth="1"/>
    <col min="8" max="8" width="5.15234375" customWidth="1"/>
    <col min="9" max="19" width="5.15234375" bestFit="1" customWidth="1"/>
    <col min="20" max="20" width="15" customWidth="1"/>
    <col min="21" max="21" width="15.69140625" bestFit="1" customWidth="1"/>
    <col min="22" max="22" width="15" customWidth="1"/>
    <col min="23" max="23" width="17.15234375" customWidth="1"/>
    <col min="24" max="24" width="15" customWidth="1"/>
    <col min="25" max="25" width="17.15234375" customWidth="1"/>
    <col min="26" max="26" width="13.69140625" customWidth="1"/>
    <col min="27" max="27" width="15.69140625" customWidth="1"/>
    <col min="28" max="28" width="13.69140625" customWidth="1"/>
    <col min="29" max="29" width="15.69140625" bestFit="1" customWidth="1"/>
    <col min="30" max="30" width="13.69140625" customWidth="1"/>
    <col min="31" max="31" width="15.69140625" bestFit="1" customWidth="1"/>
    <col min="32" max="32" width="13.69140625" customWidth="1"/>
    <col min="33" max="33" width="15.69140625" bestFit="1" customWidth="1"/>
    <col min="34" max="34" width="13.69140625" customWidth="1"/>
    <col min="35" max="35" width="8.3828125" customWidth="1"/>
    <col min="36" max="36" width="15.53515625" customWidth="1"/>
  </cols>
  <sheetData>
    <row r="1" spans="1:36" ht="25.5" customHeight="1" x14ac:dyDescent="0.4">
      <c r="A1" s="211" t="s">
        <v>2</v>
      </c>
      <c r="B1" s="212"/>
      <c r="C1" s="212"/>
      <c r="D1" s="213"/>
      <c r="E1" s="126" t="s">
        <v>3</v>
      </c>
      <c r="F1" s="133"/>
      <c r="G1" s="133"/>
      <c r="H1" s="133"/>
      <c r="I1" s="133"/>
      <c r="J1" s="133"/>
      <c r="K1" s="133"/>
      <c r="L1" s="133"/>
      <c r="M1" s="133"/>
      <c r="N1" s="134"/>
      <c r="O1" s="133"/>
      <c r="P1" s="133"/>
      <c r="Q1" s="133"/>
      <c r="R1" s="133"/>
      <c r="S1" s="133"/>
      <c r="T1" s="125" t="s">
        <v>4</v>
      </c>
      <c r="U1" s="125"/>
      <c r="V1" s="125"/>
      <c r="W1" s="125"/>
      <c r="X1" s="125"/>
      <c r="Y1" s="125"/>
      <c r="Z1" s="125"/>
      <c r="AA1" s="125"/>
      <c r="AB1" s="125"/>
      <c r="AC1" s="125"/>
      <c r="AD1" s="147"/>
      <c r="AE1" s="147"/>
      <c r="AF1" s="147"/>
      <c r="AG1" s="147"/>
      <c r="AH1" s="147"/>
      <c r="AI1" s="219" t="s">
        <v>5</v>
      </c>
      <c r="AJ1" s="220"/>
    </row>
    <row r="2" spans="1:36" x14ac:dyDescent="0.4">
      <c r="A2" s="208"/>
      <c r="B2" s="209"/>
      <c r="C2" s="209"/>
      <c r="D2" s="210"/>
      <c r="E2" s="130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2">
        <f t="shared" ref="T2:AH2" si="0">MROUND(SUM(T4:T12),1)</f>
        <v>610</v>
      </c>
      <c r="U2" s="2">
        <f t="shared" si="0"/>
        <v>855</v>
      </c>
      <c r="V2" s="2">
        <f t="shared" si="0"/>
        <v>627</v>
      </c>
      <c r="W2" s="2">
        <f t="shared" si="0"/>
        <v>1708</v>
      </c>
      <c r="X2" s="2">
        <f t="shared" si="0"/>
        <v>661</v>
      </c>
      <c r="Y2" s="2">
        <f t="shared" si="0"/>
        <v>1084</v>
      </c>
      <c r="Z2" s="2">
        <f t="shared" si="0"/>
        <v>610</v>
      </c>
      <c r="AA2" s="2">
        <f t="shared" si="0"/>
        <v>1708</v>
      </c>
      <c r="AB2" s="2">
        <f t="shared" si="0"/>
        <v>627</v>
      </c>
      <c r="AC2" s="2">
        <f t="shared" si="0"/>
        <v>906</v>
      </c>
      <c r="AD2" s="2">
        <f t="shared" si="0"/>
        <v>610</v>
      </c>
      <c r="AE2" s="2">
        <f t="shared" si="0"/>
        <v>2137</v>
      </c>
      <c r="AF2" s="2">
        <f t="shared" si="0"/>
        <v>610</v>
      </c>
      <c r="AG2" s="2">
        <f t="shared" si="0"/>
        <v>855</v>
      </c>
      <c r="AH2" s="2">
        <f t="shared" si="0"/>
        <v>678</v>
      </c>
      <c r="AI2" s="221">
        <f>SUM(T2:AH2)</f>
        <v>14286</v>
      </c>
      <c r="AJ2" s="220"/>
    </row>
    <row r="3" spans="1:36" ht="14.6" x14ac:dyDescent="0.4">
      <c r="A3" s="3" t="s">
        <v>6</v>
      </c>
      <c r="B3" s="3" t="s">
        <v>7</v>
      </c>
      <c r="C3" s="184" t="s">
        <v>8</v>
      </c>
      <c r="D3" s="4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18</v>
      </c>
      <c r="N3" s="128" t="s">
        <v>19</v>
      </c>
      <c r="O3" s="128">
        <v>11</v>
      </c>
      <c r="P3" s="128">
        <v>12</v>
      </c>
      <c r="Q3" s="128">
        <v>13</v>
      </c>
      <c r="R3" s="128">
        <v>14</v>
      </c>
      <c r="S3" s="128">
        <v>15</v>
      </c>
      <c r="T3" s="5">
        <v>10000</v>
      </c>
      <c r="U3" s="5">
        <v>20000</v>
      </c>
      <c r="V3" s="5">
        <v>30000</v>
      </c>
      <c r="W3" s="5">
        <v>40000</v>
      </c>
      <c r="X3" s="5">
        <v>50000</v>
      </c>
      <c r="Y3" s="5">
        <v>60000</v>
      </c>
      <c r="Z3" s="5">
        <v>70000</v>
      </c>
      <c r="AA3" s="5">
        <v>80000</v>
      </c>
      <c r="AB3" s="5">
        <v>90000</v>
      </c>
      <c r="AC3" s="5">
        <v>100000</v>
      </c>
      <c r="AD3" s="148">
        <f>AC3+10000</f>
        <v>110000</v>
      </c>
      <c r="AE3" s="148">
        <f t="shared" ref="AE3:AH3" si="1">AD3+10000</f>
        <v>120000</v>
      </c>
      <c r="AF3" s="148">
        <f t="shared" si="1"/>
        <v>130000</v>
      </c>
      <c r="AG3" s="148">
        <f t="shared" si="1"/>
        <v>140000</v>
      </c>
      <c r="AH3" s="148">
        <f t="shared" si="1"/>
        <v>150000</v>
      </c>
      <c r="AI3" s="6" t="s">
        <v>20</v>
      </c>
      <c r="AJ3" s="3" t="s">
        <v>21</v>
      </c>
    </row>
    <row r="4" spans="1:36" ht="14.6" x14ac:dyDescent="0.4">
      <c r="A4" s="7">
        <v>1</v>
      </c>
      <c r="B4" s="8" t="s">
        <v>22</v>
      </c>
      <c r="C4" s="185" t="s">
        <v>23</v>
      </c>
      <c r="D4" s="9">
        <f>VLOOKUP(C4,'[1]PREÇO ATUAL'!$A:$D,4,0)</f>
        <v>79.900000000000006</v>
      </c>
      <c r="E4" s="10">
        <v>1</v>
      </c>
      <c r="F4" s="10">
        <v>1</v>
      </c>
      <c r="G4" s="10">
        <v>1</v>
      </c>
      <c r="H4" s="10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1">
        <v>1</v>
      </c>
      <c r="O4" s="11">
        <v>1</v>
      </c>
      <c r="P4" s="11">
        <v>1</v>
      </c>
      <c r="Q4" s="11">
        <v>1</v>
      </c>
      <c r="R4" s="11">
        <v>1</v>
      </c>
      <c r="S4" s="11">
        <v>1</v>
      </c>
      <c r="T4" s="13">
        <f t="shared" ref="T4:AC11" si="2">$D4*E4</f>
        <v>79.900000000000006</v>
      </c>
      <c r="U4" s="13">
        <f t="shared" si="2"/>
        <v>79.900000000000006</v>
      </c>
      <c r="V4" s="13">
        <f t="shared" si="2"/>
        <v>79.900000000000006</v>
      </c>
      <c r="W4" s="13">
        <f t="shared" si="2"/>
        <v>79.900000000000006</v>
      </c>
      <c r="X4" s="13">
        <f t="shared" si="2"/>
        <v>79.900000000000006</v>
      </c>
      <c r="Y4" s="13">
        <f t="shared" si="2"/>
        <v>79.900000000000006</v>
      </c>
      <c r="Z4" s="13">
        <f t="shared" si="2"/>
        <v>79.900000000000006</v>
      </c>
      <c r="AA4" s="13">
        <f t="shared" si="2"/>
        <v>79.900000000000006</v>
      </c>
      <c r="AB4" s="13">
        <f t="shared" si="2"/>
        <v>79.900000000000006</v>
      </c>
      <c r="AC4" s="13">
        <f t="shared" si="2"/>
        <v>79.900000000000006</v>
      </c>
      <c r="AD4" s="13">
        <f t="shared" ref="AD4:AH12" si="3">$D4*O4</f>
        <v>79.900000000000006</v>
      </c>
      <c r="AE4" s="13">
        <f t="shared" si="3"/>
        <v>79.900000000000006</v>
      </c>
      <c r="AF4" s="13">
        <f t="shared" si="3"/>
        <v>79.900000000000006</v>
      </c>
      <c r="AG4" s="13">
        <f t="shared" si="3"/>
        <v>79.900000000000006</v>
      </c>
      <c r="AH4" s="13">
        <f t="shared" si="3"/>
        <v>79.900000000000006</v>
      </c>
      <c r="AI4" s="14">
        <f t="shared" ref="AI4:AI12" si="4">AJ4/$AI$2</f>
        <v>8.3893322133557324E-2</v>
      </c>
      <c r="AJ4" s="13">
        <f>SUM(T4:AH4)</f>
        <v>1198.5</v>
      </c>
    </row>
    <row r="5" spans="1:36" ht="14.6" x14ac:dyDescent="0.4">
      <c r="A5" s="15">
        <v>2</v>
      </c>
      <c r="B5" s="16" t="s">
        <v>24</v>
      </c>
      <c r="C5" s="186" t="s">
        <v>25</v>
      </c>
      <c r="D5" s="17">
        <f>VLOOKUP(C5,'[1]PREÇO ATUAL'!$A:$D,4,0)</f>
        <v>35.9</v>
      </c>
      <c r="E5" s="18"/>
      <c r="F5" s="18">
        <v>1</v>
      </c>
      <c r="G5" s="18"/>
      <c r="H5" s="18">
        <v>1</v>
      </c>
      <c r="I5" s="19"/>
      <c r="J5" s="19">
        <v>1</v>
      </c>
      <c r="K5" s="19"/>
      <c r="L5" s="19">
        <v>1</v>
      </c>
      <c r="M5" s="19"/>
      <c r="N5" s="19">
        <v>1</v>
      </c>
      <c r="O5" s="19"/>
      <c r="P5" s="19">
        <v>1</v>
      </c>
      <c r="Q5" s="19"/>
      <c r="R5" s="19">
        <v>1</v>
      </c>
      <c r="S5" s="19"/>
      <c r="T5" s="21">
        <f t="shared" si="2"/>
        <v>0</v>
      </c>
      <c r="U5" s="21">
        <f t="shared" si="2"/>
        <v>35.9</v>
      </c>
      <c r="V5" s="21">
        <f t="shared" si="2"/>
        <v>0</v>
      </c>
      <c r="W5" s="21">
        <f t="shared" si="2"/>
        <v>35.9</v>
      </c>
      <c r="X5" s="21">
        <f t="shared" si="2"/>
        <v>0</v>
      </c>
      <c r="Y5" s="21">
        <f t="shared" si="2"/>
        <v>35.9</v>
      </c>
      <c r="Z5" s="21">
        <f t="shared" si="2"/>
        <v>0</v>
      </c>
      <c r="AA5" s="21">
        <f t="shared" si="2"/>
        <v>35.9</v>
      </c>
      <c r="AB5" s="21">
        <f t="shared" si="2"/>
        <v>0</v>
      </c>
      <c r="AC5" s="21">
        <f t="shared" si="2"/>
        <v>35.9</v>
      </c>
      <c r="AD5" s="21">
        <f t="shared" si="3"/>
        <v>0</v>
      </c>
      <c r="AE5" s="21">
        <f t="shared" si="3"/>
        <v>35.9</v>
      </c>
      <c r="AF5" s="21">
        <f t="shared" si="3"/>
        <v>0</v>
      </c>
      <c r="AG5" s="21">
        <f t="shared" si="3"/>
        <v>35.9</v>
      </c>
      <c r="AH5" s="21">
        <f t="shared" si="3"/>
        <v>0</v>
      </c>
      <c r="AI5" s="22">
        <f t="shared" si="4"/>
        <v>1.7590648187036258E-2</v>
      </c>
      <c r="AJ5" s="21">
        <f t="shared" ref="AJ5:AJ12" si="5">SUM(T5:AH5)</f>
        <v>251.3</v>
      </c>
    </row>
    <row r="6" spans="1:36" ht="14.6" x14ac:dyDescent="0.4">
      <c r="A6" s="7">
        <v>3</v>
      </c>
      <c r="B6" s="8" t="s">
        <v>26</v>
      </c>
      <c r="C6" s="185" t="s">
        <v>27</v>
      </c>
      <c r="D6" s="9">
        <f>VLOOKUP(C6,'[1]PREÇO ATUAL'!$A:$D,4,0)</f>
        <v>89.9</v>
      </c>
      <c r="E6" s="10"/>
      <c r="F6" s="10">
        <v>1</v>
      </c>
      <c r="G6" s="10"/>
      <c r="H6" s="10">
        <v>1</v>
      </c>
      <c r="I6" s="11"/>
      <c r="J6" s="11">
        <v>1</v>
      </c>
      <c r="K6" s="11"/>
      <c r="L6" s="11">
        <v>1</v>
      </c>
      <c r="M6" s="11"/>
      <c r="N6" s="11">
        <v>1</v>
      </c>
      <c r="O6" s="11"/>
      <c r="P6" s="11">
        <v>1</v>
      </c>
      <c r="Q6" s="11"/>
      <c r="R6" s="11">
        <v>1</v>
      </c>
      <c r="S6" s="11"/>
      <c r="T6" s="13">
        <f t="shared" si="2"/>
        <v>0</v>
      </c>
      <c r="U6" s="13">
        <f t="shared" si="2"/>
        <v>89.9</v>
      </c>
      <c r="V6" s="13">
        <f t="shared" si="2"/>
        <v>0</v>
      </c>
      <c r="W6" s="13">
        <f t="shared" si="2"/>
        <v>89.9</v>
      </c>
      <c r="X6" s="13">
        <f t="shared" si="2"/>
        <v>0</v>
      </c>
      <c r="Y6" s="13">
        <f t="shared" si="2"/>
        <v>89.9</v>
      </c>
      <c r="Z6" s="13">
        <f t="shared" si="2"/>
        <v>0</v>
      </c>
      <c r="AA6" s="13">
        <f t="shared" si="2"/>
        <v>89.9</v>
      </c>
      <c r="AB6" s="13">
        <f t="shared" si="2"/>
        <v>0</v>
      </c>
      <c r="AC6" s="13">
        <f t="shared" si="2"/>
        <v>89.9</v>
      </c>
      <c r="AD6" s="13">
        <f t="shared" si="3"/>
        <v>0</v>
      </c>
      <c r="AE6" s="13">
        <f t="shared" si="3"/>
        <v>89.9</v>
      </c>
      <c r="AF6" s="13">
        <f t="shared" si="3"/>
        <v>0</v>
      </c>
      <c r="AG6" s="13">
        <f t="shared" si="3"/>
        <v>89.9</v>
      </c>
      <c r="AH6" s="13">
        <f t="shared" si="3"/>
        <v>0</v>
      </c>
      <c r="AI6" s="14">
        <f t="shared" si="4"/>
        <v>4.4050118997620041E-2</v>
      </c>
      <c r="AJ6" s="13">
        <f t="shared" si="5"/>
        <v>629.29999999999995</v>
      </c>
    </row>
    <row r="7" spans="1:36" ht="14.6" x14ac:dyDescent="0.4">
      <c r="A7" s="15">
        <v>4</v>
      </c>
      <c r="B7" s="16" t="s">
        <v>28</v>
      </c>
      <c r="C7" s="186" t="s">
        <v>29</v>
      </c>
      <c r="D7" s="17">
        <f>VLOOKUP(C7,'[1]PREÇO ATUAL'!$A:$D,4,0)</f>
        <v>175.9</v>
      </c>
      <c r="E7" s="18"/>
      <c r="F7" s="18"/>
      <c r="G7" s="18"/>
      <c r="H7" s="18">
        <v>3</v>
      </c>
      <c r="I7" s="19"/>
      <c r="J7" s="19"/>
      <c r="K7" s="19"/>
      <c r="L7" s="19">
        <v>3</v>
      </c>
      <c r="M7" s="19"/>
      <c r="N7" s="19"/>
      <c r="O7" s="19"/>
      <c r="P7" s="19">
        <v>4</v>
      </c>
      <c r="Q7" s="19"/>
      <c r="R7" s="19"/>
      <c r="S7" s="19"/>
      <c r="T7" s="21">
        <f t="shared" si="2"/>
        <v>0</v>
      </c>
      <c r="U7" s="21">
        <f t="shared" si="2"/>
        <v>0</v>
      </c>
      <c r="V7" s="21">
        <f t="shared" si="2"/>
        <v>0</v>
      </c>
      <c r="W7" s="21">
        <f t="shared" si="2"/>
        <v>527.70000000000005</v>
      </c>
      <c r="X7" s="21">
        <f t="shared" si="2"/>
        <v>0</v>
      </c>
      <c r="Y7" s="21">
        <f t="shared" si="2"/>
        <v>0</v>
      </c>
      <c r="Z7" s="21">
        <f t="shared" si="2"/>
        <v>0</v>
      </c>
      <c r="AA7" s="21">
        <f t="shared" si="2"/>
        <v>527.70000000000005</v>
      </c>
      <c r="AB7" s="21">
        <f t="shared" si="2"/>
        <v>0</v>
      </c>
      <c r="AC7" s="21">
        <f t="shared" si="2"/>
        <v>0</v>
      </c>
      <c r="AD7" s="21">
        <f t="shared" si="3"/>
        <v>0</v>
      </c>
      <c r="AE7" s="21">
        <f>$D7*P7</f>
        <v>703.6</v>
      </c>
      <c r="AF7" s="21">
        <f t="shared" si="3"/>
        <v>0</v>
      </c>
      <c r="AG7" s="21">
        <f t="shared" si="3"/>
        <v>0</v>
      </c>
      <c r="AH7" s="21">
        <f t="shared" si="3"/>
        <v>0</v>
      </c>
      <c r="AI7" s="22">
        <f t="shared" si="4"/>
        <v>0.12312753744925102</v>
      </c>
      <c r="AJ7" s="21">
        <f t="shared" si="5"/>
        <v>1759</v>
      </c>
    </row>
    <row r="8" spans="1:36" ht="14.6" x14ac:dyDescent="0.4">
      <c r="A8" s="7">
        <v>5</v>
      </c>
      <c r="B8" s="8" t="s">
        <v>30</v>
      </c>
      <c r="C8" s="185" t="s">
        <v>31</v>
      </c>
      <c r="D8" s="9">
        <f>VLOOKUP(C8,'[1]PREÇO ATUAL'!$A:$D,4,0)</f>
        <v>143.22999999999999</v>
      </c>
      <c r="E8" s="10"/>
      <c r="F8" s="10"/>
      <c r="G8" s="10"/>
      <c r="H8" s="10"/>
      <c r="I8" s="11"/>
      <c r="J8" s="11">
        <v>1</v>
      </c>
      <c r="K8" s="11"/>
      <c r="L8" s="11"/>
      <c r="M8" s="11"/>
      <c r="N8" s="11"/>
      <c r="O8" s="11"/>
      <c r="P8" s="11">
        <v>1</v>
      </c>
      <c r="Q8" s="11"/>
      <c r="R8" s="11"/>
      <c r="S8" s="11"/>
      <c r="T8" s="13">
        <f t="shared" si="2"/>
        <v>0</v>
      </c>
      <c r="U8" s="13">
        <f t="shared" si="2"/>
        <v>0</v>
      </c>
      <c r="V8" s="13">
        <f t="shared" si="2"/>
        <v>0</v>
      </c>
      <c r="W8" s="13">
        <f t="shared" si="2"/>
        <v>0</v>
      </c>
      <c r="X8" s="13">
        <f t="shared" si="2"/>
        <v>0</v>
      </c>
      <c r="Y8" s="13">
        <f t="shared" si="2"/>
        <v>143.22999999999999</v>
      </c>
      <c r="Z8" s="13">
        <f t="shared" si="2"/>
        <v>0</v>
      </c>
      <c r="AA8" s="13">
        <f t="shared" si="2"/>
        <v>0</v>
      </c>
      <c r="AB8" s="13">
        <f t="shared" si="2"/>
        <v>0</v>
      </c>
      <c r="AC8" s="13">
        <f t="shared" si="2"/>
        <v>0</v>
      </c>
      <c r="AD8" s="13">
        <f t="shared" si="3"/>
        <v>0</v>
      </c>
      <c r="AE8" s="13">
        <f>$D8*P8</f>
        <v>143.22999999999999</v>
      </c>
      <c r="AF8" s="13">
        <f t="shared" si="3"/>
        <v>0</v>
      </c>
      <c r="AG8" s="13">
        <f t="shared" si="3"/>
        <v>0</v>
      </c>
      <c r="AH8" s="13">
        <f t="shared" si="3"/>
        <v>0</v>
      </c>
      <c r="AI8" s="14">
        <f t="shared" si="4"/>
        <v>2.0051798964020717E-2</v>
      </c>
      <c r="AJ8" s="13">
        <f t="shared" si="5"/>
        <v>286.45999999999998</v>
      </c>
    </row>
    <row r="9" spans="1:36" ht="14.6" x14ac:dyDescent="0.4">
      <c r="A9" s="15">
        <v>6</v>
      </c>
      <c r="B9" s="16" t="s">
        <v>32</v>
      </c>
      <c r="C9" s="186" t="s">
        <v>33</v>
      </c>
      <c r="D9" s="17">
        <f>VLOOKUP(C9,'[1]PREÇO ATUAL'!$A:$D,4,0)</f>
        <v>165.97812000000002</v>
      </c>
      <c r="E9" s="18"/>
      <c r="F9" s="18"/>
      <c r="G9" s="18"/>
      <c r="H9" s="18"/>
      <c r="I9" s="19"/>
      <c r="J9" s="19"/>
      <c r="K9" s="19"/>
      <c r="L9" s="19"/>
      <c r="M9" s="19"/>
      <c r="N9" s="19"/>
      <c r="O9" s="19"/>
      <c r="P9" s="158">
        <v>2</v>
      </c>
      <c r="Q9" s="19"/>
      <c r="R9" s="19"/>
      <c r="S9" s="19"/>
      <c r="T9" s="21">
        <f t="shared" si="2"/>
        <v>0</v>
      </c>
      <c r="U9" s="21">
        <f t="shared" si="2"/>
        <v>0</v>
      </c>
      <c r="V9" s="21">
        <f t="shared" si="2"/>
        <v>0</v>
      </c>
      <c r="W9" s="21">
        <f t="shared" si="2"/>
        <v>0</v>
      </c>
      <c r="X9" s="21">
        <f t="shared" si="2"/>
        <v>0</v>
      </c>
      <c r="Y9" s="21">
        <f t="shared" si="2"/>
        <v>0</v>
      </c>
      <c r="Z9" s="21">
        <f t="shared" si="2"/>
        <v>0</v>
      </c>
      <c r="AA9" s="21">
        <f t="shared" si="2"/>
        <v>0</v>
      </c>
      <c r="AB9" s="21">
        <f t="shared" si="2"/>
        <v>0</v>
      </c>
      <c r="AC9" s="21">
        <f t="shared" si="2"/>
        <v>0</v>
      </c>
      <c r="AD9" s="21">
        <f t="shared" si="3"/>
        <v>0</v>
      </c>
      <c r="AE9" s="21">
        <f t="shared" si="3"/>
        <v>331.95624000000004</v>
      </c>
      <c r="AF9" s="21">
        <f t="shared" si="3"/>
        <v>0</v>
      </c>
      <c r="AG9" s="21">
        <f t="shared" si="3"/>
        <v>0</v>
      </c>
      <c r="AH9" s="21">
        <f t="shared" si="3"/>
        <v>0</v>
      </c>
      <c r="AI9" s="22">
        <f t="shared" si="4"/>
        <v>2.3236472070558591E-2</v>
      </c>
      <c r="AJ9" s="21">
        <f t="shared" si="5"/>
        <v>331.95624000000004</v>
      </c>
    </row>
    <row r="10" spans="1:36" ht="14.6" x14ac:dyDescent="0.4">
      <c r="A10" s="7">
        <v>7</v>
      </c>
      <c r="B10" s="8" t="s">
        <v>34</v>
      </c>
      <c r="C10" s="185" t="s">
        <v>35</v>
      </c>
      <c r="D10" s="9">
        <f>VLOOKUP(C10,'[1]PREÇO ATUAL'!$A:$D,4,0)</f>
        <v>33.622493083850472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13">
        <f t="shared" si="2"/>
        <v>0</v>
      </c>
      <c r="U10" s="13">
        <f t="shared" si="2"/>
        <v>0</v>
      </c>
      <c r="V10" s="13">
        <f t="shared" si="2"/>
        <v>0</v>
      </c>
      <c r="W10" s="13">
        <f t="shared" si="2"/>
        <v>0</v>
      </c>
      <c r="X10" s="13">
        <f t="shared" si="2"/>
        <v>0</v>
      </c>
      <c r="Y10" s="13">
        <f t="shared" si="2"/>
        <v>0</v>
      </c>
      <c r="Z10" s="13">
        <f t="shared" si="2"/>
        <v>0</v>
      </c>
      <c r="AA10" s="13">
        <f t="shared" si="2"/>
        <v>0</v>
      </c>
      <c r="AB10" s="13">
        <f t="shared" si="2"/>
        <v>0</v>
      </c>
      <c r="AC10" s="13">
        <f t="shared" si="2"/>
        <v>0</v>
      </c>
      <c r="AD10" s="13">
        <f t="shared" si="3"/>
        <v>0</v>
      </c>
      <c r="AE10" s="13">
        <f t="shared" si="3"/>
        <v>0</v>
      </c>
      <c r="AF10" s="13">
        <f t="shared" si="3"/>
        <v>0</v>
      </c>
      <c r="AG10" s="13">
        <f t="shared" si="3"/>
        <v>0</v>
      </c>
      <c r="AH10" s="13">
        <f t="shared" si="3"/>
        <v>0</v>
      </c>
      <c r="AI10" s="14">
        <f>AJ10/$AI$2</f>
        <v>0</v>
      </c>
      <c r="AJ10" s="13">
        <f t="shared" si="5"/>
        <v>0</v>
      </c>
    </row>
    <row r="11" spans="1:36" ht="14.6" x14ac:dyDescent="0.4">
      <c r="A11" s="15">
        <v>8</v>
      </c>
      <c r="B11" s="16" t="s">
        <v>36</v>
      </c>
      <c r="C11" s="186" t="s">
        <v>37</v>
      </c>
      <c r="D11" s="17">
        <f>VLOOKUP(C11,'[1]PREÇO ATUAL'!$A:$D,4,0)</f>
        <v>94.126931447834295</v>
      </c>
      <c r="E11" s="24">
        <v>2.54</v>
      </c>
      <c r="F11" s="24">
        <v>2.54</v>
      </c>
      <c r="G11" s="24">
        <v>2.54</v>
      </c>
      <c r="H11" s="24">
        <v>2.54</v>
      </c>
      <c r="I11" s="17">
        <v>2.54</v>
      </c>
      <c r="J11" s="17">
        <v>2.54</v>
      </c>
      <c r="K11" s="17">
        <v>2.54</v>
      </c>
      <c r="L11" s="17">
        <v>2.54</v>
      </c>
      <c r="M11" s="17">
        <v>2.54</v>
      </c>
      <c r="N11" s="17">
        <v>2.54</v>
      </c>
      <c r="O11" s="17">
        <v>2.54</v>
      </c>
      <c r="P11" s="17">
        <v>2.54</v>
      </c>
      <c r="Q11" s="17">
        <v>2.54</v>
      </c>
      <c r="R11" s="17">
        <v>2.54</v>
      </c>
      <c r="S11" s="17">
        <v>2.54</v>
      </c>
      <c r="T11" s="21">
        <f t="shared" si="2"/>
        <v>239.0824058774991</v>
      </c>
      <c r="U11" s="21">
        <f t="shared" si="2"/>
        <v>239.0824058774991</v>
      </c>
      <c r="V11" s="21">
        <f t="shared" si="2"/>
        <v>239.0824058774991</v>
      </c>
      <c r="W11" s="21">
        <f t="shared" si="2"/>
        <v>239.0824058774991</v>
      </c>
      <c r="X11" s="21">
        <f t="shared" si="2"/>
        <v>239.0824058774991</v>
      </c>
      <c r="Y11" s="21">
        <f t="shared" si="2"/>
        <v>239.0824058774991</v>
      </c>
      <c r="Z11" s="21">
        <f t="shared" si="2"/>
        <v>239.0824058774991</v>
      </c>
      <c r="AA11" s="21">
        <f t="shared" si="2"/>
        <v>239.0824058774991</v>
      </c>
      <c r="AB11" s="21">
        <f t="shared" si="2"/>
        <v>239.0824058774991</v>
      </c>
      <c r="AC11" s="21">
        <f t="shared" si="2"/>
        <v>239.0824058774991</v>
      </c>
      <c r="AD11" s="21">
        <f t="shared" si="3"/>
        <v>239.0824058774991</v>
      </c>
      <c r="AE11" s="21">
        <f t="shared" si="3"/>
        <v>239.0824058774991</v>
      </c>
      <c r="AF11" s="21">
        <f t="shared" si="3"/>
        <v>239.0824058774991</v>
      </c>
      <c r="AG11" s="21">
        <f t="shared" si="3"/>
        <v>239.0824058774991</v>
      </c>
      <c r="AH11" s="21">
        <f t="shared" si="3"/>
        <v>239.0824058774991</v>
      </c>
      <c r="AI11" s="22">
        <f t="shared" si="4"/>
        <v>0.2510315055412633</v>
      </c>
      <c r="AJ11" s="21">
        <f t="shared" si="5"/>
        <v>3586.2360881624872</v>
      </c>
    </row>
    <row r="12" spans="1:36" ht="14.6" x14ac:dyDescent="0.4">
      <c r="A12" s="7">
        <v>9</v>
      </c>
      <c r="B12" s="8" t="s">
        <v>38</v>
      </c>
      <c r="C12" s="185" t="s">
        <v>39</v>
      </c>
      <c r="D12" s="9">
        <f>VLOOKUP(C12,'[1]PREÇO ATUAL'!$A:$D,4,0)</f>
        <v>342</v>
      </c>
      <c r="E12" s="23">
        <v>0.85</v>
      </c>
      <c r="F12" s="23">
        <v>1.2</v>
      </c>
      <c r="G12" s="23">
        <v>0.9</v>
      </c>
      <c r="H12" s="23">
        <v>2.15</v>
      </c>
      <c r="I12" s="23">
        <v>1</v>
      </c>
      <c r="J12" s="23">
        <v>1.45</v>
      </c>
      <c r="K12" s="23">
        <v>0.85</v>
      </c>
      <c r="L12" s="23">
        <v>2.15</v>
      </c>
      <c r="M12" s="23">
        <v>0.9</v>
      </c>
      <c r="N12" s="23">
        <v>1.35</v>
      </c>
      <c r="O12" s="23">
        <v>0.85</v>
      </c>
      <c r="P12" s="23">
        <v>1.5</v>
      </c>
      <c r="Q12" s="23">
        <v>0.85</v>
      </c>
      <c r="R12" s="23">
        <v>1.2</v>
      </c>
      <c r="S12" s="23">
        <v>1.05</v>
      </c>
      <c r="T12" s="13">
        <f>D12*E12</f>
        <v>290.7</v>
      </c>
      <c r="U12" s="13">
        <f t="shared" ref="U12:AC12" si="6">$D12*F12</f>
        <v>410.4</v>
      </c>
      <c r="V12" s="13">
        <f t="shared" si="6"/>
        <v>307.8</v>
      </c>
      <c r="W12" s="13">
        <f t="shared" si="6"/>
        <v>735.3</v>
      </c>
      <c r="X12" s="13">
        <f t="shared" si="6"/>
        <v>342</v>
      </c>
      <c r="Y12" s="13">
        <f t="shared" si="6"/>
        <v>495.9</v>
      </c>
      <c r="Z12" s="13">
        <f t="shared" si="6"/>
        <v>290.7</v>
      </c>
      <c r="AA12" s="13">
        <f t="shared" si="6"/>
        <v>735.3</v>
      </c>
      <c r="AB12" s="13">
        <f t="shared" si="6"/>
        <v>307.8</v>
      </c>
      <c r="AC12" s="13">
        <f t="shared" si="6"/>
        <v>461.70000000000005</v>
      </c>
      <c r="AD12" s="13">
        <f t="shared" si="3"/>
        <v>290.7</v>
      </c>
      <c r="AE12" s="13">
        <f t="shared" si="3"/>
        <v>513</v>
      </c>
      <c r="AF12" s="13">
        <f t="shared" si="3"/>
        <v>290.7</v>
      </c>
      <c r="AG12" s="13">
        <f t="shared" si="3"/>
        <v>410.4</v>
      </c>
      <c r="AH12" s="13">
        <f t="shared" si="3"/>
        <v>359.1</v>
      </c>
      <c r="AI12" s="14">
        <f t="shared" si="4"/>
        <v>0.43689626207475846</v>
      </c>
      <c r="AJ12" s="13">
        <f t="shared" si="5"/>
        <v>6241.4999999999991</v>
      </c>
    </row>
    <row r="13" spans="1:36" ht="14.6" x14ac:dyDescent="0.4">
      <c r="H13" s="39"/>
      <c r="L13" s="39"/>
    </row>
    <row r="14" spans="1:36" ht="25.5" customHeight="1" x14ac:dyDescent="0.4">
      <c r="A14" s="211" t="s">
        <v>40</v>
      </c>
      <c r="B14" s="212"/>
      <c r="C14" s="212"/>
      <c r="D14" s="213"/>
      <c r="E14" s="126" t="s">
        <v>3</v>
      </c>
      <c r="F14" s="133"/>
      <c r="G14" s="133"/>
      <c r="H14" s="133"/>
      <c r="I14" s="133"/>
      <c r="J14" s="133"/>
      <c r="K14" s="133"/>
      <c r="L14" s="133"/>
      <c r="M14" s="133"/>
      <c r="N14" s="134"/>
      <c r="O14" s="133"/>
      <c r="P14" s="133"/>
      <c r="Q14" s="133"/>
      <c r="R14" s="133"/>
      <c r="S14" s="133"/>
      <c r="T14" s="125" t="s">
        <v>4</v>
      </c>
      <c r="U14" s="125"/>
      <c r="V14" s="125"/>
      <c r="W14" s="125"/>
      <c r="X14" s="125"/>
      <c r="Y14" s="125"/>
      <c r="Z14" s="125"/>
      <c r="AA14" s="125"/>
      <c r="AB14" s="125"/>
      <c r="AC14" s="125"/>
      <c r="AD14" s="147"/>
      <c r="AE14" s="147"/>
      <c r="AF14" s="147"/>
      <c r="AG14" s="147"/>
      <c r="AH14" s="147"/>
      <c r="AI14" s="219" t="s">
        <v>5</v>
      </c>
      <c r="AJ14" s="220"/>
    </row>
    <row r="15" spans="1:36" x14ac:dyDescent="0.4">
      <c r="A15" s="208"/>
      <c r="B15" s="209"/>
      <c r="C15" s="209"/>
      <c r="D15" s="210"/>
      <c r="E15" s="130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2">
        <f>MROUND(SUM(T17:T26),1)</f>
        <v>881</v>
      </c>
      <c r="U15" s="2">
        <f>MROUND(SUM(U17:U26),1)</f>
        <v>1127</v>
      </c>
      <c r="V15" s="2">
        <f>MROUND(SUM(V17:V26),1)</f>
        <v>898</v>
      </c>
      <c r="W15" s="2">
        <f t="shared" ref="W15:AH15" si="7">MROUND(SUM(W17:W26),1)</f>
        <v>1996</v>
      </c>
      <c r="X15" s="2">
        <f t="shared" si="7"/>
        <v>932</v>
      </c>
      <c r="Y15" s="2">
        <f t="shared" si="7"/>
        <v>1212</v>
      </c>
      <c r="Z15" s="2">
        <f t="shared" si="7"/>
        <v>881</v>
      </c>
      <c r="AA15" s="2">
        <f t="shared" si="7"/>
        <v>1996</v>
      </c>
      <c r="AB15" s="2">
        <f t="shared" si="7"/>
        <v>898</v>
      </c>
      <c r="AC15" s="2">
        <f t="shared" si="7"/>
        <v>1178</v>
      </c>
      <c r="AD15" s="2">
        <f t="shared" si="7"/>
        <v>881</v>
      </c>
      <c r="AE15" s="2">
        <f t="shared" si="7"/>
        <v>1757</v>
      </c>
      <c r="AF15" s="2">
        <f t="shared" si="7"/>
        <v>881</v>
      </c>
      <c r="AG15" s="2">
        <f t="shared" si="7"/>
        <v>1127</v>
      </c>
      <c r="AH15" s="2">
        <f t="shared" si="7"/>
        <v>950</v>
      </c>
      <c r="AI15" s="221">
        <f>SUM(T15:AH15)</f>
        <v>17595</v>
      </c>
      <c r="AJ15" s="220"/>
    </row>
    <row r="16" spans="1:36" ht="14.6" x14ac:dyDescent="0.4">
      <c r="A16" s="3" t="s">
        <v>6</v>
      </c>
      <c r="B16" s="3" t="s">
        <v>7</v>
      </c>
      <c r="C16" s="184" t="s">
        <v>8</v>
      </c>
      <c r="D16" s="4" t="s">
        <v>9</v>
      </c>
      <c r="E16" s="5" t="s">
        <v>10</v>
      </c>
      <c r="F16" s="5" t="s">
        <v>11</v>
      </c>
      <c r="G16" s="5" t="s">
        <v>12</v>
      </c>
      <c r="H16" s="5" t="s">
        <v>13</v>
      </c>
      <c r="I16" s="5" t="s">
        <v>14</v>
      </c>
      <c r="J16" s="5" t="s">
        <v>15</v>
      </c>
      <c r="K16" s="5" t="s">
        <v>16</v>
      </c>
      <c r="L16" s="5" t="s">
        <v>17</v>
      </c>
      <c r="M16" s="5" t="s">
        <v>18</v>
      </c>
      <c r="N16" s="128" t="s">
        <v>19</v>
      </c>
      <c r="O16" s="128">
        <v>11</v>
      </c>
      <c r="P16" s="128">
        <v>12</v>
      </c>
      <c r="Q16" s="128">
        <v>13</v>
      </c>
      <c r="R16" s="128">
        <v>14</v>
      </c>
      <c r="S16" s="128">
        <v>15</v>
      </c>
      <c r="T16" s="5">
        <v>10000</v>
      </c>
      <c r="U16" s="5">
        <v>20000</v>
      </c>
      <c r="V16" s="5">
        <v>30000</v>
      </c>
      <c r="W16" s="5">
        <v>40000</v>
      </c>
      <c r="X16" s="5">
        <v>50000</v>
      </c>
      <c r="Y16" s="5">
        <v>60000</v>
      </c>
      <c r="Z16" s="5">
        <v>70000</v>
      </c>
      <c r="AA16" s="5">
        <v>80000</v>
      </c>
      <c r="AB16" s="5">
        <v>90000</v>
      </c>
      <c r="AC16" s="5">
        <v>100000</v>
      </c>
      <c r="AD16" s="148">
        <f>AC16+10000</f>
        <v>110000</v>
      </c>
      <c r="AE16" s="148">
        <f t="shared" ref="AE16" si="8">AD16+10000</f>
        <v>120000</v>
      </c>
      <c r="AF16" s="148">
        <f t="shared" ref="AF16" si="9">AE16+10000</f>
        <v>130000</v>
      </c>
      <c r="AG16" s="148">
        <f t="shared" ref="AG16" si="10">AF16+10000</f>
        <v>140000</v>
      </c>
      <c r="AH16" s="148">
        <f t="shared" ref="AH16" si="11">AG16+10000</f>
        <v>150000</v>
      </c>
      <c r="AI16" s="6" t="s">
        <v>20</v>
      </c>
      <c r="AJ16" s="3" t="s">
        <v>21</v>
      </c>
    </row>
    <row r="17" spans="1:36" ht="14.6" x14ac:dyDescent="0.4">
      <c r="A17" s="7">
        <v>1</v>
      </c>
      <c r="B17" s="142" t="s">
        <v>41</v>
      </c>
      <c r="C17" s="185" t="s">
        <v>23</v>
      </c>
      <c r="D17" s="9">
        <f>VLOOKUP(C17,'[1]PREÇO ATUAL'!$A:$D,4,0)</f>
        <v>79.900000000000006</v>
      </c>
      <c r="E17" s="10">
        <v>1</v>
      </c>
      <c r="F17" s="10">
        <v>1</v>
      </c>
      <c r="G17" s="10">
        <v>1</v>
      </c>
      <c r="H17" s="10">
        <v>1</v>
      </c>
      <c r="I17" s="11">
        <v>1</v>
      </c>
      <c r="J17" s="11">
        <v>1</v>
      </c>
      <c r="K17" s="11">
        <v>1</v>
      </c>
      <c r="L17" s="11">
        <v>1</v>
      </c>
      <c r="M17" s="11">
        <v>1</v>
      </c>
      <c r="N17" s="11">
        <v>1</v>
      </c>
      <c r="O17" s="11">
        <v>1</v>
      </c>
      <c r="P17" s="11">
        <v>1</v>
      </c>
      <c r="Q17" s="11">
        <v>1</v>
      </c>
      <c r="R17" s="11">
        <v>1</v>
      </c>
      <c r="S17" s="11">
        <v>1</v>
      </c>
      <c r="T17" s="13">
        <f t="shared" ref="T17:T24" si="12">$D17*E17</f>
        <v>79.900000000000006</v>
      </c>
      <c r="U17" s="13">
        <f t="shared" ref="U17:U25" si="13">$D17*F17</f>
        <v>79.900000000000006</v>
      </c>
      <c r="V17" s="13">
        <f t="shared" ref="V17:V25" si="14">$D17*G17</f>
        <v>79.900000000000006</v>
      </c>
      <c r="W17" s="13">
        <f t="shared" ref="W17:W25" si="15">$D17*H17</f>
        <v>79.900000000000006</v>
      </c>
      <c r="X17" s="13">
        <f t="shared" ref="X17:X25" si="16">$D17*I17</f>
        <v>79.900000000000006</v>
      </c>
      <c r="Y17" s="13">
        <f t="shared" ref="Y17:Y25" si="17">$D17*J17</f>
        <v>79.900000000000006</v>
      </c>
      <c r="Z17" s="13">
        <f t="shared" ref="Z17:Z25" si="18">$D17*K17</f>
        <v>79.900000000000006</v>
      </c>
      <c r="AA17" s="13">
        <f t="shared" ref="AA17:AA25" si="19">$D17*L17</f>
        <v>79.900000000000006</v>
      </c>
      <c r="AB17" s="13">
        <f t="shared" ref="AB17:AB25" si="20">$D17*M17</f>
        <v>79.900000000000006</v>
      </c>
      <c r="AC17" s="13">
        <f t="shared" ref="AC17:AC25" si="21">$D17*N17</f>
        <v>79.900000000000006</v>
      </c>
      <c r="AD17" s="13">
        <f t="shared" ref="AD17:AD25" si="22">$D17*O17</f>
        <v>79.900000000000006</v>
      </c>
      <c r="AE17" s="13">
        <f t="shared" ref="AE17:AE19" si="23">$D17*P17</f>
        <v>79.900000000000006</v>
      </c>
      <c r="AF17" s="13">
        <f t="shared" ref="AF17:AF25" si="24">$D17*Q17</f>
        <v>79.900000000000006</v>
      </c>
      <c r="AG17" s="13">
        <f t="shared" ref="AG17:AG25" si="25">$D17*R17</f>
        <v>79.900000000000006</v>
      </c>
      <c r="AH17" s="13">
        <f t="shared" ref="AH17:AH25" si="26">$D17*S17</f>
        <v>79.900000000000006</v>
      </c>
      <c r="AI17" s="14">
        <f t="shared" ref="AI17:AI22" si="27">AJ17/$AI$2</f>
        <v>8.3893322133557324E-2</v>
      </c>
      <c r="AJ17" s="13">
        <f>SUM(T17:AH17)</f>
        <v>1198.5</v>
      </c>
    </row>
    <row r="18" spans="1:36" ht="14.6" x14ac:dyDescent="0.4">
      <c r="A18" s="15">
        <v>2</v>
      </c>
      <c r="B18" s="143" t="s">
        <v>24</v>
      </c>
      <c r="C18" s="186" t="s">
        <v>25</v>
      </c>
      <c r="D18" s="17">
        <f>VLOOKUP(C18,'[1]PREÇO ATUAL'!$A:$D,4,0)</f>
        <v>35.9</v>
      </c>
      <c r="E18" s="18"/>
      <c r="F18" s="18">
        <v>1</v>
      </c>
      <c r="G18" s="18"/>
      <c r="H18" s="18">
        <v>1</v>
      </c>
      <c r="I18" s="19"/>
      <c r="J18" s="18">
        <v>1</v>
      </c>
      <c r="K18" s="19"/>
      <c r="L18" s="18">
        <v>1</v>
      </c>
      <c r="M18" s="19"/>
      <c r="N18" s="18">
        <v>1</v>
      </c>
      <c r="O18" s="19"/>
      <c r="P18" s="18">
        <v>1</v>
      </c>
      <c r="Q18" s="19"/>
      <c r="R18" s="18">
        <v>1</v>
      </c>
      <c r="S18" s="19"/>
      <c r="T18" s="21">
        <f t="shared" si="12"/>
        <v>0</v>
      </c>
      <c r="U18" s="21">
        <f t="shared" si="13"/>
        <v>35.9</v>
      </c>
      <c r="V18" s="21">
        <f t="shared" si="14"/>
        <v>0</v>
      </c>
      <c r="W18" s="21">
        <f t="shared" si="15"/>
        <v>35.9</v>
      </c>
      <c r="X18" s="21">
        <f t="shared" si="16"/>
        <v>0</v>
      </c>
      <c r="Y18" s="21">
        <f t="shared" si="17"/>
        <v>35.9</v>
      </c>
      <c r="Z18" s="21">
        <f t="shared" si="18"/>
        <v>0</v>
      </c>
      <c r="AA18" s="21">
        <f t="shared" si="19"/>
        <v>35.9</v>
      </c>
      <c r="AB18" s="21">
        <f t="shared" si="20"/>
        <v>0</v>
      </c>
      <c r="AC18" s="21">
        <f t="shared" si="21"/>
        <v>35.9</v>
      </c>
      <c r="AD18" s="21">
        <f t="shared" si="22"/>
        <v>0</v>
      </c>
      <c r="AE18" s="21">
        <f t="shared" si="23"/>
        <v>35.9</v>
      </c>
      <c r="AF18" s="21">
        <f t="shared" si="24"/>
        <v>0</v>
      </c>
      <c r="AG18" s="21">
        <f t="shared" si="25"/>
        <v>35.9</v>
      </c>
      <c r="AH18" s="21">
        <f t="shared" si="26"/>
        <v>0</v>
      </c>
      <c r="AI18" s="22">
        <f t="shared" si="27"/>
        <v>1.7590648187036258E-2</v>
      </c>
      <c r="AJ18" s="21">
        <f t="shared" ref="AJ18:AJ25" si="28">SUM(T18:AH18)</f>
        <v>251.3</v>
      </c>
    </row>
    <row r="19" spans="1:36" ht="14.6" x14ac:dyDescent="0.4">
      <c r="A19" s="7">
        <v>3</v>
      </c>
      <c r="B19" s="142" t="s">
        <v>42</v>
      </c>
      <c r="C19" s="185" t="s">
        <v>27</v>
      </c>
      <c r="D19" s="9">
        <f>VLOOKUP(C19,'[1]PREÇO ATUAL'!$A:$D,4,0)</f>
        <v>89.9</v>
      </c>
      <c r="E19" s="10"/>
      <c r="F19" s="10">
        <v>1</v>
      </c>
      <c r="G19" s="10"/>
      <c r="H19" s="10">
        <v>1</v>
      </c>
      <c r="I19" s="11"/>
      <c r="J19" s="10">
        <v>1</v>
      </c>
      <c r="K19" s="11"/>
      <c r="L19" s="10">
        <v>1</v>
      </c>
      <c r="M19" s="11"/>
      <c r="N19" s="10">
        <v>1</v>
      </c>
      <c r="O19" s="11"/>
      <c r="P19" s="10">
        <v>1</v>
      </c>
      <c r="Q19" s="11"/>
      <c r="R19" s="10">
        <v>1</v>
      </c>
      <c r="S19" s="11"/>
      <c r="T19" s="13">
        <f t="shared" si="12"/>
        <v>0</v>
      </c>
      <c r="U19" s="13">
        <f t="shared" si="13"/>
        <v>89.9</v>
      </c>
      <c r="V19" s="13">
        <f t="shared" si="14"/>
        <v>0</v>
      </c>
      <c r="W19" s="13">
        <f t="shared" si="15"/>
        <v>89.9</v>
      </c>
      <c r="X19" s="13">
        <f t="shared" si="16"/>
        <v>0</v>
      </c>
      <c r="Y19" s="13">
        <f t="shared" si="17"/>
        <v>89.9</v>
      </c>
      <c r="Z19" s="13">
        <f t="shared" si="18"/>
        <v>0</v>
      </c>
      <c r="AA19" s="13">
        <f t="shared" si="19"/>
        <v>89.9</v>
      </c>
      <c r="AB19" s="13">
        <f t="shared" si="20"/>
        <v>0</v>
      </c>
      <c r="AC19" s="13">
        <f t="shared" si="21"/>
        <v>89.9</v>
      </c>
      <c r="AD19" s="13">
        <f t="shared" si="22"/>
        <v>0</v>
      </c>
      <c r="AE19" s="13">
        <f t="shared" si="23"/>
        <v>89.9</v>
      </c>
      <c r="AF19" s="13">
        <f t="shared" si="24"/>
        <v>0</v>
      </c>
      <c r="AG19" s="13">
        <f t="shared" si="25"/>
        <v>89.9</v>
      </c>
      <c r="AH19" s="13">
        <f t="shared" si="26"/>
        <v>0</v>
      </c>
      <c r="AI19" s="14">
        <f t="shared" si="27"/>
        <v>4.4050118997620041E-2</v>
      </c>
      <c r="AJ19" s="13">
        <f t="shared" si="28"/>
        <v>629.29999999999995</v>
      </c>
    </row>
    <row r="20" spans="1:36" ht="14.6" x14ac:dyDescent="0.4">
      <c r="A20" s="15">
        <v>4</v>
      </c>
      <c r="B20" s="143" t="s">
        <v>43</v>
      </c>
      <c r="C20" s="186" t="s">
        <v>44</v>
      </c>
      <c r="D20" s="17">
        <f>VLOOKUP(C20,'[1]PREÇO ATUAL'!$A:$D,4,0)</f>
        <v>203.03100000000001</v>
      </c>
      <c r="E20" s="18">
        <v>1</v>
      </c>
      <c r="F20" s="18">
        <v>1</v>
      </c>
      <c r="G20" s="18">
        <v>1</v>
      </c>
      <c r="H20" s="18">
        <v>1</v>
      </c>
      <c r="I20" s="19">
        <v>1</v>
      </c>
      <c r="J20" s="19">
        <v>1</v>
      </c>
      <c r="K20" s="19">
        <v>1</v>
      </c>
      <c r="L20" s="19">
        <v>1</v>
      </c>
      <c r="M20" s="19">
        <v>1</v>
      </c>
      <c r="N20" s="19">
        <v>1</v>
      </c>
      <c r="O20" s="19">
        <v>1</v>
      </c>
      <c r="P20" s="19">
        <v>1</v>
      </c>
      <c r="Q20" s="19">
        <v>1</v>
      </c>
      <c r="R20" s="19">
        <v>1</v>
      </c>
      <c r="S20" s="19">
        <v>1</v>
      </c>
      <c r="T20" s="21">
        <f t="shared" si="12"/>
        <v>203.03100000000001</v>
      </c>
      <c r="U20" s="21">
        <f t="shared" si="13"/>
        <v>203.03100000000001</v>
      </c>
      <c r="V20" s="21">
        <f t="shared" si="14"/>
        <v>203.03100000000001</v>
      </c>
      <c r="W20" s="21">
        <f t="shared" si="15"/>
        <v>203.03100000000001</v>
      </c>
      <c r="X20" s="21">
        <f t="shared" si="16"/>
        <v>203.03100000000001</v>
      </c>
      <c r="Y20" s="21">
        <f t="shared" si="17"/>
        <v>203.03100000000001</v>
      </c>
      <c r="Z20" s="21">
        <f t="shared" si="18"/>
        <v>203.03100000000001</v>
      </c>
      <c r="AA20" s="21">
        <f t="shared" si="19"/>
        <v>203.03100000000001</v>
      </c>
      <c r="AB20" s="21">
        <f t="shared" si="20"/>
        <v>203.03100000000001</v>
      </c>
      <c r="AC20" s="21">
        <f t="shared" si="21"/>
        <v>203.03100000000001</v>
      </c>
      <c r="AD20" s="21">
        <f t="shared" si="22"/>
        <v>203.03100000000001</v>
      </c>
      <c r="AE20" s="21">
        <f>$D20*P20</f>
        <v>203.03100000000001</v>
      </c>
      <c r="AF20" s="21">
        <f t="shared" si="24"/>
        <v>203.03100000000001</v>
      </c>
      <c r="AG20" s="21">
        <f t="shared" si="25"/>
        <v>203.03100000000001</v>
      </c>
      <c r="AH20" s="21">
        <f t="shared" si="26"/>
        <v>203.03100000000001</v>
      </c>
      <c r="AI20" s="22">
        <f t="shared" si="27"/>
        <v>0.21317828643427128</v>
      </c>
      <c r="AJ20" s="21">
        <f t="shared" si="28"/>
        <v>3045.4649999999997</v>
      </c>
    </row>
    <row r="21" spans="1:36" ht="24.9" x14ac:dyDescent="0.4">
      <c r="A21" s="7">
        <v>5</v>
      </c>
      <c r="B21" s="142" t="s">
        <v>45</v>
      </c>
      <c r="C21" s="185" t="s">
        <v>29</v>
      </c>
      <c r="D21" s="9">
        <f>VLOOKUP(C21,'[1]PREÇO ATUAL'!$A:$D,4,0)</f>
        <v>175.9</v>
      </c>
      <c r="E21" s="10"/>
      <c r="F21" s="10"/>
      <c r="G21" s="10"/>
      <c r="H21" s="10">
        <v>3</v>
      </c>
      <c r="I21" s="11"/>
      <c r="J21" s="11"/>
      <c r="K21" s="11"/>
      <c r="L21" s="10">
        <v>3</v>
      </c>
      <c r="M21" s="11"/>
      <c r="N21" s="11"/>
      <c r="O21" s="11"/>
      <c r="P21" s="10">
        <v>3</v>
      </c>
      <c r="Q21" s="11"/>
      <c r="R21" s="11"/>
      <c r="S21" s="11"/>
      <c r="T21" s="13">
        <f t="shared" si="12"/>
        <v>0</v>
      </c>
      <c r="U21" s="13">
        <f t="shared" si="13"/>
        <v>0</v>
      </c>
      <c r="V21" s="13">
        <f t="shared" si="14"/>
        <v>0</v>
      </c>
      <c r="W21" s="13">
        <f t="shared" si="15"/>
        <v>527.70000000000005</v>
      </c>
      <c r="X21" s="13">
        <f t="shared" si="16"/>
        <v>0</v>
      </c>
      <c r="Y21" s="13">
        <f t="shared" si="17"/>
        <v>0</v>
      </c>
      <c r="Z21" s="13">
        <f t="shared" si="18"/>
        <v>0</v>
      </c>
      <c r="AA21" s="13">
        <f t="shared" si="19"/>
        <v>527.70000000000005</v>
      </c>
      <c r="AB21" s="13">
        <f t="shared" si="20"/>
        <v>0</v>
      </c>
      <c r="AC21" s="13">
        <f t="shared" si="21"/>
        <v>0</v>
      </c>
      <c r="AD21" s="13">
        <f t="shared" si="22"/>
        <v>0</v>
      </c>
      <c r="AE21" s="13">
        <f>$D21*P21</f>
        <v>527.70000000000005</v>
      </c>
      <c r="AF21" s="13">
        <f t="shared" si="24"/>
        <v>0</v>
      </c>
      <c r="AG21" s="13">
        <f t="shared" si="25"/>
        <v>0</v>
      </c>
      <c r="AH21" s="13">
        <f t="shared" si="26"/>
        <v>0</v>
      </c>
      <c r="AI21" s="14">
        <f t="shared" si="27"/>
        <v>0.11081478370432592</v>
      </c>
      <c r="AJ21" s="13">
        <f t="shared" si="28"/>
        <v>1583.1000000000001</v>
      </c>
    </row>
    <row r="22" spans="1:36" ht="24.9" x14ac:dyDescent="0.4">
      <c r="A22" s="15">
        <v>6</v>
      </c>
      <c r="B22" s="143" t="s">
        <v>46</v>
      </c>
      <c r="C22" s="186" t="s">
        <v>31</v>
      </c>
      <c r="D22" s="17">
        <f>VLOOKUP(C22,'[1]PREÇO ATUAL'!$A:$D,4,0)</f>
        <v>143.22999999999999</v>
      </c>
      <c r="E22" s="18"/>
      <c r="F22" s="18"/>
      <c r="G22" s="18"/>
      <c r="H22" s="18"/>
      <c r="I22" s="19"/>
      <c r="J22" s="19"/>
      <c r="K22" s="19"/>
      <c r="L22" s="19"/>
      <c r="M22" s="19"/>
      <c r="N22" s="19"/>
      <c r="O22" s="19"/>
      <c r="P22" s="158"/>
      <c r="Q22" s="19"/>
      <c r="R22" s="19"/>
      <c r="S22" s="19"/>
      <c r="T22" s="21">
        <f t="shared" si="12"/>
        <v>0</v>
      </c>
      <c r="U22" s="21">
        <f t="shared" si="13"/>
        <v>0</v>
      </c>
      <c r="V22" s="21">
        <f t="shared" si="14"/>
        <v>0</v>
      </c>
      <c r="W22" s="21">
        <f t="shared" si="15"/>
        <v>0</v>
      </c>
      <c r="X22" s="21">
        <f t="shared" si="16"/>
        <v>0</v>
      </c>
      <c r="Y22" s="21">
        <f t="shared" si="17"/>
        <v>0</v>
      </c>
      <c r="Z22" s="21">
        <f t="shared" si="18"/>
        <v>0</v>
      </c>
      <c r="AA22" s="21">
        <f t="shared" si="19"/>
        <v>0</v>
      </c>
      <c r="AB22" s="21">
        <f t="shared" si="20"/>
        <v>0</v>
      </c>
      <c r="AC22" s="21">
        <f t="shared" si="21"/>
        <v>0</v>
      </c>
      <c r="AD22" s="21">
        <f t="shared" si="22"/>
        <v>0</v>
      </c>
      <c r="AE22" s="21">
        <f t="shared" ref="AE22:AE25" si="29">$D22*P22</f>
        <v>0</v>
      </c>
      <c r="AF22" s="21">
        <f t="shared" si="24"/>
        <v>0</v>
      </c>
      <c r="AG22" s="21">
        <f t="shared" si="25"/>
        <v>0</v>
      </c>
      <c r="AH22" s="21">
        <f t="shared" si="26"/>
        <v>0</v>
      </c>
      <c r="AI22" s="22">
        <f t="shared" si="27"/>
        <v>0</v>
      </c>
      <c r="AJ22" s="21">
        <f t="shared" si="28"/>
        <v>0</v>
      </c>
    </row>
    <row r="23" spans="1:36" ht="14.6" x14ac:dyDescent="0.4">
      <c r="A23" s="7">
        <v>7</v>
      </c>
      <c r="B23" s="142" t="s">
        <v>47</v>
      </c>
      <c r="C23" s="185" t="s">
        <v>33</v>
      </c>
      <c r="D23" s="9">
        <f>VLOOKUP(C23,'[1]PREÇO ATUAL'!$A:$D,4,0)</f>
        <v>165.97812000000002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13">
        <f t="shared" si="12"/>
        <v>0</v>
      </c>
      <c r="U23" s="13">
        <f t="shared" si="13"/>
        <v>0</v>
      </c>
      <c r="V23" s="13">
        <f t="shared" si="14"/>
        <v>0</v>
      </c>
      <c r="W23" s="13">
        <f t="shared" si="15"/>
        <v>0</v>
      </c>
      <c r="X23" s="13">
        <f t="shared" si="16"/>
        <v>0</v>
      </c>
      <c r="Y23" s="13">
        <f t="shared" si="17"/>
        <v>0</v>
      </c>
      <c r="Z23" s="13">
        <f t="shared" si="18"/>
        <v>0</v>
      </c>
      <c r="AA23" s="13">
        <f t="shared" si="19"/>
        <v>0</v>
      </c>
      <c r="AB23" s="13">
        <f t="shared" si="20"/>
        <v>0</v>
      </c>
      <c r="AC23" s="13">
        <f t="shared" si="21"/>
        <v>0</v>
      </c>
      <c r="AD23" s="13">
        <f t="shared" si="22"/>
        <v>0</v>
      </c>
      <c r="AE23" s="13">
        <f t="shared" si="29"/>
        <v>0</v>
      </c>
      <c r="AF23" s="13">
        <f t="shared" si="24"/>
        <v>0</v>
      </c>
      <c r="AG23" s="13">
        <f t="shared" si="25"/>
        <v>0</v>
      </c>
      <c r="AH23" s="13">
        <f t="shared" si="26"/>
        <v>0</v>
      </c>
      <c r="AI23" s="14">
        <f>AJ23/$AI$2</f>
        <v>0</v>
      </c>
      <c r="AJ23" s="13">
        <f t="shared" si="28"/>
        <v>0</v>
      </c>
    </row>
    <row r="24" spans="1:36" ht="24.9" x14ac:dyDescent="0.4">
      <c r="A24" s="15">
        <v>8</v>
      </c>
      <c r="B24" s="143" t="s">
        <v>48</v>
      </c>
      <c r="C24" s="186" t="s">
        <v>35</v>
      </c>
      <c r="D24" s="17">
        <f>VLOOKUP(C24,'[1]PREÇO ATUAL'!$A:$D,4,0)</f>
        <v>33.622493083850472</v>
      </c>
      <c r="E24" s="24"/>
      <c r="F24" s="24"/>
      <c r="G24" s="24"/>
      <c r="H24" s="24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21">
        <f t="shared" si="12"/>
        <v>0</v>
      </c>
      <c r="U24" s="21">
        <f t="shared" si="13"/>
        <v>0</v>
      </c>
      <c r="V24" s="21">
        <f t="shared" si="14"/>
        <v>0</v>
      </c>
      <c r="W24" s="21">
        <f t="shared" si="15"/>
        <v>0</v>
      </c>
      <c r="X24" s="21">
        <f t="shared" si="16"/>
        <v>0</v>
      </c>
      <c r="Y24" s="21">
        <f t="shared" si="17"/>
        <v>0</v>
      </c>
      <c r="Z24" s="21">
        <f t="shared" si="18"/>
        <v>0</v>
      </c>
      <c r="AA24" s="21">
        <f t="shared" si="19"/>
        <v>0</v>
      </c>
      <c r="AB24" s="21">
        <f t="shared" si="20"/>
        <v>0</v>
      </c>
      <c r="AC24" s="21">
        <f t="shared" si="21"/>
        <v>0</v>
      </c>
      <c r="AD24" s="21">
        <f t="shared" si="22"/>
        <v>0</v>
      </c>
      <c r="AE24" s="21">
        <f t="shared" si="29"/>
        <v>0</v>
      </c>
      <c r="AF24" s="21">
        <f t="shared" si="24"/>
        <v>0</v>
      </c>
      <c r="AG24" s="21">
        <f t="shared" si="25"/>
        <v>0</v>
      </c>
      <c r="AH24" s="21">
        <f t="shared" si="26"/>
        <v>0</v>
      </c>
      <c r="AI24" s="22">
        <f t="shared" ref="AI24:AI25" si="30">AJ24/$AI$2</f>
        <v>0</v>
      </c>
      <c r="AJ24" s="21">
        <f t="shared" si="28"/>
        <v>0</v>
      </c>
    </row>
    <row r="25" spans="1:36" ht="14.6" x14ac:dyDescent="0.4">
      <c r="A25" s="7">
        <v>9</v>
      </c>
      <c r="B25" s="142" t="s">
        <v>49</v>
      </c>
      <c r="C25" s="185" t="s">
        <v>37</v>
      </c>
      <c r="D25" s="9">
        <f>VLOOKUP(C25,'[1]PREÇO ATUAL'!$A:$D,4,0)</f>
        <v>94.126931447834295</v>
      </c>
      <c r="E25" s="23">
        <v>2.54</v>
      </c>
      <c r="F25" s="23">
        <v>2.54</v>
      </c>
      <c r="G25" s="23">
        <v>2.54</v>
      </c>
      <c r="H25" s="23">
        <v>2.54</v>
      </c>
      <c r="I25" s="23">
        <v>2.54</v>
      </c>
      <c r="J25" s="23">
        <v>2.54</v>
      </c>
      <c r="K25" s="23">
        <v>2.54</v>
      </c>
      <c r="L25" s="23">
        <v>2.54</v>
      </c>
      <c r="M25" s="23">
        <v>2.54</v>
      </c>
      <c r="N25" s="23">
        <v>2.54</v>
      </c>
      <c r="O25" s="23">
        <v>2.54</v>
      </c>
      <c r="P25" s="23">
        <v>2.54</v>
      </c>
      <c r="Q25" s="23">
        <v>2.54</v>
      </c>
      <c r="R25" s="23">
        <v>2.54</v>
      </c>
      <c r="S25" s="23">
        <v>2.54</v>
      </c>
      <c r="T25" s="13">
        <f>D25*E25</f>
        <v>239.0824058774991</v>
      </c>
      <c r="U25" s="13">
        <f t="shared" si="13"/>
        <v>239.0824058774991</v>
      </c>
      <c r="V25" s="13">
        <f t="shared" si="14"/>
        <v>239.0824058774991</v>
      </c>
      <c r="W25" s="13">
        <f t="shared" si="15"/>
        <v>239.0824058774991</v>
      </c>
      <c r="X25" s="13">
        <f t="shared" si="16"/>
        <v>239.0824058774991</v>
      </c>
      <c r="Y25" s="13">
        <f t="shared" si="17"/>
        <v>239.0824058774991</v>
      </c>
      <c r="Z25" s="13">
        <f t="shared" si="18"/>
        <v>239.0824058774991</v>
      </c>
      <c r="AA25" s="13">
        <f t="shared" si="19"/>
        <v>239.0824058774991</v>
      </c>
      <c r="AB25" s="13">
        <f t="shared" si="20"/>
        <v>239.0824058774991</v>
      </c>
      <c r="AC25" s="13">
        <f t="shared" si="21"/>
        <v>239.0824058774991</v>
      </c>
      <c r="AD25" s="13">
        <f t="shared" si="22"/>
        <v>239.0824058774991</v>
      </c>
      <c r="AE25" s="13">
        <f t="shared" si="29"/>
        <v>239.0824058774991</v>
      </c>
      <c r="AF25" s="13">
        <f t="shared" si="24"/>
        <v>239.0824058774991</v>
      </c>
      <c r="AG25" s="13">
        <f t="shared" si="25"/>
        <v>239.0824058774991</v>
      </c>
      <c r="AH25" s="13">
        <f t="shared" si="26"/>
        <v>239.0824058774991</v>
      </c>
      <c r="AI25" s="14">
        <f t="shared" si="30"/>
        <v>0.2510315055412633</v>
      </c>
      <c r="AJ25" s="13">
        <f t="shared" si="28"/>
        <v>3586.2360881624872</v>
      </c>
    </row>
    <row r="26" spans="1:36" ht="14.6" x14ac:dyDescent="0.4">
      <c r="A26" s="15">
        <v>10</v>
      </c>
      <c r="B26" s="143" t="s">
        <v>38</v>
      </c>
      <c r="C26" s="186" t="s">
        <v>39</v>
      </c>
      <c r="D26" s="17">
        <f>VLOOKUP(C26,'[1]PREÇO ATUAL'!$A:$D,4,0)</f>
        <v>342</v>
      </c>
      <c r="E26" s="24">
        <v>1.05</v>
      </c>
      <c r="F26" s="24">
        <v>1.4</v>
      </c>
      <c r="G26" s="24">
        <v>1.1000000000000001</v>
      </c>
      <c r="H26" s="24">
        <v>2.4</v>
      </c>
      <c r="I26" s="17">
        <v>1.2</v>
      </c>
      <c r="J26" s="17">
        <v>1.65</v>
      </c>
      <c r="K26" s="17">
        <v>1.05</v>
      </c>
      <c r="L26" s="17">
        <v>2.4</v>
      </c>
      <c r="M26" s="17">
        <v>1.1000000000000001</v>
      </c>
      <c r="N26" s="17">
        <v>1.55</v>
      </c>
      <c r="O26" s="17">
        <v>1.05</v>
      </c>
      <c r="P26" s="17">
        <v>1.7000000000000002</v>
      </c>
      <c r="Q26" s="17">
        <v>1.05</v>
      </c>
      <c r="R26" s="17">
        <v>1.4</v>
      </c>
      <c r="S26" s="17">
        <v>1.25</v>
      </c>
      <c r="T26" s="21">
        <f t="shared" ref="T26" si="31">$D26*E26</f>
        <v>359.1</v>
      </c>
      <c r="U26" s="21">
        <f t="shared" ref="U26" si="32">$D26*F26</f>
        <v>478.79999999999995</v>
      </c>
      <c r="V26" s="21">
        <f t="shared" ref="V26" si="33">$D26*G26</f>
        <v>376.20000000000005</v>
      </c>
      <c r="W26" s="21">
        <f t="shared" ref="W26" si="34">$D26*H26</f>
        <v>820.8</v>
      </c>
      <c r="X26" s="21">
        <f t="shared" ref="X26" si="35">$D26*I26</f>
        <v>410.4</v>
      </c>
      <c r="Y26" s="21">
        <f t="shared" ref="Y26" si="36">$D26*J26</f>
        <v>564.29999999999995</v>
      </c>
      <c r="Z26" s="21">
        <f t="shared" ref="Z26" si="37">$D26*K26</f>
        <v>359.1</v>
      </c>
      <c r="AA26" s="21">
        <f t="shared" ref="AA26" si="38">$D26*L26</f>
        <v>820.8</v>
      </c>
      <c r="AB26" s="21">
        <f t="shared" ref="AB26" si="39">$D26*M26</f>
        <v>376.20000000000005</v>
      </c>
      <c r="AC26" s="21">
        <f t="shared" ref="AC26" si="40">$D26*N26</f>
        <v>530.1</v>
      </c>
      <c r="AD26" s="21">
        <f t="shared" ref="AD26" si="41">$D26*O26</f>
        <v>359.1</v>
      </c>
      <c r="AE26" s="21">
        <f t="shared" ref="AE26" si="42">$D26*P26</f>
        <v>581.40000000000009</v>
      </c>
      <c r="AF26" s="21">
        <f t="shared" ref="AF26" si="43">$D26*Q26</f>
        <v>359.1</v>
      </c>
      <c r="AG26" s="21">
        <f t="shared" ref="AG26" si="44">$D26*R26</f>
        <v>478.79999999999995</v>
      </c>
      <c r="AH26" s="21">
        <f t="shared" ref="AH26" si="45">$D26*S26</f>
        <v>427.5</v>
      </c>
      <c r="AI26" s="22">
        <f t="shared" ref="AI26" si="46">AJ26/$AI$2</f>
        <v>0.51110877782444353</v>
      </c>
      <c r="AJ26" s="21">
        <f t="shared" ref="AJ26" si="47">SUM(T26:AH26)</f>
        <v>7301.7</v>
      </c>
    </row>
    <row r="27" spans="1:36" ht="15.75" customHeight="1" x14ac:dyDescent="0.4"/>
    <row r="28" spans="1:36" ht="15.75" customHeight="1" x14ac:dyDescent="0.4"/>
    <row r="29" spans="1:36" ht="15.75" customHeight="1" x14ac:dyDescent="0.4"/>
    <row r="30" spans="1:36" ht="15.75" customHeight="1" x14ac:dyDescent="0.4"/>
    <row r="31" spans="1:36" ht="15.75" customHeight="1" x14ac:dyDescent="0.4"/>
    <row r="32" spans="1:36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</sheetData>
  <mergeCells count="4">
    <mergeCell ref="AI1:AJ1"/>
    <mergeCell ref="AI2:AJ2"/>
    <mergeCell ref="AI14:AJ14"/>
    <mergeCell ref="AI15:AJ15"/>
  </mergeCells>
  <pageMargins left="0.511811024" right="0.511811024" top="0.78740157499999996" bottom="0.78740157499999996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tabColor rgb="FF00FF00"/>
  </sheetPr>
  <dimension ref="A1:AJ963"/>
  <sheetViews>
    <sheetView showGridLines="0" workbookViewId="0">
      <pane xSplit="4" topLeftCell="E1" activePane="topRight" state="frozen"/>
      <selection activeCell="B26" sqref="B26"/>
      <selection pane="topRight" activeCell="D7" sqref="D7"/>
    </sheetView>
  </sheetViews>
  <sheetFormatPr defaultColWidth="14.3828125" defaultRowHeight="15" customHeight="1" x14ac:dyDescent="0.4"/>
  <cols>
    <col min="1" max="1" width="3.3046875" customWidth="1"/>
    <col min="2" max="2" width="56" bestFit="1" customWidth="1"/>
    <col min="3" max="3" width="16.84375" style="187" customWidth="1"/>
    <col min="4" max="4" width="8.69140625" customWidth="1"/>
    <col min="5" max="7" width="5.15234375" bestFit="1" customWidth="1"/>
    <col min="8" max="8" width="5.15234375" customWidth="1"/>
    <col min="9" max="19" width="5.15234375" bestFit="1" customWidth="1"/>
    <col min="20" max="20" width="15" customWidth="1"/>
    <col min="21" max="21" width="15.69140625" bestFit="1" customWidth="1"/>
    <col min="22" max="22" width="15" customWidth="1"/>
    <col min="23" max="23" width="17.15234375" customWidth="1"/>
    <col min="24" max="24" width="15" customWidth="1"/>
    <col min="25" max="25" width="17.15234375" customWidth="1"/>
    <col min="26" max="26" width="13.69140625" customWidth="1"/>
    <col min="27" max="27" width="15.69140625" customWidth="1"/>
    <col min="28" max="28" width="13.69140625" customWidth="1"/>
    <col min="29" max="29" width="15.69140625" bestFit="1" customWidth="1"/>
    <col min="30" max="30" width="13.69140625" customWidth="1"/>
    <col min="31" max="31" width="15.69140625" bestFit="1" customWidth="1"/>
    <col min="32" max="32" width="13.69140625" customWidth="1"/>
    <col min="33" max="33" width="15.69140625" bestFit="1" customWidth="1"/>
    <col min="34" max="34" width="13.69140625" customWidth="1"/>
    <col min="35" max="35" width="8.3828125" customWidth="1"/>
    <col min="36" max="36" width="15.53515625" customWidth="1"/>
  </cols>
  <sheetData>
    <row r="1" spans="1:36" ht="14.6" x14ac:dyDescent="0.4">
      <c r="A1" s="222" t="s">
        <v>50</v>
      </c>
      <c r="B1" s="223"/>
      <c r="C1" s="223"/>
      <c r="D1" s="223"/>
      <c r="E1" s="226" t="s">
        <v>3</v>
      </c>
      <c r="F1" s="227"/>
      <c r="G1" s="227"/>
      <c r="H1" s="227"/>
      <c r="I1" s="227"/>
      <c r="J1" s="227"/>
      <c r="K1" s="227"/>
      <c r="L1" s="227"/>
      <c r="M1" s="227"/>
      <c r="N1" s="227"/>
      <c r="O1" s="162"/>
      <c r="P1" s="162"/>
      <c r="Q1" s="162"/>
      <c r="R1" s="162"/>
      <c r="S1" s="162"/>
      <c r="T1" s="230" t="s">
        <v>4</v>
      </c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231"/>
      <c r="AH1" s="231"/>
      <c r="AI1" s="219" t="s">
        <v>5</v>
      </c>
      <c r="AJ1" s="220"/>
    </row>
    <row r="2" spans="1:36" ht="14.6" x14ac:dyDescent="0.4">
      <c r="A2" s="224"/>
      <c r="B2" s="225"/>
      <c r="C2" s="225"/>
      <c r="D2" s="225"/>
      <c r="E2" s="228"/>
      <c r="F2" s="229"/>
      <c r="G2" s="229"/>
      <c r="H2" s="229"/>
      <c r="I2" s="229"/>
      <c r="J2" s="229"/>
      <c r="K2" s="229"/>
      <c r="L2" s="229"/>
      <c r="M2" s="229"/>
      <c r="N2" s="229"/>
      <c r="O2" s="163"/>
      <c r="P2" s="163"/>
      <c r="Q2" s="163"/>
      <c r="R2" s="163"/>
      <c r="S2" s="163"/>
      <c r="T2" s="2">
        <f t="shared" ref="T2:AH2" si="0">MROUND(SUM(T4:T12),1)</f>
        <v>687</v>
      </c>
      <c r="U2" s="2">
        <f t="shared" si="0"/>
        <v>932</v>
      </c>
      <c r="V2" s="2">
        <f t="shared" si="0"/>
        <v>704</v>
      </c>
      <c r="W2" s="2">
        <f t="shared" si="0"/>
        <v>1961</v>
      </c>
      <c r="X2" s="2">
        <f t="shared" si="0"/>
        <v>738</v>
      </c>
      <c r="Y2" s="2">
        <f t="shared" si="0"/>
        <v>1161</v>
      </c>
      <c r="Z2" s="2">
        <f t="shared" si="0"/>
        <v>687</v>
      </c>
      <c r="AA2" s="2">
        <f t="shared" si="0"/>
        <v>1961</v>
      </c>
      <c r="AB2" s="2">
        <f t="shared" si="0"/>
        <v>704</v>
      </c>
      <c r="AC2" s="2">
        <f t="shared" si="0"/>
        <v>984</v>
      </c>
      <c r="AD2" s="2">
        <f t="shared" si="0"/>
        <v>687</v>
      </c>
      <c r="AE2" s="2">
        <f t="shared" si="0"/>
        <v>2214</v>
      </c>
      <c r="AF2" s="2">
        <f t="shared" si="0"/>
        <v>687</v>
      </c>
      <c r="AG2" s="2">
        <f t="shared" si="0"/>
        <v>932</v>
      </c>
      <c r="AH2" s="2">
        <f t="shared" si="0"/>
        <v>755</v>
      </c>
      <c r="AI2" s="221">
        <f>SUM(T2:AH2)</f>
        <v>15794</v>
      </c>
      <c r="AJ2" s="220"/>
    </row>
    <row r="3" spans="1:36" ht="14.6" x14ac:dyDescent="0.4">
      <c r="A3" s="3" t="s">
        <v>6</v>
      </c>
      <c r="B3" s="3" t="s">
        <v>7</v>
      </c>
      <c r="C3" s="184" t="s">
        <v>8</v>
      </c>
      <c r="D3" s="4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51</v>
      </c>
      <c r="M3" s="5" t="s">
        <v>52</v>
      </c>
      <c r="N3" s="5" t="s">
        <v>19</v>
      </c>
      <c r="O3" s="128">
        <v>11</v>
      </c>
      <c r="P3" s="128">
        <v>12</v>
      </c>
      <c r="Q3" s="128">
        <v>13</v>
      </c>
      <c r="R3" s="128">
        <v>14</v>
      </c>
      <c r="S3" s="128">
        <v>15</v>
      </c>
      <c r="T3" s="5">
        <v>10000</v>
      </c>
      <c r="U3" s="5">
        <v>20000</v>
      </c>
      <c r="V3" s="5">
        <v>30000</v>
      </c>
      <c r="W3" s="5">
        <v>40000</v>
      </c>
      <c r="X3" s="5">
        <v>50000</v>
      </c>
      <c r="Y3" s="5">
        <v>60000</v>
      </c>
      <c r="Z3" s="5">
        <v>70000</v>
      </c>
      <c r="AA3" s="5">
        <v>80000</v>
      </c>
      <c r="AB3" s="5">
        <v>90000</v>
      </c>
      <c r="AC3" s="5">
        <v>100000</v>
      </c>
      <c r="AD3" s="148">
        <f>AC3+10000</f>
        <v>110000</v>
      </c>
      <c r="AE3" s="148">
        <f t="shared" ref="AE3:AH3" si="1">AD3+10000</f>
        <v>120000</v>
      </c>
      <c r="AF3" s="148">
        <f t="shared" si="1"/>
        <v>130000</v>
      </c>
      <c r="AG3" s="148">
        <f t="shared" si="1"/>
        <v>140000</v>
      </c>
      <c r="AH3" s="148">
        <f t="shared" si="1"/>
        <v>150000</v>
      </c>
      <c r="AI3" s="6" t="s">
        <v>20</v>
      </c>
      <c r="AJ3" s="3" t="s">
        <v>21</v>
      </c>
    </row>
    <row r="4" spans="1:36" ht="14.6" x14ac:dyDescent="0.4">
      <c r="A4" s="7">
        <v>1</v>
      </c>
      <c r="B4" s="8" t="s">
        <v>22</v>
      </c>
      <c r="C4" s="185" t="s">
        <v>23</v>
      </c>
      <c r="D4" s="9">
        <f>VLOOKUP(C4,'[1]PREÇO ATUAL'!$A:$D,4,0)</f>
        <v>79.900000000000006</v>
      </c>
      <c r="E4" s="10">
        <v>1</v>
      </c>
      <c r="F4" s="10">
        <v>1</v>
      </c>
      <c r="G4" s="10">
        <v>1</v>
      </c>
      <c r="H4" s="10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0">
        <v>1</v>
      </c>
      <c r="O4" s="10">
        <v>1</v>
      </c>
      <c r="P4" s="10">
        <v>1</v>
      </c>
      <c r="Q4" s="10">
        <v>1</v>
      </c>
      <c r="R4" s="10">
        <v>1</v>
      </c>
      <c r="S4" s="10">
        <v>1</v>
      </c>
      <c r="T4" s="13">
        <f t="shared" ref="T4:AC4" si="2">$D4*E4</f>
        <v>79.900000000000006</v>
      </c>
      <c r="U4" s="13">
        <f t="shared" si="2"/>
        <v>79.900000000000006</v>
      </c>
      <c r="V4" s="13">
        <f t="shared" si="2"/>
        <v>79.900000000000006</v>
      </c>
      <c r="W4" s="13">
        <f t="shared" si="2"/>
        <v>79.900000000000006</v>
      </c>
      <c r="X4" s="13">
        <f t="shared" si="2"/>
        <v>79.900000000000006</v>
      </c>
      <c r="Y4" s="13">
        <f t="shared" si="2"/>
        <v>79.900000000000006</v>
      </c>
      <c r="Z4" s="13">
        <f t="shared" si="2"/>
        <v>79.900000000000006</v>
      </c>
      <c r="AA4" s="13">
        <f t="shared" si="2"/>
        <v>79.900000000000006</v>
      </c>
      <c r="AB4" s="13">
        <f t="shared" si="2"/>
        <v>79.900000000000006</v>
      </c>
      <c r="AC4" s="13">
        <f t="shared" si="2"/>
        <v>79.900000000000006</v>
      </c>
      <c r="AD4" s="13">
        <f t="shared" ref="AD4:AH12" si="3">$D4*O4</f>
        <v>79.900000000000006</v>
      </c>
      <c r="AE4" s="13">
        <f t="shared" si="3"/>
        <v>79.900000000000006</v>
      </c>
      <c r="AF4" s="13">
        <f t="shared" si="3"/>
        <v>79.900000000000006</v>
      </c>
      <c r="AG4" s="13">
        <f t="shared" si="3"/>
        <v>79.900000000000006</v>
      </c>
      <c r="AH4" s="13">
        <f t="shared" si="3"/>
        <v>79.900000000000006</v>
      </c>
      <c r="AI4" s="14">
        <f t="shared" ref="AI4:AI12" si="4">AJ4/$AI$2</f>
        <v>7.5883246802583265E-2</v>
      </c>
      <c r="AJ4" s="13">
        <f>SUM(T4:AH4)</f>
        <v>1198.5</v>
      </c>
    </row>
    <row r="5" spans="1:36" ht="14.6" x14ac:dyDescent="0.4">
      <c r="A5" s="15">
        <v>2</v>
      </c>
      <c r="B5" s="16" t="s">
        <v>24</v>
      </c>
      <c r="C5" s="186" t="s">
        <v>25</v>
      </c>
      <c r="D5" s="17">
        <f>VLOOKUP(C5,'[1]PREÇO ATUAL'!$A:$D,4,0)</f>
        <v>35.9</v>
      </c>
      <c r="E5" s="18"/>
      <c r="F5" s="18">
        <v>1</v>
      </c>
      <c r="G5" s="18"/>
      <c r="H5" s="18">
        <v>1</v>
      </c>
      <c r="I5" s="19"/>
      <c r="J5" s="19">
        <v>1</v>
      </c>
      <c r="K5" s="19"/>
      <c r="L5" s="19">
        <v>1</v>
      </c>
      <c r="M5" s="19"/>
      <c r="N5" s="18">
        <v>1</v>
      </c>
      <c r="O5" s="155"/>
      <c r="P5" s="19">
        <v>1</v>
      </c>
      <c r="Q5" s="19"/>
      <c r="R5" s="19">
        <v>1</v>
      </c>
      <c r="S5" s="19"/>
      <c r="T5" s="21">
        <f t="shared" ref="T5:AC5" si="5">$D5*E5</f>
        <v>0</v>
      </c>
      <c r="U5" s="21">
        <f t="shared" si="5"/>
        <v>35.9</v>
      </c>
      <c r="V5" s="21">
        <f t="shared" si="5"/>
        <v>0</v>
      </c>
      <c r="W5" s="21">
        <f t="shared" si="5"/>
        <v>35.9</v>
      </c>
      <c r="X5" s="21">
        <f t="shared" si="5"/>
        <v>0</v>
      </c>
      <c r="Y5" s="21">
        <f t="shared" si="5"/>
        <v>35.9</v>
      </c>
      <c r="Z5" s="21">
        <f t="shared" si="5"/>
        <v>0</v>
      </c>
      <c r="AA5" s="21">
        <f t="shared" si="5"/>
        <v>35.9</v>
      </c>
      <c r="AB5" s="21">
        <f t="shared" si="5"/>
        <v>0</v>
      </c>
      <c r="AC5" s="21">
        <f t="shared" si="5"/>
        <v>35.9</v>
      </c>
      <c r="AD5" s="21">
        <f t="shared" si="3"/>
        <v>0</v>
      </c>
      <c r="AE5" s="21">
        <f t="shared" si="3"/>
        <v>35.9</v>
      </c>
      <c r="AF5" s="21">
        <f t="shared" si="3"/>
        <v>0</v>
      </c>
      <c r="AG5" s="21">
        <f t="shared" si="3"/>
        <v>35.9</v>
      </c>
      <c r="AH5" s="21">
        <f t="shared" si="3"/>
        <v>0</v>
      </c>
      <c r="AI5" s="22">
        <f t="shared" si="4"/>
        <v>1.5911105483094847E-2</v>
      </c>
      <c r="AJ5" s="21">
        <f t="shared" ref="AJ5:AJ12" si="6">SUM(T5:AH5)</f>
        <v>251.3</v>
      </c>
    </row>
    <row r="6" spans="1:36" ht="14.6" x14ac:dyDescent="0.4">
      <c r="A6" s="7">
        <v>3</v>
      </c>
      <c r="B6" s="8" t="s">
        <v>26</v>
      </c>
      <c r="C6" s="185" t="s">
        <v>27</v>
      </c>
      <c r="D6" s="9">
        <f>VLOOKUP(C6,'[1]PREÇO ATUAL'!$A:$D,4,0)</f>
        <v>89.9</v>
      </c>
      <c r="E6" s="10"/>
      <c r="F6" s="10">
        <v>1</v>
      </c>
      <c r="G6" s="10"/>
      <c r="H6" s="10">
        <v>1</v>
      </c>
      <c r="I6" s="11"/>
      <c r="J6" s="11">
        <v>1</v>
      </c>
      <c r="K6" s="11"/>
      <c r="L6" s="11">
        <v>1</v>
      </c>
      <c r="M6" s="11"/>
      <c r="N6" s="10">
        <v>1</v>
      </c>
      <c r="O6" s="154"/>
      <c r="P6" s="11">
        <v>1</v>
      </c>
      <c r="Q6" s="11"/>
      <c r="R6" s="11">
        <v>1</v>
      </c>
      <c r="S6" s="11"/>
      <c r="T6" s="13">
        <f t="shared" ref="T6:AC6" si="7">$D6*E6</f>
        <v>0</v>
      </c>
      <c r="U6" s="13">
        <f t="shared" si="7"/>
        <v>89.9</v>
      </c>
      <c r="V6" s="13">
        <f t="shared" si="7"/>
        <v>0</v>
      </c>
      <c r="W6" s="13">
        <f t="shared" si="7"/>
        <v>89.9</v>
      </c>
      <c r="X6" s="13">
        <f t="shared" si="7"/>
        <v>0</v>
      </c>
      <c r="Y6" s="13">
        <f t="shared" si="7"/>
        <v>89.9</v>
      </c>
      <c r="Z6" s="13">
        <f t="shared" si="7"/>
        <v>0</v>
      </c>
      <c r="AA6" s="13">
        <f t="shared" si="7"/>
        <v>89.9</v>
      </c>
      <c r="AB6" s="13">
        <f t="shared" si="7"/>
        <v>0</v>
      </c>
      <c r="AC6" s="13">
        <f t="shared" si="7"/>
        <v>89.9</v>
      </c>
      <c r="AD6" s="13">
        <f t="shared" si="3"/>
        <v>0</v>
      </c>
      <c r="AE6" s="13">
        <f t="shared" si="3"/>
        <v>89.9</v>
      </c>
      <c r="AF6" s="13">
        <f t="shared" si="3"/>
        <v>0</v>
      </c>
      <c r="AG6" s="13">
        <f t="shared" si="3"/>
        <v>89.9</v>
      </c>
      <c r="AH6" s="13">
        <f t="shared" si="3"/>
        <v>0</v>
      </c>
      <c r="AI6" s="14">
        <f t="shared" si="4"/>
        <v>3.9844244649867036E-2</v>
      </c>
      <c r="AJ6" s="13">
        <f t="shared" si="6"/>
        <v>629.29999999999995</v>
      </c>
    </row>
    <row r="7" spans="1:36" ht="14.6" x14ac:dyDescent="0.4">
      <c r="A7" s="15">
        <v>4</v>
      </c>
      <c r="B7" s="16" t="s">
        <v>28</v>
      </c>
      <c r="C7" s="186" t="s">
        <v>29</v>
      </c>
      <c r="D7" s="17">
        <f>VLOOKUP(C7,'[1]PREÇO ATUAL'!$A:$D,4,0)</f>
        <v>175.9</v>
      </c>
      <c r="E7" s="18"/>
      <c r="F7" s="18"/>
      <c r="G7" s="18"/>
      <c r="H7" s="18">
        <v>4</v>
      </c>
      <c r="I7" s="19"/>
      <c r="J7" s="19"/>
      <c r="K7" s="19"/>
      <c r="L7" s="19">
        <v>4</v>
      </c>
      <c r="M7" s="19"/>
      <c r="N7" s="18"/>
      <c r="O7" s="155"/>
      <c r="P7" s="19">
        <v>4</v>
      </c>
      <c r="Q7" s="19"/>
      <c r="R7" s="19"/>
      <c r="S7" s="19"/>
      <c r="T7" s="21">
        <f t="shared" ref="T7:AC7" si="8">$D7*E7</f>
        <v>0</v>
      </c>
      <c r="U7" s="21">
        <f t="shared" si="8"/>
        <v>0</v>
      </c>
      <c r="V7" s="21">
        <f t="shared" si="8"/>
        <v>0</v>
      </c>
      <c r="W7" s="21">
        <f t="shared" si="8"/>
        <v>703.6</v>
      </c>
      <c r="X7" s="21">
        <f t="shared" si="8"/>
        <v>0</v>
      </c>
      <c r="Y7" s="21">
        <f t="shared" si="8"/>
        <v>0</v>
      </c>
      <c r="Z7" s="21">
        <f t="shared" si="8"/>
        <v>0</v>
      </c>
      <c r="AA7" s="21">
        <f t="shared" si="8"/>
        <v>703.6</v>
      </c>
      <c r="AB7" s="21">
        <f t="shared" si="8"/>
        <v>0</v>
      </c>
      <c r="AC7" s="21">
        <f t="shared" si="8"/>
        <v>0</v>
      </c>
      <c r="AD7" s="21">
        <f t="shared" si="3"/>
        <v>0</v>
      </c>
      <c r="AE7" s="21">
        <f t="shared" si="3"/>
        <v>703.6</v>
      </c>
      <c r="AF7" s="21">
        <f t="shared" si="3"/>
        <v>0</v>
      </c>
      <c r="AG7" s="21">
        <f t="shared" si="3"/>
        <v>0</v>
      </c>
      <c r="AH7" s="21">
        <f t="shared" si="3"/>
        <v>0</v>
      </c>
      <c r="AI7" s="22">
        <f t="shared" si="4"/>
        <v>0.13364568823603901</v>
      </c>
      <c r="AJ7" s="21">
        <f>SUM(T7:AH7)</f>
        <v>2110.8000000000002</v>
      </c>
    </row>
    <row r="8" spans="1:36" ht="14.6" x14ac:dyDescent="0.4">
      <c r="A8" s="7">
        <v>5</v>
      </c>
      <c r="B8" s="8" t="s">
        <v>30</v>
      </c>
      <c r="C8" s="185" t="s">
        <v>31</v>
      </c>
      <c r="D8" s="9">
        <f>VLOOKUP(C8,'[1]PREÇO ATUAL'!$A:$D,4,0)</f>
        <v>143.22999999999999</v>
      </c>
      <c r="E8" s="10"/>
      <c r="F8" s="10"/>
      <c r="G8" s="10"/>
      <c r="H8" s="10"/>
      <c r="I8" s="11"/>
      <c r="J8" s="11">
        <v>1</v>
      </c>
      <c r="K8" s="11"/>
      <c r="L8" s="11"/>
      <c r="M8" s="11"/>
      <c r="N8" s="10"/>
      <c r="O8" s="154"/>
      <c r="P8" s="11">
        <v>1</v>
      </c>
      <c r="Q8" s="11"/>
      <c r="R8" s="11"/>
      <c r="S8" s="11"/>
      <c r="T8" s="13">
        <f t="shared" ref="T8:AC8" si="9">$D8*E8</f>
        <v>0</v>
      </c>
      <c r="U8" s="13">
        <f t="shared" si="9"/>
        <v>0</v>
      </c>
      <c r="V8" s="13">
        <f t="shared" si="9"/>
        <v>0</v>
      </c>
      <c r="W8" s="13">
        <f t="shared" si="9"/>
        <v>0</v>
      </c>
      <c r="X8" s="13">
        <f t="shared" si="9"/>
        <v>0</v>
      </c>
      <c r="Y8" s="13">
        <f t="shared" si="9"/>
        <v>143.22999999999999</v>
      </c>
      <c r="Z8" s="13">
        <f t="shared" si="9"/>
        <v>0</v>
      </c>
      <c r="AA8" s="13">
        <f t="shared" si="9"/>
        <v>0</v>
      </c>
      <c r="AB8" s="13">
        <f t="shared" si="9"/>
        <v>0</v>
      </c>
      <c r="AC8" s="13">
        <f t="shared" si="9"/>
        <v>0</v>
      </c>
      <c r="AD8" s="13">
        <f t="shared" si="3"/>
        <v>0</v>
      </c>
      <c r="AE8" s="13">
        <f t="shared" si="3"/>
        <v>143.22999999999999</v>
      </c>
      <c r="AF8" s="13">
        <f t="shared" si="3"/>
        <v>0</v>
      </c>
      <c r="AG8" s="13">
        <f t="shared" si="3"/>
        <v>0</v>
      </c>
      <c r="AH8" s="13">
        <f t="shared" si="3"/>
        <v>0</v>
      </c>
      <c r="AI8" s="14">
        <f t="shared" si="4"/>
        <v>1.8137267316702545E-2</v>
      </c>
      <c r="AJ8" s="13">
        <f t="shared" si="6"/>
        <v>286.45999999999998</v>
      </c>
    </row>
    <row r="9" spans="1:36" ht="14.6" x14ac:dyDescent="0.4">
      <c r="A9" s="15">
        <v>6</v>
      </c>
      <c r="B9" s="16" t="s">
        <v>32</v>
      </c>
      <c r="C9" s="186" t="s">
        <v>33</v>
      </c>
      <c r="D9" s="17">
        <f>VLOOKUP(C9,'[1]PREÇO ATUAL'!$A:$D,4,0)</f>
        <v>165.97812000000002</v>
      </c>
      <c r="E9" s="18"/>
      <c r="F9" s="18"/>
      <c r="G9" s="18"/>
      <c r="H9" s="18"/>
      <c r="I9" s="19"/>
      <c r="J9" s="19"/>
      <c r="K9" s="19"/>
      <c r="L9" s="19"/>
      <c r="M9" s="19"/>
      <c r="N9" s="18"/>
      <c r="O9" s="155"/>
      <c r="P9" s="158">
        <v>2</v>
      </c>
      <c r="Q9" s="19"/>
      <c r="R9" s="19"/>
      <c r="S9" s="19"/>
      <c r="T9" s="21">
        <f t="shared" ref="T9" si="10">$D9*E9</f>
        <v>0</v>
      </c>
      <c r="U9" s="21">
        <f t="shared" ref="U9" si="11">$D9*F9</f>
        <v>0</v>
      </c>
      <c r="V9" s="21">
        <f t="shared" ref="V9" si="12">$D9*G9</f>
        <v>0</v>
      </c>
      <c r="W9" s="21">
        <f t="shared" ref="W9" si="13">$D9*H9</f>
        <v>0</v>
      </c>
      <c r="X9" s="21">
        <f t="shared" ref="X9" si="14">$D9*I9</f>
        <v>0</v>
      </c>
      <c r="Y9" s="21">
        <f t="shared" ref="Y9" si="15">$D9*J9</f>
        <v>0</v>
      </c>
      <c r="Z9" s="21">
        <f t="shared" ref="Z9" si="16">$D9*K9</f>
        <v>0</v>
      </c>
      <c r="AA9" s="21">
        <f t="shared" ref="AA9" si="17">$D9*L9</f>
        <v>0</v>
      </c>
      <c r="AB9" s="21">
        <f t="shared" ref="AB9" si="18">$D9*M9</f>
        <v>0</v>
      </c>
      <c r="AC9" s="21">
        <f t="shared" ref="AC9" si="19">$D9*N9</f>
        <v>0</v>
      </c>
      <c r="AD9" s="21">
        <f t="shared" si="3"/>
        <v>0</v>
      </c>
      <c r="AE9" s="21">
        <f t="shared" si="3"/>
        <v>331.95624000000004</v>
      </c>
      <c r="AF9" s="21">
        <f t="shared" si="3"/>
        <v>0</v>
      </c>
      <c r="AG9" s="21">
        <f t="shared" si="3"/>
        <v>0</v>
      </c>
      <c r="AH9" s="21">
        <f t="shared" si="3"/>
        <v>0</v>
      </c>
      <c r="AI9" s="22">
        <f t="shared" ref="AI9" si="20">AJ9/$AI$2</f>
        <v>2.1017870077244524E-2</v>
      </c>
      <c r="AJ9" s="21">
        <f t="shared" si="6"/>
        <v>331.95624000000004</v>
      </c>
    </row>
    <row r="10" spans="1:36" ht="14.6" x14ac:dyDescent="0.4">
      <c r="A10" s="7">
        <v>7</v>
      </c>
      <c r="B10" s="8" t="s">
        <v>34</v>
      </c>
      <c r="C10" s="185" t="s">
        <v>35</v>
      </c>
      <c r="D10" s="9">
        <f>VLOOKUP(C10,'[1]PREÇO ATUAL'!$A:$D,4,0)</f>
        <v>33.622493083850472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13">
        <f t="shared" ref="T10:AC10" si="21">$D10*E10</f>
        <v>0</v>
      </c>
      <c r="U10" s="13">
        <f t="shared" si="21"/>
        <v>0</v>
      </c>
      <c r="V10" s="13">
        <f t="shared" si="21"/>
        <v>0</v>
      </c>
      <c r="W10" s="13">
        <f t="shared" si="21"/>
        <v>0</v>
      </c>
      <c r="X10" s="13">
        <f t="shared" si="21"/>
        <v>0</v>
      </c>
      <c r="Y10" s="13">
        <f t="shared" si="21"/>
        <v>0</v>
      </c>
      <c r="Z10" s="13">
        <f t="shared" si="21"/>
        <v>0</v>
      </c>
      <c r="AA10" s="13">
        <f t="shared" si="21"/>
        <v>0</v>
      </c>
      <c r="AB10" s="13">
        <f t="shared" si="21"/>
        <v>0</v>
      </c>
      <c r="AC10" s="13">
        <f t="shared" si="21"/>
        <v>0</v>
      </c>
      <c r="AD10" s="13">
        <f t="shared" si="3"/>
        <v>0</v>
      </c>
      <c r="AE10" s="13">
        <f t="shared" si="3"/>
        <v>0</v>
      </c>
      <c r="AF10" s="13">
        <f t="shared" si="3"/>
        <v>0</v>
      </c>
      <c r="AG10" s="13">
        <f t="shared" si="3"/>
        <v>0</v>
      </c>
      <c r="AH10" s="13">
        <f t="shared" si="3"/>
        <v>0</v>
      </c>
      <c r="AI10" s="14">
        <f t="shared" si="4"/>
        <v>0</v>
      </c>
      <c r="AJ10" s="13">
        <f t="shared" si="6"/>
        <v>0</v>
      </c>
    </row>
    <row r="11" spans="1:36" ht="14.6" x14ac:dyDescent="0.4">
      <c r="A11" s="15">
        <v>8</v>
      </c>
      <c r="B11" s="16" t="s">
        <v>36</v>
      </c>
      <c r="C11" s="186" t="s">
        <v>37</v>
      </c>
      <c r="D11" s="17">
        <f>VLOOKUP(C11,'[1]PREÇO ATUAL'!$A:$D,4,0)</f>
        <v>94.126931447834295</v>
      </c>
      <c r="E11" s="24">
        <v>3.36</v>
      </c>
      <c r="F11" s="24">
        <v>3.36</v>
      </c>
      <c r="G11" s="24">
        <v>3.36</v>
      </c>
      <c r="H11" s="24">
        <v>3.36</v>
      </c>
      <c r="I11" s="17">
        <v>3.36</v>
      </c>
      <c r="J11" s="17">
        <v>3.36</v>
      </c>
      <c r="K11" s="17">
        <v>3.36</v>
      </c>
      <c r="L11" s="17">
        <v>3.36</v>
      </c>
      <c r="M11" s="17">
        <v>3.36</v>
      </c>
      <c r="N11" s="24">
        <v>3.36</v>
      </c>
      <c r="O11" s="156">
        <v>3.36</v>
      </c>
      <c r="P11" s="17">
        <v>3.36</v>
      </c>
      <c r="Q11" s="17">
        <v>3.36</v>
      </c>
      <c r="R11" s="17">
        <v>3.36</v>
      </c>
      <c r="S11" s="17">
        <v>3.36</v>
      </c>
      <c r="T11" s="21">
        <f t="shared" ref="T11:AC11" si="22">$D11*E11</f>
        <v>316.26648966472322</v>
      </c>
      <c r="U11" s="21">
        <f t="shared" si="22"/>
        <v>316.26648966472322</v>
      </c>
      <c r="V11" s="21">
        <f t="shared" si="22"/>
        <v>316.26648966472322</v>
      </c>
      <c r="W11" s="21">
        <f t="shared" si="22"/>
        <v>316.26648966472322</v>
      </c>
      <c r="X11" s="21">
        <f t="shared" si="22"/>
        <v>316.26648966472322</v>
      </c>
      <c r="Y11" s="21">
        <f t="shared" si="22"/>
        <v>316.26648966472322</v>
      </c>
      <c r="Z11" s="21">
        <f t="shared" si="22"/>
        <v>316.26648966472322</v>
      </c>
      <c r="AA11" s="21">
        <f t="shared" si="22"/>
        <v>316.26648966472322</v>
      </c>
      <c r="AB11" s="21">
        <f t="shared" si="22"/>
        <v>316.26648966472322</v>
      </c>
      <c r="AC11" s="21">
        <f t="shared" si="22"/>
        <v>316.26648966472322</v>
      </c>
      <c r="AD11" s="21">
        <f t="shared" si="3"/>
        <v>316.26648966472322</v>
      </c>
      <c r="AE11" s="21">
        <f t="shared" si="3"/>
        <v>316.26648966472322</v>
      </c>
      <c r="AF11" s="21">
        <f t="shared" si="3"/>
        <v>316.26648966472322</v>
      </c>
      <c r="AG11" s="21">
        <f t="shared" si="3"/>
        <v>316.26648966472322</v>
      </c>
      <c r="AH11" s="21">
        <f t="shared" si="3"/>
        <v>316.26648966472322</v>
      </c>
      <c r="AI11" s="22">
        <f t="shared" si="4"/>
        <v>0.30036705995763258</v>
      </c>
      <c r="AJ11" s="21">
        <f t="shared" si="6"/>
        <v>4743.9973449708486</v>
      </c>
    </row>
    <row r="12" spans="1:36" ht="14.6" x14ac:dyDescent="0.4">
      <c r="A12" s="7">
        <v>9</v>
      </c>
      <c r="B12" s="8" t="s">
        <v>38</v>
      </c>
      <c r="C12" s="185" t="s">
        <v>39</v>
      </c>
      <c r="D12" s="9">
        <f>VLOOKUP(C12,'[1]PREÇO ATUAL'!$A:$D,4,0)</f>
        <v>342</v>
      </c>
      <c r="E12" s="23">
        <v>0.85</v>
      </c>
      <c r="F12" s="23">
        <v>1.2</v>
      </c>
      <c r="G12" s="23">
        <v>0.9</v>
      </c>
      <c r="H12" s="23">
        <v>2.15</v>
      </c>
      <c r="I12" s="23">
        <v>1</v>
      </c>
      <c r="J12" s="23">
        <v>1.45</v>
      </c>
      <c r="K12" s="23">
        <v>0.85</v>
      </c>
      <c r="L12" s="23">
        <v>2.15</v>
      </c>
      <c r="M12" s="23">
        <v>0.9</v>
      </c>
      <c r="N12" s="23">
        <v>1.35</v>
      </c>
      <c r="O12" s="23">
        <v>0.85</v>
      </c>
      <c r="P12" s="23">
        <v>1.5</v>
      </c>
      <c r="Q12" s="23">
        <v>0.85</v>
      </c>
      <c r="R12" s="23">
        <v>1.2</v>
      </c>
      <c r="S12" s="23">
        <v>1.05</v>
      </c>
      <c r="T12" s="13">
        <f>D12*E12</f>
        <v>290.7</v>
      </c>
      <c r="U12" s="13">
        <f t="shared" ref="U12:AC12" si="23">$D12*F12</f>
        <v>410.4</v>
      </c>
      <c r="V12" s="13">
        <f t="shared" si="23"/>
        <v>307.8</v>
      </c>
      <c r="W12" s="13">
        <f t="shared" si="23"/>
        <v>735.3</v>
      </c>
      <c r="X12" s="13">
        <f t="shared" si="23"/>
        <v>342</v>
      </c>
      <c r="Y12" s="13">
        <f t="shared" si="23"/>
        <v>495.9</v>
      </c>
      <c r="Z12" s="13">
        <f t="shared" si="23"/>
        <v>290.7</v>
      </c>
      <c r="AA12" s="13">
        <f t="shared" si="23"/>
        <v>735.3</v>
      </c>
      <c r="AB12" s="13">
        <f t="shared" si="23"/>
        <v>307.8</v>
      </c>
      <c r="AC12" s="13">
        <f t="shared" si="23"/>
        <v>461.70000000000005</v>
      </c>
      <c r="AD12" s="13">
        <f t="shared" si="3"/>
        <v>290.7</v>
      </c>
      <c r="AE12" s="13">
        <f t="shared" si="3"/>
        <v>513</v>
      </c>
      <c r="AF12" s="13">
        <f t="shared" si="3"/>
        <v>290.7</v>
      </c>
      <c r="AG12" s="13">
        <f t="shared" si="3"/>
        <v>410.4</v>
      </c>
      <c r="AH12" s="13">
        <f t="shared" si="3"/>
        <v>359.1</v>
      </c>
      <c r="AI12" s="14">
        <f t="shared" si="4"/>
        <v>0.39518171457515505</v>
      </c>
      <c r="AJ12" s="13">
        <f t="shared" si="6"/>
        <v>6241.4999999999991</v>
      </c>
    </row>
    <row r="13" spans="1:36" ht="14.6" x14ac:dyDescent="0.4">
      <c r="H13" s="39"/>
      <c r="L13" s="39"/>
    </row>
    <row r="14" spans="1:36" ht="25.5" customHeight="1" x14ac:dyDescent="0.4">
      <c r="A14" s="211" t="s">
        <v>53</v>
      </c>
      <c r="B14" s="212"/>
      <c r="C14" s="212"/>
      <c r="D14" s="213"/>
      <c r="E14" s="126" t="s">
        <v>3</v>
      </c>
      <c r="F14" s="133"/>
      <c r="G14" s="133"/>
      <c r="H14" s="133"/>
      <c r="I14" s="133"/>
      <c r="J14" s="133"/>
      <c r="K14" s="133"/>
      <c r="L14" s="133"/>
      <c r="M14" s="133"/>
      <c r="N14" s="134"/>
      <c r="O14" s="133"/>
      <c r="P14" s="133"/>
      <c r="Q14" s="133"/>
      <c r="R14" s="133"/>
      <c r="S14" s="133"/>
      <c r="T14" s="125" t="s">
        <v>4</v>
      </c>
      <c r="U14" s="125"/>
      <c r="V14" s="125"/>
      <c r="W14" s="125"/>
      <c r="X14" s="125"/>
      <c r="Y14" s="125"/>
      <c r="Z14" s="125"/>
      <c r="AA14" s="125"/>
      <c r="AB14" s="125"/>
      <c r="AC14" s="125"/>
      <c r="AD14" s="147"/>
      <c r="AE14" s="147"/>
      <c r="AF14" s="147"/>
      <c r="AG14" s="147"/>
      <c r="AH14" s="147"/>
      <c r="AI14" s="219" t="s">
        <v>5</v>
      </c>
      <c r="AJ14" s="220"/>
    </row>
    <row r="15" spans="1:36" x14ac:dyDescent="0.4">
      <c r="A15" s="208"/>
      <c r="B15" s="209"/>
      <c r="C15" s="209"/>
      <c r="D15" s="210"/>
      <c r="E15" s="130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2">
        <f>MROUND(SUM(T17:T26),1)</f>
        <v>962</v>
      </c>
      <c r="U15" s="2">
        <f>MROUND(SUM(U17:U26),1)</f>
        <v>1208</v>
      </c>
      <c r="V15" s="2">
        <f>MROUND(SUM(V17:V26),1)</f>
        <v>979</v>
      </c>
      <c r="W15" s="2">
        <f t="shared" ref="W15:AH15" si="24">MROUND(SUM(W17:W26),1)</f>
        <v>2253</v>
      </c>
      <c r="X15" s="2">
        <f t="shared" si="24"/>
        <v>1013</v>
      </c>
      <c r="Y15" s="2">
        <f t="shared" si="24"/>
        <v>1293</v>
      </c>
      <c r="Z15" s="2">
        <f t="shared" si="24"/>
        <v>962</v>
      </c>
      <c r="AA15" s="2">
        <f t="shared" si="24"/>
        <v>2253</v>
      </c>
      <c r="AB15" s="2">
        <f t="shared" si="24"/>
        <v>979</v>
      </c>
      <c r="AC15" s="2">
        <f>MROUND(SUM(AC17:AC26),1)</f>
        <v>1259</v>
      </c>
      <c r="AD15" s="2">
        <f t="shared" si="24"/>
        <v>962</v>
      </c>
      <c r="AE15" s="2">
        <f t="shared" si="24"/>
        <v>2014</v>
      </c>
      <c r="AF15" s="2">
        <f t="shared" si="24"/>
        <v>962</v>
      </c>
      <c r="AG15" s="2">
        <f>MROUND(SUM(AG17:AG26),1)</f>
        <v>1208</v>
      </c>
      <c r="AH15" s="2">
        <f t="shared" si="24"/>
        <v>1030</v>
      </c>
      <c r="AI15" s="221">
        <f>SUM(T15:AH15)</f>
        <v>19337</v>
      </c>
      <c r="AJ15" s="220"/>
    </row>
    <row r="16" spans="1:36" ht="14.6" x14ac:dyDescent="0.4">
      <c r="A16" s="3" t="s">
        <v>6</v>
      </c>
      <c r="B16" s="3" t="s">
        <v>7</v>
      </c>
      <c r="C16" s="184" t="s">
        <v>8</v>
      </c>
      <c r="D16" s="4" t="s">
        <v>9</v>
      </c>
      <c r="E16" s="5" t="s">
        <v>10</v>
      </c>
      <c r="F16" s="5" t="s">
        <v>11</v>
      </c>
      <c r="G16" s="5" t="s">
        <v>12</v>
      </c>
      <c r="H16" s="5" t="s">
        <v>13</v>
      </c>
      <c r="I16" s="5" t="s">
        <v>14</v>
      </c>
      <c r="J16" s="5" t="s">
        <v>15</v>
      </c>
      <c r="K16" s="5" t="s">
        <v>16</v>
      </c>
      <c r="L16" s="5" t="s">
        <v>17</v>
      </c>
      <c r="M16" s="5" t="s">
        <v>18</v>
      </c>
      <c r="N16" s="128" t="s">
        <v>19</v>
      </c>
      <c r="O16" s="128">
        <v>11</v>
      </c>
      <c r="P16" s="128">
        <v>12</v>
      </c>
      <c r="Q16" s="128">
        <v>13</v>
      </c>
      <c r="R16" s="128">
        <v>14</v>
      </c>
      <c r="S16" s="128">
        <v>15</v>
      </c>
      <c r="T16" s="5">
        <v>10000</v>
      </c>
      <c r="U16" s="5">
        <v>20000</v>
      </c>
      <c r="V16" s="5">
        <v>30000</v>
      </c>
      <c r="W16" s="5">
        <v>40000</v>
      </c>
      <c r="X16" s="5">
        <v>50000</v>
      </c>
      <c r="Y16" s="5">
        <v>60000</v>
      </c>
      <c r="Z16" s="5">
        <v>70000</v>
      </c>
      <c r="AA16" s="5">
        <v>80000</v>
      </c>
      <c r="AB16" s="5">
        <v>90000</v>
      </c>
      <c r="AC16" s="5">
        <v>100000</v>
      </c>
      <c r="AD16" s="148">
        <f>AC16+10000</f>
        <v>110000</v>
      </c>
      <c r="AE16" s="148">
        <f t="shared" ref="AE16:AH16" si="25">AD16+10000</f>
        <v>120000</v>
      </c>
      <c r="AF16" s="148">
        <f t="shared" si="25"/>
        <v>130000</v>
      </c>
      <c r="AG16" s="148">
        <f t="shared" si="25"/>
        <v>140000</v>
      </c>
      <c r="AH16" s="148">
        <f t="shared" si="25"/>
        <v>150000</v>
      </c>
      <c r="AI16" s="6" t="s">
        <v>20</v>
      </c>
      <c r="AJ16" s="3" t="s">
        <v>21</v>
      </c>
    </row>
    <row r="17" spans="1:36" ht="14.6" x14ac:dyDescent="0.4">
      <c r="A17" s="7">
        <v>1</v>
      </c>
      <c r="B17" s="142" t="s">
        <v>41</v>
      </c>
      <c r="C17" s="185" t="s">
        <v>23</v>
      </c>
      <c r="D17" s="9">
        <f>VLOOKUP(C17,'[1]PREÇO ATUAL'!$A:$D,4,0)</f>
        <v>79.900000000000006</v>
      </c>
      <c r="E17" s="10">
        <v>1</v>
      </c>
      <c r="F17" s="10">
        <v>1</v>
      </c>
      <c r="G17" s="10">
        <v>1</v>
      </c>
      <c r="H17" s="10">
        <v>1</v>
      </c>
      <c r="I17" s="11">
        <v>1</v>
      </c>
      <c r="J17" s="11">
        <v>1</v>
      </c>
      <c r="K17" s="11">
        <v>1</v>
      </c>
      <c r="L17" s="11">
        <v>1</v>
      </c>
      <c r="M17" s="11">
        <v>1</v>
      </c>
      <c r="N17" s="11">
        <v>1</v>
      </c>
      <c r="O17" s="11">
        <v>1</v>
      </c>
      <c r="P17" s="11">
        <v>1</v>
      </c>
      <c r="Q17" s="11">
        <v>1</v>
      </c>
      <c r="R17" s="11">
        <v>1</v>
      </c>
      <c r="S17" s="11">
        <v>1</v>
      </c>
      <c r="T17" s="13">
        <f t="shared" ref="T17:AH26" si="26">$D17*E17</f>
        <v>79.900000000000006</v>
      </c>
      <c r="U17" s="13">
        <f t="shared" si="26"/>
        <v>79.900000000000006</v>
      </c>
      <c r="V17" s="13">
        <f t="shared" si="26"/>
        <v>79.900000000000006</v>
      </c>
      <c r="W17" s="13">
        <f t="shared" si="26"/>
        <v>79.900000000000006</v>
      </c>
      <c r="X17" s="13">
        <f t="shared" si="26"/>
        <v>79.900000000000006</v>
      </c>
      <c r="Y17" s="13">
        <f t="shared" si="26"/>
        <v>79.900000000000006</v>
      </c>
      <c r="Z17" s="13">
        <f t="shared" si="26"/>
        <v>79.900000000000006</v>
      </c>
      <c r="AA17" s="13">
        <f t="shared" si="26"/>
        <v>79.900000000000006</v>
      </c>
      <c r="AB17" s="13">
        <f t="shared" si="26"/>
        <v>79.900000000000006</v>
      </c>
      <c r="AC17" s="13">
        <f t="shared" si="26"/>
        <v>79.900000000000006</v>
      </c>
      <c r="AD17" s="13">
        <f t="shared" si="26"/>
        <v>79.900000000000006</v>
      </c>
      <c r="AE17" s="13">
        <f t="shared" si="26"/>
        <v>79.900000000000006</v>
      </c>
      <c r="AF17" s="13">
        <f t="shared" si="26"/>
        <v>79.900000000000006</v>
      </c>
      <c r="AG17" s="13">
        <f t="shared" si="26"/>
        <v>79.900000000000006</v>
      </c>
      <c r="AH17" s="13">
        <f t="shared" si="26"/>
        <v>79.900000000000006</v>
      </c>
      <c r="AI17" s="14">
        <f t="shared" ref="AI17:AI22" si="27">AJ17/$AI$2</f>
        <v>7.5883246802583265E-2</v>
      </c>
      <c r="AJ17" s="13">
        <f>SUM(T17:AH17)</f>
        <v>1198.5</v>
      </c>
    </row>
    <row r="18" spans="1:36" ht="14.6" x14ac:dyDescent="0.4">
      <c r="A18" s="15">
        <v>2</v>
      </c>
      <c r="B18" s="143" t="s">
        <v>24</v>
      </c>
      <c r="C18" s="186" t="s">
        <v>25</v>
      </c>
      <c r="D18" s="17">
        <f>VLOOKUP(C18,'[1]PREÇO ATUAL'!$A:$D,4,0)</f>
        <v>35.9</v>
      </c>
      <c r="E18" s="18"/>
      <c r="F18" s="18">
        <v>1</v>
      </c>
      <c r="G18" s="18"/>
      <c r="H18" s="18">
        <v>1</v>
      </c>
      <c r="I18" s="19"/>
      <c r="J18" s="18">
        <v>1</v>
      </c>
      <c r="K18" s="19"/>
      <c r="L18" s="18">
        <v>1</v>
      </c>
      <c r="M18" s="19"/>
      <c r="N18" s="18">
        <v>1</v>
      </c>
      <c r="O18" s="19"/>
      <c r="P18" s="18">
        <v>1</v>
      </c>
      <c r="Q18" s="19"/>
      <c r="R18" s="18">
        <v>1</v>
      </c>
      <c r="S18" s="19"/>
      <c r="T18" s="21">
        <f t="shared" si="26"/>
        <v>0</v>
      </c>
      <c r="U18" s="21">
        <f t="shared" si="26"/>
        <v>35.9</v>
      </c>
      <c r="V18" s="21">
        <f t="shared" si="26"/>
        <v>0</v>
      </c>
      <c r="W18" s="21">
        <f t="shared" si="26"/>
        <v>35.9</v>
      </c>
      <c r="X18" s="21">
        <f t="shared" si="26"/>
        <v>0</v>
      </c>
      <c r="Y18" s="21">
        <f t="shared" si="26"/>
        <v>35.9</v>
      </c>
      <c r="Z18" s="21">
        <f t="shared" si="26"/>
        <v>0</v>
      </c>
      <c r="AA18" s="21">
        <f t="shared" si="26"/>
        <v>35.9</v>
      </c>
      <c r="AB18" s="21">
        <f t="shared" si="26"/>
        <v>0</v>
      </c>
      <c r="AC18" s="21">
        <f t="shared" si="26"/>
        <v>35.9</v>
      </c>
      <c r="AD18" s="21">
        <f t="shared" si="26"/>
        <v>0</v>
      </c>
      <c r="AE18" s="21">
        <f t="shared" si="26"/>
        <v>35.9</v>
      </c>
      <c r="AF18" s="21">
        <f t="shared" si="26"/>
        <v>0</v>
      </c>
      <c r="AG18" s="21">
        <f t="shared" si="26"/>
        <v>35.9</v>
      </c>
      <c r="AH18" s="21">
        <f t="shared" si="26"/>
        <v>0</v>
      </c>
      <c r="AI18" s="22">
        <f t="shared" si="27"/>
        <v>1.5911105483094847E-2</v>
      </c>
      <c r="AJ18" s="21">
        <f t="shared" ref="AJ18:AJ26" si="28">SUM(T18:AH18)</f>
        <v>251.3</v>
      </c>
    </row>
    <row r="19" spans="1:36" ht="14.6" x14ac:dyDescent="0.4">
      <c r="A19" s="7">
        <v>3</v>
      </c>
      <c r="B19" s="142" t="s">
        <v>42</v>
      </c>
      <c r="C19" s="185" t="s">
        <v>27</v>
      </c>
      <c r="D19" s="9">
        <f>VLOOKUP(C19,'[1]PREÇO ATUAL'!$A:$D,4,0)</f>
        <v>89.9</v>
      </c>
      <c r="E19" s="10"/>
      <c r="F19" s="10">
        <v>1</v>
      </c>
      <c r="G19" s="10"/>
      <c r="H19" s="10">
        <v>1</v>
      </c>
      <c r="I19" s="11"/>
      <c r="J19" s="10">
        <v>1</v>
      </c>
      <c r="K19" s="11"/>
      <c r="L19" s="10">
        <v>1</v>
      </c>
      <c r="M19" s="11"/>
      <c r="N19" s="10">
        <v>1</v>
      </c>
      <c r="O19" s="11"/>
      <c r="P19" s="10">
        <v>1</v>
      </c>
      <c r="Q19" s="11"/>
      <c r="R19" s="10">
        <v>1</v>
      </c>
      <c r="S19" s="11"/>
      <c r="T19" s="13">
        <f t="shared" si="26"/>
        <v>0</v>
      </c>
      <c r="U19" s="13">
        <f t="shared" si="26"/>
        <v>89.9</v>
      </c>
      <c r="V19" s="13">
        <f t="shared" si="26"/>
        <v>0</v>
      </c>
      <c r="W19" s="13">
        <f t="shared" si="26"/>
        <v>89.9</v>
      </c>
      <c r="X19" s="13">
        <f t="shared" si="26"/>
        <v>0</v>
      </c>
      <c r="Y19" s="13">
        <f t="shared" si="26"/>
        <v>89.9</v>
      </c>
      <c r="Z19" s="13">
        <f t="shared" si="26"/>
        <v>0</v>
      </c>
      <c r="AA19" s="13">
        <f t="shared" si="26"/>
        <v>89.9</v>
      </c>
      <c r="AB19" s="13">
        <f t="shared" si="26"/>
        <v>0</v>
      </c>
      <c r="AC19" s="13">
        <f t="shared" si="26"/>
        <v>89.9</v>
      </c>
      <c r="AD19" s="13">
        <f t="shared" si="26"/>
        <v>0</v>
      </c>
      <c r="AE19" s="13">
        <f t="shared" si="26"/>
        <v>89.9</v>
      </c>
      <c r="AF19" s="13">
        <f t="shared" si="26"/>
        <v>0</v>
      </c>
      <c r="AG19" s="13">
        <f t="shared" si="26"/>
        <v>89.9</v>
      </c>
      <c r="AH19" s="13">
        <f t="shared" si="26"/>
        <v>0</v>
      </c>
      <c r="AI19" s="14">
        <f t="shared" si="27"/>
        <v>3.9844244649867036E-2</v>
      </c>
      <c r="AJ19" s="13">
        <f t="shared" si="28"/>
        <v>629.29999999999995</v>
      </c>
    </row>
    <row r="20" spans="1:36" ht="14.6" x14ac:dyDescent="0.4">
      <c r="A20" s="15">
        <v>4</v>
      </c>
      <c r="B20" s="143" t="s">
        <v>43</v>
      </c>
      <c r="C20" s="186" t="s">
        <v>44</v>
      </c>
      <c r="D20" s="17">
        <f>VLOOKUP(C20,'[1]PREÇO ATUAL'!$A:$D,4,0)</f>
        <v>203.03100000000001</v>
      </c>
      <c r="E20" s="18">
        <v>1</v>
      </c>
      <c r="F20" s="18">
        <v>1</v>
      </c>
      <c r="G20" s="18">
        <v>1</v>
      </c>
      <c r="H20" s="18">
        <v>1</v>
      </c>
      <c r="I20" s="19">
        <v>1</v>
      </c>
      <c r="J20" s="19">
        <v>1</v>
      </c>
      <c r="K20" s="19">
        <v>1</v>
      </c>
      <c r="L20" s="19">
        <v>1</v>
      </c>
      <c r="M20" s="19">
        <v>1</v>
      </c>
      <c r="N20" s="19">
        <v>1</v>
      </c>
      <c r="O20" s="19">
        <v>1</v>
      </c>
      <c r="P20" s="19">
        <v>1</v>
      </c>
      <c r="Q20" s="19">
        <v>1</v>
      </c>
      <c r="R20" s="19">
        <v>1</v>
      </c>
      <c r="S20" s="19">
        <v>1</v>
      </c>
      <c r="T20" s="21">
        <f t="shared" si="26"/>
        <v>203.03100000000001</v>
      </c>
      <c r="U20" s="21">
        <f t="shared" si="26"/>
        <v>203.03100000000001</v>
      </c>
      <c r="V20" s="21">
        <f t="shared" si="26"/>
        <v>203.03100000000001</v>
      </c>
      <c r="W20" s="21">
        <f t="shared" si="26"/>
        <v>203.03100000000001</v>
      </c>
      <c r="X20" s="21">
        <f t="shared" si="26"/>
        <v>203.03100000000001</v>
      </c>
      <c r="Y20" s="21">
        <f t="shared" si="26"/>
        <v>203.03100000000001</v>
      </c>
      <c r="Z20" s="21">
        <f t="shared" si="26"/>
        <v>203.03100000000001</v>
      </c>
      <c r="AA20" s="21">
        <f t="shared" si="26"/>
        <v>203.03100000000001</v>
      </c>
      <c r="AB20" s="21">
        <f t="shared" si="26"/>
        <v>203.03100000000001</v>
      </c>
      <c r="AC20" s="21">
        <f t="shared" si="26"/>
        <v>203.03100000000001</v>
      </c>
      <c r="AD20" s="21">
        <f t="shared" si="26"/>
        <v>203.03100000000001</v>
      </c>
      <c r="AE20" s="21">
        <f>$D20*P20</f>
        <v>203.03100000000001</v>
      </c>
      <c r="AF20" s="21">
        <f t="shared" si="26"/>
        <v>203.03100000000001</v>
      </c>
      <c r="AG20" s="21">
        <f t="shared" si="26"/>
        <v>203.03100000000001</v>
      </c>
      <c r="AH20" s="21">
        <f t="shared" si="26"/>
        <v>203.03100000000001</v>
      </c>
      <c r="AI20" s="22">
        <f t="shared" si="27"/>
        <v>0.19282417373686209</v>
      </c>
      <c r="AJ20" s="21">
        <f t="shared" si="28"/>
        <v>3045.4649999999997</v>
      </c>
    </row>
    <row r="21" spans="1:36" ht="24.9" x14ac:dyDescent="0.4">
      <c r="A21" s="7">
        <v>5</v>
      </c>
      <c r="B21" s="142" t="s">
        <v>45</v>
      </c>
      <c r="C21" s="185" t="s">
        <v>29</v>
      </c>
      <c r="D21" s="9">
        <f>VLOOKUP(C21,'[1]PREÇO ATUAL'!$A:$D,4,0)</f>
        <v>175.9</v>
      </c>
      <c r="E21" s="10"/>
      <c r="F21" s="10"/>
      <c r="G21" s="10"/>
      <c r="H21" s="10">
        <v>4</v>
      </c>
      <c r="I21" s="11"/>
      <c r="J21" s="11"/>
      <c r="K21" s="11"/>
      <c r="L21" s="10">
        <v>4</v>
      </c>
      <c r="M21" s="11"/>
      <c r="N21" s="11"/>
      <c r="O21" s="11"/>
      <c r="P21" s="10">
        <v>4</v>
      </c>
      <c r="Q21" s="11"/>
      <c r="R21" s="11"/>
      <c r="S21" s="11"/>
      <c r="T21" s="13">
        <f t="shared" si="26"/>
        <v>0</v>
      </c>
      <c r="U21" s="13">
        <f t="shared" si="26"/>
        <v>0</v>
      </c>
      <c r="V21" s="13">
        <f t="shared" si="26"/>
        <v>0</v>
      </c>
      <c r="W21" s="13">
        <f t="shared" si="26"/>
        <v>703.6</v>
      </c>
      <c r="X21" s="13">
        <f t="shared" si="26"/>
        <v>0</v>
      </c>
      <c r="Y21" s="13">
        <f t="shared" si="26"/>
        <v>0</v>
      </c>
      <c r="Z21" s="13">
        <f t="shared" si="26"/>
        <v>0</v>
      </c>
      <c r="AA21" s="13">
        <f t="shared" si="26"/>
        <v>703.6</v>
      </c>
      <c r="AB21" s="13">
        <f t="shared" si="26"/>
        <v>0</v>
      </c>
      <c r="AC21" s="13">
        <f t="shared" si="26"/>
        <v>0</v>
      </c>
      <c r="AD21" s="13">
        <f t="shared" si="26"/>
        <v>0</v>
      </c>
      <c r="AE21" s="13">
        <f>$D21*P21</f>
        <v>703.6</v>
      </c>
      <c r="AF21" s="13">
        <f t="shared" si="26"/>
        <v>0</v>
      </c>
      <c r="AG21" s="13">
        <f t="shared" si="26"/>
        <v>0</v>
      </c>
      <c r="AH21" s="13">
        <f t="shared" si="26"/>
        <v>0</v>
      </c>
      <c r="AI21" s="14">
        <f t="shared" si="27"/>
        <v>0.13364568823603901</v>
      </c>
      <c r="AJ21" s="13">
        <f t="shared" si="28"/>
        <v>2110.8000000000002</v>
      </c>
    </row>
    <row r="22" spans="1:36" ht="24.9" x14ac:dyDescent="0.4">
      <c r="A22" s="15">
        <v>6</v>
      </c>
      <c r="B22" s="143" t="s">
        <v>46</v>
      </c>
      <c r="C22" s="186" t="s">
        <v>31</v>
      </c>
      <c r="D22" s="17">
        <f>VLOOKUP(C22,'[1]PREÇO ATUAL'!$A:$D,4,0)</f>
        <v>143.22999999999999</v>
      </c>
      <c r="E22" s="18"/>
      <c r="F22" s="18"/>
      <c r="G22" s="18"/>
      <c r="H22" s="18"/>
      <c r="I22" s="19"/>
      <c r="J22" s="19"/>
      <c r="K22" s="19"/>
      <c r="L22" s="19"/>
      <c r="M22" s="19"/>
      <c r="N22" s="19"/>
      <c r="O22" s="19"/>
      <c r="P22" s="158"/>
      <c r="Q22" s="19"/>
      <c r="R22" s="19"/>
      <c r="S22" s="19"/>
      <c r="T22" s="21">
        <f t="shared" si="26"/>
        <v>0</v>
      </c>
      <c r="U22" s="21">
        <f t="shared" si="26"/>
        <v>0</v>
      </c>
      <c r="V22" s="21">
        <f t="shared" si="26"/>
        <v>0</v>
      </c>
      <c r="W22" s="21">
        <f t="shared" si="26"/>
        <v>0</v>
      </c>
      <c r="X22" s="21">
        <f t="shared" si="26"/>
        <v>0</v>
      </c>
      <c r="Y22" s="21">
        <f t="shared" si="26"/>
        <v>0</v>
      </c>
      <c r="Z22" s="21">
        <f t="shared" si="26"/>
        <v>0</v>
      </c>
      <c r="AA22" s="21">
        <f t="shared" si="26"/>
        <v>0</v>
      </c>
      <c r="AB22" s="21">
        <f t="shared" si="26"/>
        <v>0</v>
      </c>
      <c r="AC22" s="21">
        <f t="shared" si="26"/>
        <v>0</v>
      </c>
      <c r="AD22" s="21">
        <f t="shared" si="26"/>
        <v>0</v>
      </c>
      <c r="AE22" s="21">
        <f t="shared" si="26"/>
        <v>0</v>
      </c>
      <c r="AF22" s="21">
        <f t="shared" si="26"/>
        <v>0</v>
      </c>
      <c r="AG22" s="21">
        <f t="shared" si="26"/>
        <v>0</v>
      </c>
      <c r="AH22" s="21">
        <f t="shared" si="26"/>
        <v>0</v>
      </c>
      <c r="AI22" s="22">
        <f t="shared" si="27"/>
        <v>0</v>
      </c>
      <c r="AJ22" s="21">
        <f t="shared" si="28"/>
        <v>0</v>
      </c>
    </row>
    <row r="23" spans="1:36" ht="14.6" x14ac:dyDescent="0.4">
      <c r="A23" s="7">
        <v>7</v>
      </c>
      <c r="B23" s="142" t="s">
        <v>47</v>
      </c>
      <c r="C23" s="185" t="s">
        <v>33</v>
      </c>
      <c r="D23" s="9">
        <f>VLOOKUP(C23,'[1]PREÇO ATUAL'!$A:$D,4,0)</f>
        <v>165.97812000000002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13">
        <f t="shared" si="26"/>
        <v>0</v>
      </c>
      <c r="U23" s="13">
        <f t="shared" si="26"/>
        <v>0</v>
      </c>
      <c r="V23" s="13">
        <f t="shared" si="26"/>
        <v>0</v>
      </c>
      <c r="W23" s="13">
        <f t="shared" si="26"/>
        <v>0</v>
      </c>
      <c r="X23" s="13">
        <f t="shared" si="26"/>
        <v>0</v>
      </c>
      <c r="Y23" s="13">
        <f t="shared" si="26"/>
        <v>0</v>
      </c>
      <c r="Z23" s="13">
        <f t="shared" si="26"/>
        <v>0</v>
      </c>
      <c r="AA23" s="13">
        <f t="shared" si="26"/>
        <v>0</v>
      </c>
      <c r="AB23" s="13">
        <f t="shared" si="26"/>
        <v>0</v>
      </c>
      <c r="AC23" s="13">
        <f t="shared" si="26"/>
        <v>0</v>
      </c>
      <c r="AD23" s="13">
        <f t="shared" si="26"/>
        <v>0</v>
      </c>
      <c r="AE23" s="13">
        <f t="shared" si="26"/>
        <v>0</v>
      </c>
      <c r="AF23" s="13">
        <f t="shared" si="26"/>
        <v>0</v>
      </c>
      <c r="AG23" s="13">
        <f t="shared" si="26"/>
        <v>0</v>
      </c>
      <c r="AH23" s="13">
        <f t="shared" si="26"/>
        <v>0</v>
      </c>
      <c r="AI23" s="14">
        <f>AJ23/$AI$2</f>
        <v>0</v>
      </c>
      <c r="AJ23" s="13">
        <f t="shared" si="28"/>
        <v>0</v>
      </c>
    </row>
    <row r="24" spans="1:36" ht="24.9" x14ac:dyDescent="0.4">
      <c r="A24" s="15">
        <v>8</v>
      </c>
      <c r="B24" s="143" t="s">
        <v>48</v>
      </c>
      <c r="C24" s="186" t="s">
        <v>35</v>
      </c>
      <c r="D24" s="17">
        <f>VLOOKUP(C24,'[1]PREÇO ATUAL'!$A:$D,4,0)</f>
        <v>33.622493083850472</v>
      </c>
      <c r="E24" s="24"/>
      <c r="F24" s="24"/>
      <c r="G24" s="24"/>
      <c r="H24" s="24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21">
        <f t="shared" si="26"/>
        <v>0</v>
      </c>
      <c r="U24" s="21">
        <f t="shared" si="26"/>
        <v>0</v>
      </c>
      <c r="V24" s="21">
        <f t="shared" si="26"/>
        <v>0</v>
      </c>
      <c r="W24" s="21">
        <f t="shared" si="26"/>
        <v>0</v>
      </c>
      <c r="X24" s="21">
        <f t="shared" si="26"/>
        <v>0</v>
      </c>
      <c r="Y24" s="21">
        <f t="shared" si="26"/>
        <v>0</v>
      </c>
      <c r="Z24" s="21">
        <f t="shared" si="26"/>
        <v>0</v>
      </c>
      <c r="AA24" s="21">
        <f t="shared" si="26"/>
        <v>0</v>
      </c>
      <c r="AB24" s="21">
        <f t="shared" si="26"/>
        <v>0</v>
      </c>
      <c r="AC24" s="21">
        <f t="shared" si="26"/>
        <v>0</v>
      </c>
      <c r="AD24" s="21">
        <f t="shared" si="26"/>
        <v>0</v>
      </c>
      <c r="AE24" s="21">
        <f t="shared" si="26"/>
        <v>0</v>
      </c>
      <c r="AF24" s="21">
        <f t="shared" si="26"/>
        <v>0</v>
      </c>
      <c r="AG24" s="21">
        <f t="shared" si="26"/>
        <v>0</v>
      </c>
      <c r="AH24" s="21">
        <f t="shared" si="26"/>
        <v>0</v>
      </c>
      <c r="AI24" s="22">
        <f t="shared" ref="AI24:AI26" si="29">AJ24/$AI$2</f>
        <v>0</v>
      </c>
      <c r="AJ24" s="21">
        <f t="shared" si="28"/>
        <v>0</v>
      </c>
    </row>
    <row r="25" spans="1:36" ht="24.9" x14ac:dyDescent="0.4">
      <c r="A25" s="7">
        <v>9</v>
      </c>
      <c r="B25" s="142" t="s">
        <v>49</v>
      </c>
      <c r="C25" s="185" t="s">
        <v>37</v>
      </c>
      <c r="D25" s="9">
        <f>VLOOKUP(C25,'[1]PREÇO ATUAL'!$A:$D,4,0)</f>
        <v>94.126931447834295</v>
      </c>
      <c r="E25" s="23">
        <v>3.4</v>
      </c>
      <c r="F25" s="23">
        <v>3.4</v>
      </c>
      <c r="G25" s="23">
        <v>3.4</v>
      </c>
      <c r="H25" s="23">
        <v>3.4</v>
      </c>
      <c r="I25" s="23">
        <v>3.4</v>
      </c>
      <c r="J25" s="23">
        <v>3.4</v>
      </c>
      <c r="K25" s="23">
        <v>3.4</v>
      </c>
      <c r="L25" s="23">
        <v>3.4</v>
      </c>
      <c r="M25" s="23">
        <v>3.4</v>
      </c>
      <c r="N25" s="23">
        <v>3.4</v>
      </c>
      <c r="O25" s="23">
        <v>3.4</v>
      </c>
      <c r="P25" s="23">
        <v>3.4</v>
      </c>
      <c r="Q25" s="23">
        <v>3.4</v>
      </c>
      <c r="R25" s="23">
        <v>3.4</v>
      </c>
      <c r="S25" s="23">
        <v>3.4</v>
      </c>
      <c r="T25" s="13">
        <f>$D25*E25</f>
        <v>320.03156692263661</v>
      </c>
      <c r="U25" s="13">
        <f>$D25*F25</f>
        <v>320.03156692263661</v>
      </c>
      <c r="V25" s="13">
        <f t="shared" si="26"/>
        <v>320.03156692263661</v>
      </c>
      <c r="W25" s="13">
        <f>$D25*H25</f>
        <v>320.03156692263661</v>
      </c>
      <c r="X25" s="13">
        <f>$D25*I25</f>
        <v>320.03156692263661</v>
      </c>
      <c r="Y25" s="13">
        <f t="shared" si="26"/>
        <v>320.03156692263661</v>
      </c>
      <c r="Z25" s="13">
        <f t="shared" si="26"/>
        <v>320.03156692263661</v>
      </c>
      <c r="AA25" s="13">
        <f t="shared" si="26"/>
        <v>320.03156692263661</v>
      </c>
      <c r="AB25" s="13">
        <f t="shared" si="26"/>
        <v>320.03156692263661</v>
      </c>
      <c r="AC25" s="13">
        <f t="shared" si="26"/>
        <v>320.03156692263661</v>
      </c>
      <c r="AD25" s="13">
        <f t="shared" si="26"/>
        <v>320.03156692263661</v>
      </c>
      <c r="AE25" s="13">
        <f t="shared" si="26"/>
        <v>320.03156692263661</v>
      </c>
      <c r="AF25" s="13">
        <f t="shared" si="26"/>
        <v>320.03156692263661</v>
      </c>
      <c r="AG25" s="13">
        <f t="shared" si="26"/>
        <v>320.03156692263661</v>
      </c>
      <c r="AH25" s="13">
        <f t="shared" si="26"/>
        <v>320.03156692263661</v>
      </c>
      <c r="AI25" s="14">
        <f t="shared" si="29"/>
        <v>0.30394285829046153</v>
      </c>
      <c r="AJ25" s="13">
        <f t="shared" si="28"/>
        <v>4800.4735038395493</v>
      </c>
    </row>
    <row r="26" spans="1:36" ht="14.6" x14ac:dyDescent="0.4">
      <c r="A26" s="15">
        <v>10</v>
      </c>
      <c r="B26" s="143" t="s">
        <v>38</v>
      </c>
      <c r="C26" s="186" t="s">
        <v>39</v>
      </c>
      <c r="D26" s="17">
        <f>VLOOKUP(C26,'[1]PREÇO ATUAL'!$A:$D,4,0)</f>
        <v>342</v>
      </c>
      <c r="E26" s="24">
        <v>1.05</v>
      </c>
      <c r="F26" s="24">
        <v>1.4</v>
      </c>
      <c r="G26" s="24">
        <v>1.1000000000000001</v>
      </c>
      <c r="H26" s="24">
        <v>2.4</v>
      </c>
      <c r="I26" s="17">
        <v>1.2</v>
      </c>
      <c r="J26" s="17">
        <v>1.65</v>
      </c>
      <c r="K26" s="17">
        <v>1.05</v>
      </c>
      <c r="L26" s="17">
        <v>2.4</v>
      </c>
      <c r="M26" s="17">
        <v>1.1000000000000001</v>
      </c>
      <c r="N26" s="17">
        <v>1.55</v>
      </c>
      <c r="O26" s="17">
        <v>1.05</v>
      </c>
      <c r="P26" s="17">
        <v>1.7000000000000002</v>
      </c>
      <c r="Q26" s="17">
        <v>1.05</v>
      </c>
      <c r="R26" s="17">
        <v>1.4</v>
      </c>
      <c r="S26" s="17">
        <v>1.25</v>
      </c>
      <c r="T26" s="21">
        <f t="shared" ref="T26" si="30">$D26*E26</f>
        <v>359.1</v>
      </c>
      <c r="U26" s="21">
        <f t="shared" si="26"/>
        <v>478.79999999999995</v>
      </c>
      <c r="V26" s="21">
        <f t="shared" si="26"/>
        <v>376.20000000000005</v>
      </c>
      <c r="W26" s="21">
        <f t="shared" si="26"/>
        <v>820.8</v>
      </c>
      <c r="X26" s="21">
        <f t="shared" si="26"/>
        <v>410.4</v>
      </c>
      <c r="Y26" s="21">
        <f t="shared" si="26"/>
        <v>564.29999999999995</v>
      </c>
      <c r="Z26" s="21">
        <f t="shared" si="26"/>
        <v>359.1</v>
      </c>
      <c r="AA26" s="21">
        <f t="shared" si="26"/>
        <v>820.8</v>
      </c>
      <c r="AB26" s="21">
        <f t="shared" si="26"/>
        <v>376.20000000000005</v>
      </c>
      <c r="AC26" s="21">
        <f t="shared" si="26"/>
        <v>530.1</v>
      </c>
      <c r="AD26" s="21">
        <f t="shared" si="26"/>
        <v>359.1</v>
      </c>
      <c r="AE26" s="21">
        <f t="shared" si="26"/>
        <v>581.40000000000009</v>
      </c>
      <c r="AF26" s="21">
        <f t="shared" si="26"/>
        <v>359.1</v>
      </c>
      <c r="AG26" s="21">
        <f t="shared" si="26"/>
        <v>478.79999999999995</v>
      </c>
      <c r="AH26" s="21">
        <f t="shared" si="26"/>
        <v>427.5</v>
      </c>
      <c r="AI26" s="22">
        <f t="shared" si="29"/>
        <v>0.4623084715714828</v>
      </c>
      <c r="AJ26" s="21">
        <f t="shared" si="28"/>
        <v>7301.7</v>
      </c>
    </row>
    <row r="27" spans="1:36" ht="15.75" customHeight="1" x14ac:dyDescent="0.4"/>
    <row r="28" spans="1:36" ht="25.5" customHeight="1" x14ac:dyDescent="0.4">
      <c r="A28" s="211" t="s">
        <v>54</v>
      </c>
      <c r="B28" s="212"/>
      <c r="C28" s="212"/>
      <c r="D28" s="213"/>
      <c r="E28" s="126" t="s">
        <v>3</v>
      </c>
      <c r="F28" s="133"/>
      <c r="G28" s="133"/>
      <c r="H28" s="133"/>
      <c r="I28" s="133"/>
      <c r="J28" s="133"/>
      <c r="K28" s="133"/>
      <c r="L28" s="133"/>
      <c r="M28" s="133"/>
      <c r="N28" s="134"/>
      <c r="O28" s="133"/>
      <c r="P28" s="133"/>
      <c r="Q28" s="133"/>
      <c r="R28" s="133"/>
      <c r="S28" s="133"/>
      <c r="T28" s="125" t="s">
        <v>4</v>
      </c>
      <c r="U28" s="125"/>
      <c r="V28" s="125"/>
      <c r="W28" s="125"/>
      <c r="X28" s="125"/>
      <c r="Y28" s="125"/>
      <c r="Z28" s="125"/>
      <c r="AA28" s="125"/>
      <c r="AB28" s="125"/>
      <c r="AC28" s="125"/>
      <c r="AD28" s="147"/>
      <c r="AE28" s="147"/>
      <c r="AF28" s="147"/>
      <c r="AG28" s="147"/>
      <c r="AH28" s="147"/>
      <c r="AI28" s="219" t="s">
        <v>5</v>
      </c>
      <c r="AJ28" s="220"/>
    </row>
    <row r="29" spans="1:36" x14ac:dyDescent="0.4">
      <c r="A29" s="208"/>
      <c r="B29" s="209"/>
      <c r="C29" s="209"/>
      <c r="D29" s="210"/>
      <c r="E29" s="130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2">
        <f t="shared" ref="T29:AH29" si="31">MROUND(SUM(T31:T39),1)</f>
        <v>962</v>
      </c>
      <c r="U29" s="2">
        <f t="shared" si="31"/>
        <v>1208</v>
      </c>
      <c r="V29" s="2">
        <f t="shared" si="31"/>
        <v>979</v>
      </c>
      <c r="W29" s="2">
        <f t="shared" si="31"/>
        <v>2253</v>
      </c>
      <c r="X29" s="2">
        <f t="shared" si="31"/>
        <v>1013</v>
      </c>
      <c r="Y29" s="2">
        <f t="shared" si="31"/>
        <v>1293</v>
      </c>
      <c r="Z29" s="2">
        <f t="shared" si="31"/>
        <v>962</v>
      </c>
      <c r="AA29" s="2">
        <f t="shared" si="31"/>
        <v>2253</v>
      </c>
      <c r="AB29" s="2">
        <f t="shared" si="31"/>
        <v>979</v>
      </c>
      <c r="AC29" s="2">
        <f t="shared" si="31"/>
        <v>1259</v>
      </c>
      <c r="AD29" s="2">
        <f t="shared" si="31"/>
        <v>962</v>
      </c>
      <c r="AE29" s="2">
        <f t="shared" si="31"/>
        <v>2014</v>
      </c>
      <c r="AF29" s="2">
        <f t="shared" si="31"/>
        <v>962</v>
      </c>
      <c r="AG29" s="2">
        <f t="shared" si="31"/>
        <v>1208</v>
      </c>
      <c r="AH29" s="2">
        <f t="shared" si="31"/>
        <v>1030</v>
      </c>
      <c r="AI29" s="221">
        <f>SUM(T29:AH29)</f>
        <v>19337</v>
      </c>
      <c r="AJ29" s="220"/>
    </row>
    <row r="30" spans="1:36" ht="14.6" x14ac:dyDescent="0.4">
      <c r="A30" s="3" t="s">
        <v>6</v>
      </c>
      <c r="B30" s="3" t="s">
        <v>7</v>
      </c>
      <c r="C30" s="184" t="s">
        <v>8</v>
      </c>
      <c r="D30" s="4" t="s">
        <v>9</v>
      </c>
      <c r="E30" s="5" t="s">
        <v>10</v>
      </c>
      <c r="F30" s="5" t="s">
        <v>11</v>
      </c>
      <c r="G30" s="5" t="s">
        <v>12</v>
      </c>
      <c r="H30" s="5" t="s">
        <v>13</v>
      </c>
      <c r="I30" s="5" t="s">
        <v>14</v>
      </c>
      <c r="J30" s="5" t="s">
        <v>15</v>
      </c>
      <c r="K30" s="5" t="s">
        <v>16</v>
      </c>
      <c r="L30" s="5" t="s">
        <v>17</v>
      </c>
      <c r="M30" s="5" t="s">
        <v>18</v>
      </c>
      <c r="N30" s="128" t="s">
        <v>19</v>
      </c>
      <c r="O30" s="128">
        <v>11</v>
      </c>
      <c r="P30" s="128">
        <v>12</v>
      </c>
      <c r="Q30" s="128">
        <v>13</v>
      </c>
      <c r="R30" s="128">
        <v>14</v>
      </c>
      <c r="S30" s="128">
        <v>15</v>
      </c>
      <c r="T30" s="5">
        <v>10000</v>
      </c>
      <c r="U30" s="5">
        <v>20000</v>
      </c>
      <c r="V30" s="5">
        <v>30000</v>
      </c>
      <c r="W30" s="5">
        <v>40000</v>
      </c>
      <c r="X30" s="5">
        <v>50000</v>
      </c>
      <c r="Y30" s="5">
        <v>60000</v>
      </c>
      <c r="Z30" s="5">
        <v>70000</v>
      </c>
      <c r="AA30" s="5">
        <v>80000</v>
      </c>
      <c r="AB30" s="5">
        <v>90000</v>
      </c>
      <c r="AC30" s="5">
        <v>100000</v>
      </c>
      <c r="AD30" s="148">
        <f>AC30+10000</f>
        <v>110000</v>
      </c>
      <c r="AE30" s="148">
        <f t="shared" ref="AE30:AH30" si="32">AD30+10000</f>
        <v>120000</v>
      </c>
      <c r="AF30" s="148">
        <f t="shared" si="32"/>
        <v>130000</v>
      </c>
      <c r="AG30" s="148">
        <f t="shared" si="32"/>
        <v>140000</v>
      </c>
      <c r="AH30" s="148">
        <f t="shared" si="32"/>
        <v>150000</v>
      </c>
      <c r="AI30" s="6" t="s">
        <v>20</v>
      </c>
      <c r="AJ30" s="3" t="s">
        <v>21</v>
      </c>
    </row>
    <row r="31" spans="1:36" ht="14.6" x14ac:dyDescent="0.4">
      <c r="A31" s="7">
        <v>1</v>
      </c>
      <c r="B31" s="142" t="s">
        <v>41</v>
      </c>
      <c r="C31" s="185" t="s">
        <v>23</v>
      </c>
      <c r="D31" s="9">
        <f>VLOOKUP(C31,'[1]PREÇO ATUAL'!$A:$D,4,0)</f>
        <v>79.900000000000006</v>
      </c>
      <c r="E31" s="10">
        <v>1</v>
      </c>
      <c r="F31" s="10">
        <v>1</v>
      </c>
      <c r="G31" s="10">
        <v>1</v>
      </c>
      <c r="H31" s="10">
        <v>1</v>
      </c>
      <c r="I31" s="11">
        <v>1</v>
      </c>
      <c r="J31" s="11">
        <v>1</v>
      </c>
      <c r="K31" s="11">
        <v>1</v>
      </c>
      <c r="L31" s="11">
        <v>1</v>
      </c>
      <c r="M31" s="11">
        <v>1</v>
      </c>
      <c r="N31" s="11">
        <v>1</v>
      </c>
      <c r="O31" s="11">
        <v>1</v>
      </c>
      <c r="P31" s="11">
        <v>1</v>
      </c>
      <c r="Q31" s="11">
        <v>1</v>
      </c>
      <c r="R31" s="11">
        <v>1</v>
      </c>
      <c r="S31" s="11">
        <v>1</v>
      </c>
      <c r="T31" s="13">
        <f t="shared" ref="T31:AH39" si="33">$D31*E31</f>
        <v>79.900000000000006</v>
      </c>
      <c r="U31" s="13">
        <f t="shared" si="33"/>
        <v>79.900000000000006</v>
      </c>
      <c r="V31" s="13">
        <f t="shared" si="33"/>
        <v>79.900000000000006</v>
      </c>
      <c r="W31" s="13">
        <f t="shared" si="33"/>
        <v>79.900000000000006</v>
      </c>
      <c r="X31" s="13">
        <f t="shared" si="33"/>
        <v>79.900000000000006</v>
      </c>
      <c r="Y31" s="13">
        <f t="shared" si="33"/>
        <v>79.900000000000006</v>
      </c>
      <c r="Z31" s="13">
        <f t="shared" si="33"/>
        <v>79.900000000000006</v>
      </c>
      <c r="AA31" s="13">
        <f t="shared" si="33"/>
        <v>79.900000000000006</v>
      </c>
      <c r="AB31" s="13">
        <f t="shared" si="33"/>
        <v>79.900000000000006</v>
      </c>
      <c r="AC31" s="13">
        <f t="shared" si="33"/>
        <v>79.900000000000006</v>
      </c>
      <c r="AD31" s="13">
        <f t="shared" si="33"/>
        <v>79.900000000000006</v>
      </c>
      <c r="AE31" s="13">
        <f t="shared" si="33"/>
        <v>79.900000000000006</v>
      </c>
      <c r="AF31" s="13">
        <f t="shared" si="33"/>
        <v>79.900000000000006</v>
      </c>
      <c r="AG31" s="13">
        <f t="shared" si="33"/>
        <v>79.900000000000006</v>
      </c>
      <c r="AH31" s="13">
        <f t="shared" si="33"/>
        <v>79.900000000000006</v>
      </c>
      <c r="AI31" s="14">
        <f t="shared" ref="AI31:AI36" si="34">AJ31/$AI$2</f>
        <v>7.5883246802583265E-2</v>
      </c>
      <c r="AJ31" s="13">
        <f>SUM(T31:AH31)</f>
        <v>1198.5</v>
      </c>
    </row>
    <row r="32" spans="1:36" ht="14.6" x14ac:dyDescent="0.4">
      <c r="A32" s="15">
        <v>2</v>
      </c>
      <c r="B32" s="143" t="s">
        <v>24</v>
      </c>
      <c r="C32" s="186" t="s">
        <v>25</v>
      </c>
      <c r="D32" s="17">
        <f>VLOOKUP(C32,'[1]PREÇO ATUAL'!$A:$D,4,0)</f>
        <v>35.9</v>
      </c>
      <c r="E32" s="18"/>
      <c r="F32" s="18">
        <v>1</v>
      </c>
      <c r="G32" s="18"/>
      <c r="H32" s="18">
        <v>1</v>
      </c>
      <c r="I32" s="19"/>
      <c r="J32" s="18">
        <v>1</v>
      </c>
      <c r="K32" s="19"/>
      <c r="L32" s="18">
        <v>1</v>
      </c>
      <c r="M32" s="19"/>
      <c r="N32" s="18">
        <v>1</v>
      </c>
      <c r="O32" s="19"/>
      <c r="P32" s="18">
        <v>1</v>
      </c>
      <c r="Q32" s="19"/>
      <c r="R32" s="18">
        <v>1</v>
      </c>
      <c r="S32" s="19"/>
      <c r="T32" s="21">
        <f t="shared" si="33"/>
        <v>0</v>
      </c>
      <c r="U32" s="21">
        <f t="shared" si="33"/>
        <v>35.9</v>
      </c>
      <c r="V32" s="21">
        <f t="shared" si="33"/>
        <v>0</v>
      </c>
      <c r="W32" s="21">
        <f t="shared" si="33"/>
        <v>35.9</v>
      </c>
      <c r="X32" s="21">
        <f t="shared" si="33"/>
        <v>0</v>
      </c>
      <c r="Y32" s="21">
        <f t="shared" si="33"/>
        <v>35.9</v>
      </c>
      <c r="Z32" s="21">
        <f t="shared" si="33"/>
        <v>0</v>
      </c>
      <c r="AA32" s="21">
        <f t="shared" si="33"/>
        <v>35.9</v>
      </c>
      <c r="AB32" s="21">
        <f t="shared" si="33"/>
        <v>0</v>
      </c>
      <c r="AC32" s="21">
        <f t="shared" si="33"/>
        <v>35.9</v>
      </c>
      <c r="AD32" s="21">
        <f t="shared" si="33"/>
        <v>0</v>
      </c>
      <c r="AE32" s="21">
        <f t="shared" si="33"/>
        <v>35.9</v>
      </c>
      <c r="AF32" s="21">
        <f t="shared" si="33"/>
        <v>0</v>
      </c>
      <c r="AG32" s="21">
        <f t="shared" si="33"/>
        <v>35.9</v>
      </c>
      <c r="AH32" s="21">
        <f t="shared" si="33"/>
        <v>0</v>
      </c>
      <c r="AI32" s="22">
        <f t="shared" si="34"/>
        <v>1.5911105483094847E-2</v>
      </c>
      <c r="AJ32" s="21">
        <f t="shared" ref="AJ32:AJ39" si="35">SUM(T32:AH32)</f>
        <v>251.3</v>
      </c>
    </row>
    <row r="33" spans="1:36" ht="14.6" x14ac:dyDescent="0.4">
      <c r="A33" s="7">
        <v>3</v>
      </c>
      <c r="B33" s="142" t="s">
        <v>42</v>
      </c>
      <c r="C33" s="185" t="s">
        <v>27</v>
      </c>
      <c r="D33" s="9">
        <f>VLOOKUP(C33,'[1]PREÇO ATUAL'!$A:$D,4,0)</f>
        <v>89.9</v>
      </c>
      <c r="E33" s="10"/>
      <c r="F33" s="10">
        <v>1</v>
      </c>
      <c r="G33" s="10"/>
      <c r="H33" s="10">
        <v>1</v>
      </c>
      <c r="I33" s="11"/>
      <c r="J33" s="10">
        <v>1</v>
      </c>
      <c r="K33" s="11"/>
      <c r="L33" s="10">
        <v>1</v>
      </c>
      <c r="M33" s="11"/>
      <c r="N33" s="10">
        <v>1</v>
      </c>
      <c r="O33" s="11"/>
      <c r="P33" s="10">
        <v>1</v>
      </c>
      <c r="Q33" s="11"/>
      <c r="R33" s="10">
        <v>1</v>
      </c>
      <c r="S33" s="11"/>
      <c r="T33" s="13">
        <f t="shared" si="33"/>
        <v>0</v>
      </c>
      <c r="U33" s="13">
        <f t="shared" si="33"/>
        <v>89.9</v>
      </c>
      <c r="V33" s="13">
        <f t="shared" si="33"/>
        <v>0</v>
      </c>
      <c r="W33" s="13">
        <f t="shared" si="33"/>
        <v>89.9</v>
      </c>
      <c r="X33" s="13">
        <f t="shared" si="33"/>
        <v>0</v>
      </c>
      <c r="Y33" s="13">
        <f t="shared" si="33"/>
        <v>89.9</v>
      </c>
      <c r="Z33" s="13">
        <f t="shared" si="33"/>
        <v>0</v>
      </c>
      <c r="AA33" s="13">
        <f t="shared" si="33"/>
        <v>89.9</v>
      </c>
      <c r="AB33" s="13">
        <f t="shared" si="33"/>
        <v>0</v>
      </c>
      <c r="AC33" s="13">
        <f t="shared" si="33"/>
        <v>89.9</v>
      </c>
      <c r="AD33" s="13">
        <f t="shared" si="33"/>
        <v>0</v>
      </c>
      <c r="AE33" s="13">
        <f t="shared" si="33"/>
        <v>89.9</v>
      </c>
      <c r="AF33" s="13">
        <f t="shared" si="33"/>
        <v>0</v>
      </c>
      <c r="AG33" s="13">
        <f t="shared" si="33"/>
        <v>89.9</v>
      </c>
      <c r="AH33" s="13">
        <f t="shared" si="33"/>
        <v>0</v>
      </c>
      <c r="AI33" s="14">
        <f t="shared" si="34"/>
        <v>3.9844244649867036E-2</v>
      </c>
      <c r="AJ33" s="13">
        <f t="shared" si="35"/>
        <v>629.29999999999995</v>
      </c>
    </row>
    <row r="34" spans="1:36" ht="14.6" x14ac:dyDescent="0.4">
      <c r="A34" s="15">
        <v>4</v>
      </c>
      <c r="B34" s="143" t="s">
        <v>43</v>
      </c>
      <c r="C34" s="186" t="s">
        <v>44</v>
      </c>
      <c r="D34" s="17">
        <f>VLOOKUP(C34,'[1]PREÇO ATUAL'!$A:$D,4,0)</f>
        <v>203.03100000000001</v>
      </c>
      <c r="E34" s="18">
        <v>1</v>
      </c>
      <c r="F34" s="18">
        <v>1</v>
      </c>
      <c r="G34" s="18">
        <v>1</v>
      </c>
      <c r="H34" s="18">
        <v>1</v>
      </c>
      <c r="I34" s="19">
        <v>1</v>
      </c>
      <c r="J34" s="19">
        <v>1</v>
      </c>
      <c r="K34" s="19">
        <v>1</v>
      </c>
      <c r="L34" s="19">
        <v>1</v>
      </c>
      <c r="M34" s="19">
        <v>1</v>
      </c>
      <c r="N34" s="19">
        <v>1</v>
      </c>
      <c r="O34" s="19">
        <v>1</v>
      </c>
      <c r="P34" s="19">
        <v>1</v>
      </c>
      <c r="Q34" s="19">
        <v>1</v>
      </c>
      <c r="R34" s="19">
        <v>1</v>
      </c>
      <c r="S34" s="19">
        <v>1</v>
      </c>
      <c r="T34" s="21">
        <f t="shared" si="33"/>
        <v>203.03100000000001</v>
      </c>
      <c r="U34" s="21">
        <f t="shared" si="33"/>
        <v>203.03100000000001</v>
      </c>
      <c r="V34" s="21">
        <f>$D34*G34</f>
        <v>203.03100000000001</v>
      </c>
      <c r="W34" s="21">
        <f>$D34*H34</f>
        <v>203.03100000000001</v>
      </c>
      <c r="X34" s="21">
        <f t="shared" si="33"/>
        <v>203.03100000000001</v>
      </c>
      <c r="Y34" s="21">
        <f t="shared" si="33"/>
        <v>203.03100000000001</v>
      </c>
      <c r="Z34" s="21">
        <f t="shared" si="33"/>
        <v>203.03100000000001</v>
      </c>
      <c r="AA34" s="21">
        <f t="shared" si="33"/>
        <v>203.03100000000001</v>
      </c>
      <c r="AB34" s="21">
        <f t="shared" si="33"/>
        <v>203.03100000000001</v>
      </c>
      <c r="AC34" s="21">
        <f t="shared" si="33"/>
        <v>203.03100000000001</v>
      </c>
      <c r="AD34" s="21">
        <f t="shared" si="33"/>
        <v>203.03100000000001</v>
      </c>
      <c r="AE34" s="21">
        <f>$D34*P34</f>
        <v>203.03100000000001</v>
      </c>
      <c r="AF34" s="21">
        <f t="shared" si="33"/>
        <v>203.03100000000001</v>
      </c>
      <c r="AG34" s="21">
        <f t="shared" si="33"/>
        <v>203.03100000000001</v>
      </c>
      <c r="AH34" s="21">
        <f t="shared" si="33"/>
        <v>203.03100000000001</v>
      </c>
      <c r="AI34" s="22">
        <f t="shared" si="34"/>
        <v>0.19282417373686209</v>
      </c>
      <c r="AJ34" s="21">
        <f t="shared" si="35"/>
        <v>3045.4649999999997</v>
      </c>
    </row>
    <row r="35" spans="1:36" ht="24.9" x14ac:dyDescent="0.4">
      <c r="A35" s="7">
        <v>5</v>
      </c>
      <c r="B35" s="142" t="s">
        <v>45</v>
      </c>
      <c r="C35" s="185" t="s">
        <v>29</v>
      </c>
      <c r="D35" s="9">
        <f>VLOOKUP(C35,'[1]PREÇO ATUAL'!$A:$D,4,0)</f>
        <v>175.9</v>
      </c>
      <c r="E35" s="10"/>
      <c r="F35" s="10"/>
      <c r="G35" s="10"/>
      <c r="H35" s="10">
        <v>4</v>
      </c>
      <c r="I35" s="11"/>
      <c r="J35" s="11"/>
      <c r="K35" s="11"/>
      <c r="L35" s="10">
        <v>4</v>
      </c>
      <c r="M35" s="11"/>
      <c r="N35" s="11"/>
      <c r="O35" s="11"/>
      <c r="P35" s="10">
        <v>4</v>
      </c>
      <c r="Q35" s="11"/>
      <c r="R35" s="11"/>
      <c r="S35" s="11"/>
      <c r="T35" s="13">
        <f t="shared" si="33"/>
        <v>0</v>
      </c>
      <c r="U35" s="13">
        <f t="shared" si="33"/>
        <v>0</v>
      </c>
      <c r="V35" s="13">
        <f t="shared" si="33"/>
        <v>0</v>
      </c>
      <c r="W35" s="13">
        <f>$D35*H35</f>
        <v>703.6</v>
      </c>
      <c r="X35" s="13">
        <f t="shared" si="33"/>
        <v>0</v>
      </c>
      <c r="Y35" s="13">
        <f t="shared" si="33"/>
        <v>0</v>
      </c>
      <c r="Z35" s="13">
        <f t="shared" si="33"/>
        <v>0</v>
      </c>
      <c r="AA35" s="13">
        <f t="shared" si="33"/>
        <v>703.6</v>
      </c>
      <c r="AB35" s="13">
        <f t="shared" si="33"/>
        <v>0</v>
      </c>
      <c r="AC35" s="13">
        <f t="shared" si="33"/>
        <v>0</v>
      </c>
      <c r="AD35" s="13">
        <f t="shared" si="33"/>
        <v>0</v>
      </c>
      <c r="AE35" s="13">
        <f>$D35*P35</f>
        <v>703.6</v>
      </c>
      <c r="AF35" s="13">
        <f t="shared" si="33"/>
        <v>0</v>
      </c>
      <c r="AG35" s="13">
        <f t="shared" si="33"/>
        <v>0</v>
      </c>
      <c r="AH35" s="13">
        <f t="shared" si="33"/>
        <v>0</v>
      </c>
      <c r="AI35" s="14">
        <f t="shared" si="34"/>
        <v>0.13364568823603901</v>
      </c>
      <c r="AJ35" s="13">
        <f t="shared" si="35"/>
        <v>2110.8000000000002</v>
      </c>
    </row>
    <row r="36" spans="1:36" ht="24.9" x14ac:dyDescent="0.4">
      <c r="A36" s="15">
        <v>6</v>
      </c>
      <c r="B36" s="143" t="s">
        <v>46</v>
      </c>
      <c r="C36" s="186" t="s">
        <v>31</v>
      </c>
      <c r="D36" s="17">
        <f>VLOOKUP(C36,'[1]PREÇO ATUAL'!$A:$D,4,0)</f>
        <v>143.22999999999999</v>
      </c>
      <c r="E36" s="18"/>
      <c r="F36" s="18"/>
      <c r="G36" s="18"/>
      <c r="H36" s="18"/>
      <c r="I36" s="19"/>
      <c r="J36" s="19"/>
      <c r="K36" s="19"/>
      <c r="L36" s="19"/>
      <c r="M36" s="19"/>
      <c r="N36" s="19"/>
      <c r="O36" s="19"/>
      <c r="P36" s="158"/>
      <c r="Q36" s="19"/>
      <c r="R36" s="19"/>
      <c r="S36" s="19"/>
      <c r="T36" s="21">
        <f t="shared" si="33"/>
        <v>0</v>
      </c>
      <c r="U36" s="21">
        <f t="shared" si="33"/>
        <v>0</v>
      </c>
      <c r="V36" s="21">
        <f t="shared" si="33"/>
        <v>0</v>
      </c>
      <c r="W36" s="21">
        <f t="shared" si="33"/>
        <v>0</v>
      </c>
      <c r="X36" s="21">
        <f t="shared" si="33"/>
        <v>0</v>
      </c>
      <c r="Y36" s="21">
        <f t="shared" si="33"/>
        <v>0</v>
      </c>
      <c r="Z36" s="21">
        <f t="shared" si="33"/>
        <v>0</v>
      </c>
      <c r="AA36" s="21">
        <f t="shared" si="33"/>
        <v>0</v>
      </c>
      <c r="AB36" s="21">
        <f t="shared" si="33"/>
        <v>0</v>
      </c>
      <c r="AC36" s="21">
        <f t="shared" si="33"/>
        <v>0</v>
      </c>
      <c r="AD36" s="21">
        <f t="shared" si="33"/>
        <v>0</v>
      </c>
      <c r="AE36" s="21">
        <f t="shared" si="33"/>
        <v>0</v>
      </c>
      <c r="AF36" s="21">
        <f t="shared" si="33"/>
        <v>0</v>
      </c>
      <c r="AG36" s="21">
        <f t="shared" si="33"/>
        <v>0</v>
      </c>
      <c r="AH36" s="21">
        <f t="shared" si="33"/>
        <v>0</v>
      </c>
      <c r="AI36" s="22">
        <f t="shared" si="34"/>
        <v>0</v>
      </c>
      <c r="AJ36" s="21">
        <f t="shared" si="35"/>
        <v>0</v>
      </c>
    </row>
    <row r="37" spans="1:36" ht="24.9" x14ac:dyDescent="0.4">
      <c r="A37" s="7">
        <v>7</v>
      </c>
      <c r="B37" s="142" t="s">
        <v>48</v>
      </c>
      <c r="C37" s="185" t="s">
        <v>35</v>
      </c>
      <c r="D37" s="9">
        <f>VLOOKUP(C37,'[1]PREÇO ATUAL'!$A:$D,4,0)</f>
        <v>33.622493083850472</v>
      </c>
      <c r="E37" s="10"/>
      <c r="F37" s="10"/>
      <c r="G37" s="10"/>
      <c r="H37" s="10"/>
      <c r="I37" s="11"/>
      <c r="J37" s="11"/>
      <c r="K37" s="11"/>
      <c r="L37" s="10"/>
      <c r="M37" s="11"/>
      <c r="N37" s="11"/>
      <c r="O37" s="11"/>
      <c r="P37" s="10"/>
      <c r="Q37" s="11"/>
      <c r="R37" s="11"/>
      <c r="S37" s="11"/>
      <c r="T37" s="13">
        <f t="shared" si="33"/>
        <v>0</v>
      </c>
      <c r="U37" s="13">
        <f t="shared" si="33"/>
        <v>0</v>
      </c>
      <c r="V37" s="13">
        <f t="shared" si="33"/>
        <v>0</v>
      </c>
      <c r="W37" s="13">
        <f t="shared" si="33"/>
        <v>0</v>
      </c>
      <c r="X37" s="13">
        <f t="shared" si="33"/>
        <v>0</v>
      </c>
      <c r="Y37" s="13">
        <f t="shared" si="33"/>
        <v>0</v>
      </c>
      <c r="Z37" s="13">
        <f t="shared" si="33"/>
        <v>0</v>
      </c>
      <c r="AA37" s="13">
        <f t="shared" si="33"/>
        <v>0</v>
      </c>
      <c r="AB37" s="13">
        <f t="shared" si="33"/>
        <v>0</v>
      </c>
      <c r="AC37" s="13">
        <f t="shared" si="33"/>
        <v>0</v>
      </c>
      <c r="AD37" s="13">
        <f t="shared" si="33"/>
        <v>0</v>
      </c>
      <c r="AE37" s="13">
        <f t="shared" si="33"/>
        <v>0</v>
      </c>
      <c r="AF37" s="13">
        <f t="shared" si="33"/>
        <v>0</v>
      </c>
      <c r="AG37" s="13">
        <f t="shared" si="33"/>
        <v>0</v>
      </c>
      <c r="AH37" s="13">
        <f t="shared" si="33"/>
        <v>0</v>
      </c>
      <c r="AI37" s="14">
        <f t="shared" ref="AI37:AI39" si="36">AJ37/$AI$2</f>
        <v>0</v>
      </c>
      <c r="AJ37" s="13">
        <f t="shared" si="35"/>
        <v>0</v>
      </c>
    </row>
    <row r="38" spans="1:36" ht="24.9" x14ac:dyDescent="0.4">
      <c r="A38" s="15">
        <v>8</v>
      </c>
      <c r="B38" s="143" t="s">
        <v>49</v>
      </c>
      <c r="C38" s="186" t="s">
        <v>37</v>
      </c>
      <c r="D38" s="17">
        <f>VLOOKUP(C38,'[1]PREÇO ATUAL'!$A:$D,4,0)</f>
        <v>94.126931447834295</v>
      </c>
      <c r="E38" s="28">
        <v>3.4</v>
      </c>
      <c r="F38" s="28">
        <v>3.4</v>
      </c>
      <c r="G38" s="28">
        <v>3.4</v>
      </c>
      <c r="H38" s="28">
        <v>3.4</v>
      </c>
      <c r="I38" s="29">
        <v>3.4</v>
      </c>
      <c r="J38" s="29">
        <v>3.4</v>
      </c>
      <c r="K38" s="29">
        <v>3.4</v>
      </c>
      <c r="L38" s="29">
        <v>3.4</v>
      </c>
      <c r="M38" s="29">
        <v>3.4</v>
      </c>
      <c r="N38" s="29">
        <v>3.4</v>
      </c>
      <c r="O38" s="29">
        <v>3.4</v>
      </c>
      <c r="P38" s="29">
        <v>3.4</v>
      </c>
      <c r="Q38" s="29">
        <v>3.4</v>
      </c>
      <c r="R38" s="29">
        <v>3.4</v>
      </c>
      <c r="S38" s="29">
        <v>3.4</v>
      </c>
      <c r="T38" s="21">
        <f>$D38*E38</f>
        <v>320.03156692263661</v>
      </c>
      <c r="U38" s="21">
        <f t="shared" si="33"/>
        <v>320.03156692263661</v>
      </c>
      <c r="V38" s="21">
        <f t="shared" si="33"/>
        <v>320.03156692263661</v>
      </c>
      <c r="W38" s="21">
        <f t="shared" si="33"/>
        <v>320.03156692263661</v>
      </c>
      <c r="X38" s="21">
        <f t="shared" si="33"/>
        <v>320.03156692263661</v>
      </c>
      <c r="Y38" s="21">
        <f t="shared" si="33"/>
        <v>320.03156692263661</v>
      </c>
      <c r="Z38" s="21">
        <f t="shared" si="33"/>
        <v>320.03156692263661</v>
      </c>
      <c r="AA38" s="21">
        <f t="shared" si="33"/>
        <v>320.03156692263661</v>
      </c>
      <c r="AB38" s="21">
        <f t="shared" si="33"/>
        <v>320.03156692263661</v>
      </c>
      <c r="AC38" s="21">
        <f t="shared" si="33"/>
        <v>320.03156692263661</v>
      </c>
      <c r="AD38" s="21">
        <f t="shared" si="33"/>
        <v>320.03156692263661</v>
      </c>
      <c r="AE38" s="21">
        <f t="shared" si="33"/>
        <v>320.03156692263661</v>
      </c>
      <c r="AF38" s="21">
        <f t="shared" si="33"/>
        <v>320.03156692263661</v>
      </c>
      <c r="AG38" s="21">
        <f t="shared" si="33"/>
        <v>320.03156692263661</v>
      </c>
      <c r="AH38" s="21">
        <f t="shared" si="33"/>
        <v>320.03156692263661</v>
      </c>
      <c r="AI38" s="22">
        <f t="shared" si="36"/>
        <v>0.30394285829046153</v>
      </c>
      <c r="AJ38" s="21">
        <f t="shared" si="35"/>
        <v>4800.4735038395493</v>
      </c>
    </row>
    <row r="39" spans="1:36" ht="14.6" x14ac:dyDescent="0.4">
      <c r="A39" s="7">
        <v>9</v>
      </c>
      <c r="B39" s="142" t="s">
        <v>38</v>
      </c>
      <c r="C39" s="185" t="s">
        <v>39</v>
      </c>
      <c r="D39" s="9">
        <f>VLOOKUP(C39,'[1]PREÇO ATUAL'!$A:$D,4,0)</f>
        <v>342</v>
      </c>
      <c r="E39" s="45">
        <v>1.05</v>
      </c>
      <c r="F39" s="45">
        <v>1.4</v>
      </c>
      <c r="G39" s="45">
        <v>1.1000000000000001</v>
      </c>
      <c r="H39" s="45">
        <v>2.4</v>
      </c>
      <c r="I39" s="46">
        <v>1.2</v>
      </c>
      <c r="J39" s="46">
        <v>1.65</v>
      </c>
      <c r="K39" s="46">
        <v>1.05</v>
      </c>
      <c r="L39" s="45">
        <v>2.4</v>
      </c>
      <c r="M39" s="46">
        <v>1.1000000000000001</v>
      </c>
      <c r="N39" s="46">
        <v>1.55</v>
      </c>
      <c r="O39" s="46">
        <v>1.05</v>
      </c>
      <c r="P39" s="45">
        <v>1.7000000000000002</v>
      </c>
      <c r="Q39" s="46">
        <v>1.05</v>
      </c>
      <c r="R39" s="46">
        <v>1.4</v>
      </c>
      <c r="S39" s="46">
        <v>1.25</v>
      </c>
      <c r="T39" s="13">
        <f t="shared" ref="T39" si="37">$D39*E39</f>
        <v>359.1</v>
      </c>
      <c r="U39" s="13">
        <f t="shared" si="33"/>
        <v>478.79999999999995</v>
      </c>
      <c r="V39" s="13">
        <f t="shared" si="33"/>
        <v>376.20000000000005</v>
      </c>
      <c r="W39" s="13">
        <f t="shared" si="33"/>
        <v>820.8</v>
      </c>
      <c r="X39" s="13">
        <f t="shared" si="33"/>
        <v>410.4</v>
      </c>
      <c r="Y39" s="13">
        <f t="shared" si="33"/>
        <v>564.29999999999995</v>
      </c>
      <c r="Z39" s="13">
        <f t="shared" si="33"/>
        <v>359.1</v>
      </c>
      <c r="AA39" s="13">
        <f t="shared" si="33"/>
        <v>820.8</v>
      </c>
      <c r="AB39" s="13">
        <f t="shared" si="33"/>
        <v>376.20000000000005</v>
      </c>
      <c r="AC39" s="13">
        <f t="shared" si="33"/>
        <v>530.1</v>
      </c>
      <c r="AD39" s="13">
        <f t="shared" si="33"/>
        <v>359.1</v>
      </c>
      <c r="AE39" s="13">
        <f t="shared" si="33"/>
        <v>581.40000000000009</v>
      </c>
      <c r="AF39" s="13">
        <f t="shared" si="33"/>
        <v>359.1</v>
      </c>
      <c r="AG39" s="13">
        <f t="shared" si="33"/>
        <v>478.79999999999995</v>
      </c>
      <c r="AH39" s="13">
        <f t="shared" si="33"/>
        <v>427.5</v>
      </c>
      <c r="AI39" s="14">
        <f t="shared" si="36"/>
        <v>0.4623084715714828</v>
      </c>
      <c r="AJ39" s="13">
        <f t="shared" si="35"/>
        <v>7301.7</v>
      </c>
    </row>
    <row r="40" spans="1:36" ht="15.75" customHeight="1" x14ac:dyDescent="0.4"/>
    <row r="41" spans="1:36" ht="15.75" customHeight="1" x14ac:dyDescent="0.4"/>
    <row r="42" spans="1:36" ht="15.75" customHeight="1" x14ac:dyDescent="0.4"/>
    <row r="43" spans="1:36" ht="15.75" customHeight="1" x14ac:dyDescent="0.4"/>
    <row r="44" spans="1:36" ht="15.75" customHeight="1" x14ac:dyDescent="0.4"/>
    <row r="45" spans="1:36" ht="15.75" customHeight="1" x14ac:dyDescent="0.4"/>
    <row r="46" spans="1:36" ht="15.75" customHeight="1" x14ac:dyDescent="0.4"/>
    <row r="47" spans="1:36" ht="15.75" customHeight="1" x14ac:dyDescent="0.4"/>
    <row r="48" spans="1:36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</sheetData>
  <mergeCells count="9">
    <mergeCell ref="AI14:AJ14"/>
    <mergeCell ref="AI15:AJ15"/>
    <mergeCell ref="AI28:AJ28"/>
    <mergeCell ref="AI29:AJ29"/>
    <mergeCell ref="A1:D2"/>
    <mergeCell ref="E1:N2"/>
    <mergeCell ref="AI1:AJ1"/>
    <mergeCell ref="AI2:AJ2"/>
    <mergeCell ref="T1:AH1"/>
  </mergeCells>
  <pageMargins left="0.511811024" right="0.511811024" top="0.78740157499999996" bottom="0.78740157499999996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4">
    <tabColor rgb="FF00FF00"/>
  </sheetPr>
  <dimension ref="A1:AJ963"/>
  <sheetViews>
    <sheetView showGridLines="0" workbookViewId="0">
      <pane xSplit="4" topLeftCell="E1" activePane="topRight" state="frozen"/>
      <selection activeCell="B26" sqref="B26"/>
      <selection pane="topRight" activeCell="W20" sqref="W20"/>
    </sheetView>
  </sheetViews>
  <sheetFormatPr defaultColWidth="14.3828125" defaultRowHeight="15" customHeight="1" x14ac:dyDescent="0.4"/>
  <cols>
    <col min="1" max="1" width="3.3046875" customWidth="1"/>
    <col min="2" max="2" width="46.3046875" customWidth="1"/>
    <col min="3" max="3" width="16.84375" style="187" customWidth="1"/>
    <col min="4" max="4" width="8.69140625" customWidth="1"/>
    <col min="5" max="19" width="5.15234375" bestFit="1" customWidth="1"/>
    <col min="20" max="22" width="15" customWidth="1"/>
    <col min="23" max="23" width="17.15234375" customWidth="1"/>
    <col min="24" max="24" width="15" customWidth="1"/>
    <col min="25" max="25" width="17.15234375" customWidth="1"/>
    <col min="26" max="26" width="13.69140625" customWidth="1"/>
    <col min="27" max="27" width="15.69140625" customWidth="1"/>
    <col min="28" max="30" width="13.69140625" customWidth="1"/>
    <col min="31" max="31" width="15.69140625" bestFit="1" customWidth="1"/>
    <col min="32" max="34" width="13.69140625" customWidth="1"/>
    <col min="35" max="35" width="8.3828125" customWidth="1"/>
    <col min="36" max="36" width="15.53515625" customWidth="1"/>
  </cols>
  <sheetData>
    <row r="1" spans="1:36" ht="14.6" x14ac:dyDescent="0.4">
      <c r="A1" s="222" t="s">
        <v>55</v>
      </c>
      <c r="B1" s="223"/>
      <c r="C1" s="223"/>
      <c r="D1" s="223"/>
      <c r="E1" s="226" t="s">
        <v>3</v>
      </c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32"/>
      <c r="T1" s="230" t="s">
        <v>4</v>
      </c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231"/>
      <c r="AH1" s="231"/>
      <c r="AI1" s="219" t="s">
        <v>5</v>
      </c>
      <c r="AJ1" s="220"/>
    </row>
    <row r="2" spans="1:36" ht="14.6" x14ac:dyDescent="0.4">
      <c r="A2" s="224"/>
      <c r="B2" s="225"/>
      <c r="C2" s="225"/>
      <c r="D2" s="225"/>
      <c r="E2" s="228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33"/>
      <c r="T2" s="2">
        <f>MROUND(SUM(T4:T12),1)</f>
        <v>797</v>
      </c>
      <c r="U2" s="2">
        <f t="shared" ref="U2:AH2" si="0">MROUND(SUM(U4:U12),1)</f>
        <v>1042</v>
      </c>
      <c r="V2" s="2">
        <f t="shared" si="0"/>
        <v>814</v>
      </c>
      <c r="W2" s="2">
        <f>MROUND(SUM(W4:W12),1)</f>
        <v>1196</v>
      </c>
      <c r="X2" s="2">
        <f t="shared" si="0"/>
        <v>848</v>
      </c>
      <c r="Y2" s="2">
        <f t="shared" si="0"/>
        <v>2164</v>
      </c>
      <c r="Z2" s="2">
        <f t="shared" si="0"/>
        <v>814</v>
      </c>
      <c r="AA2" s="2">
        <f t="shared" si="0"/>
        <v>1196</v>
      </c>
      <c r="AB2" s="2">
        <f t="shared" si="0"/>
        <v>814</v>
      </c>
      <c r="AC2" s="2">
        <f t="shared" si="0"/>
        <v>1094</v>
      </c>
      <c r="AD2" s="2">
        <f t="shared" si="0"/>
        <v>797</v>
      </c>
      <c r="AE2" s="2">
        <f t="shared" si="0"/>
        <v>2684</v>
      </c>
      <c r="AF2" s="2">
        <f t="shared" si="0"/>
        <v>797</v>
      </c>
      <c r="AG2" s="2">
        <f t="shared" si="0"/>
        <v>1059</v>
      </c>
      <c r="AH2" s="2">
        <f t="shared" si="0"/>
        <v>865</v>
      </c>
      <c r="AI2" s="221">
        <f>SUM(T2:AH2)</f>
        <v>16981</v>
      </c>
      <c r="AJ2" s="220"/>
    </row>
    <row r="3" spans="1:36" ht="14.6" x14ac:dyDescent="0.4">
      <c r="A3" s="3" t="s">
        <v>6</v>
      </c>
      <c r="B3" s="3" t="s">
        <v>7</v>
      </c>
      <c r="C3" s="184" t="s">
        <v>8</v>
      </c>
      <c r="D3" s="4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51</v>
      </c>
      <c r="M3" s="5" t="s">
        <v>52</v>
      </c>
      <c r="N3" s="5" t="s">
        <v>19</v>
      </c>
      <c r="O3" s="168">
        <v>11</v>
      </c>
      <c r="P3" s="128">
        <v>12</v>
      </c>
      <c r="Q3" s="128">
        <v>13</v>
      </c>
      <c r="R3" s="128">
        <v>14</v>
      </c>
      <c r="S3" s="128">
        <v>15</v>
      </c>
      <c r="T3" s="5">
        <v>10000</v>
      </c>
      <c r="U3" s="5">
        <v>20000</v>
      </c>
      <c r="V3" s="5">
        <v>30000</v>
      </c>
      <c r="W3" s="5">
        <v>40000</v>
      </c>
      <c r="X3" s="5">
        <v>50000</v>
      </c>
      <c r="Y3" s="5">
        <v>60000</v>
      </c>
      <c r="Z3" s="5">
        <v>70000</v>
      </c>
      <c r="AA3" s="5">
        <v>80000</v>
      </c>
      <c r="AB3" s="5">
        <v>90000</v>
      </c>
      <c r="AC3" s="5">
        <v>100000</v>
      </c>
      <c r="AD3" s="148">
        <f>AC3+10000</f>
        <v>110000</v>
      </c>
      <c r="AE3" s="148">
        <f t="shared" ref="AE3:AH3" si="1">AD3+10000</f>
        <v>120000</v>
      </c>
      <c r="AF3" s="148">
        <f t="shared" si="1"/>
        <v>130000</v>
      </c>
      <c r="AG3" s="148">
        <f t="shared" si="1"/>
        <v>140000</v>
      </c>
      <c r="AH3" s="148">
        <f t="shared" si="1"/>
        <v>150000</v>
      </c>
      <c r="AI3" s="6" t="s">
        <v>20</v>
      </c>
      <c r="AJ3" s="3" t="s">
        <v>21</v>
      </c>
    </row>
    <row r="4" spans="1:36" ht="14.6" x14ac:dyDescent="0.4">
      <c r="A4" s="7">
        <v>1</v>
      </c>
      <c r="B4" s="8" t="s">
        <v>22</v>
      </c>
      <c r="C4" s="185" t="s">
        <v>56</v>
      </c>
      <c r="D4" s="9">
        <f>VLOOKUP(C4,'[1]PREÇO ATUAL'!$A:$D,4,0)</f>
        <v>42.9</v>
      </c>
      <c r="E4" s="10">
        <v>1</v>
      </c>
      <c r="F4" s="10">
        <v>1</v>
      </c>
      <c r="G4" s="10">
        <v>1</v>
      </c>
      <c r="H4" s="10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0">
        <v>1</v>
      </c>
      <c r="O4" s="10">
        <v>1</v>
      </c>
      <c r="P4" s="10">
        <v>1</v>
      </c>
      <c r="Q4" s="10">
        <v>1</v>
      </c>
      <c r="R4" s="10">
        <v>1</v>
      </c>
      <c r="S4" s="10">
        <v>1</v>
      </c>
      <c r="T4" s="13">
        <f t="shared" ref="T4:AC4" si="2">$D4*E4</f>
        <v>42.9</v>
      </c>
      <c r="U4" s="13">
        <f t="shared" si="2"/>
        <v>42.9</v>
      </c>
      <c r="V4" s="13">
        <f t="shared" si="2"/>
        <v>42.9</v>
      </c>
      <c r="W4" s="13">
        <f>$D4*H4</f>
        <v>42.9</v>
      </c>
      <c r="X4" s="13">
        <f t="shared" si="2"/>
        <v>42.9</v>
      </c>
      <c r="Y4" s="13">
        <f t="shared" si="2"/>
        <v>42.9</v>
      </c>
      <c r="Z4" s="13">
        <f t="shared" si="2"/>
        <v>42.9</v>
      </c>
      <c r="AA4" s="13">
        <f t="shared" si="2"/>
        <v>42.9</v>
      </c>
      <c r="AB4" s="13">
        <f t="shared" si="2"/>
        <v>42.9</v>
      </c>
      <c r="AC4" s="13">
        <f t="shared" si="2"/>
        <v>42.9</v>
      </c>
      <c r="AD4" s="13">
        <f t="shared" ref="AD4:AH12" si="3">$D4*O4</f>
        <v>42.9</v>
      </c>
      <c r="AE4" s="13">
        <f t="shared" si="3"/>
        <v>42.9</v>
      </c>
      <c r="AF4" s="13">
        <f t="shared" si="3"/>
        <v>42.9</v>
      </c>
      <c r="AG4" s="13">
        <f t="shared" si="3"/>
        <v>42.9</v>
      </c>
      <c r="AH4" s="13">
        <f t="shared" si="3"/>
        <v>42.9</v>
      </c>
      <c r="AI4" s="14">
        <f t="shared" ref="AI4:AI12" si="4">AJ4/$AI$2</f>
        <v>3.7895294741181307E-2</v>
      </c>
      <c r="AJ4" s="13">
        <f>SUM(T4:AH4)</f>
        <v>643.49999999999977</v>
      </c>
    </row>
    <row r="5" spans="1:36" ht="14.6" x14ac:dyDescent="0.4">
      <c r="A5" s="15">
        <v>2</v>
      </c>
      <c r="B5" s="16" t="s">
        <v>57</v>
      </c>
      <c r="C5" s="186" t="s">
        <v>25</v>
      </c>
      <c r="D5" s="17">
        <f>VLOOKUP(C5,'[1]PREÇO ATUAL'!$A:$D,4,0)</f>
        <v>35.9</v>
      </c>
      <c r="E5" s="18"/>
      <c r="F5" s="18">
        <v>1</v>
      </c>
      <c r="G5" s="18"/>
      <c r="H5" s="18">
        <v>1</v>
      </c>
      <c r="I5" s="19"/>
      <c r="J5" s="19">
        <v>1</v>
      </c>
      <c r="K5" s="19"/>
      <c r="L5" s="19">
        <v>1</v>
      </c>
      <c r="M5" s="19"/>
      <c r="N5" s="18">
        <v>1</v>
      </c>
      <c r="O5" s="155"/>
      <c r="P5" s="19">
        <v>1</v>
      </c>
      <c r="Q5" s="19"/>
      <c r="R5" s="19">
        <v>1</v>
      </c>
      <c r="S5" s="19"/>
      <c r="T5" s="21">
        <f t="shared" ref="T5:AC5" si="5">$D5*E5</f>
        <v>0</v>
      </c>
      <c r="U5" s="21">
        <f t="shared" si="5"/>
        <v>35.9</v>
      </c>
      <c r="V5" s="21">
        <f t="shared" si="5"/>
        <v>0</v>
      </c>
      <c r="W5" s="21">
        <f>$D5*H5</f>
        <v>35.9</v>
      </c>
      <c r="X5" s="21">
        <f t="shared" si="5"/>
        <v>0</v>
      </c>
      <c r="Y5" s="21">
        <f t="shared" si="5"/>
        <v>35.9</v>
      </c>
      <c r="Z5" s="21">
        <f t="shared" si="5"/>
        <v>0</v>
      </c>
      <c r="AA5" s="21">
        <f t="shared" si="5"/>
        <v>35.9</v>
      </c>
      <c r="AB5" s="21">
        <f t="shared" si="5"/>
        <v>0</v>
      </c>
      <c r="AC5" s="21">
        <f t="shared" si="5"/>
        <v>35.9</v>
      </c>
      <c r="AD5" s="21">
        <f t="shared" si="3"/>
        <v>0</v>
      </c>
      <c r="AE5" s="21">
        <f t="shared" si="3"/>
        <v>35.9</v>
      </c>
      <c r="AF5" s="21">
        <f t="shared" si="3"/>
        <v>0</v>
      </c>
      <c r="AG5" s="21">
        <f t="shared" si="3"/>
        <v>35.9</v>
      </c>
      <c r="AH5" s="21">
        <f t="shared" si="3"/>
        <v>0</v>
      </c>
      <c r="AI5" s="22">
        <f t="shared" si="4"/>
        <v>1.4798892880277959E-2</v>
      </c>
      <c r="AJ5" s="21">
        <f t="shared" ref="AJ5:AJ12" si="6">SUM(T5:AH5)</f>
        <v>251.3</v>
      </c>
    </row>
    <row r="6" spans="1:36" ht="14.6" x14ac:dyDescent="0.4">
      <c r="A6" s="7">
        <v>3</v>
      </c>
      <c r="B6" s="8" t="s">
        <v>26</v>
      </c>
      <c r="C6" s="185" t="s">
        <v>58</v>
      </c>
      <c r="D6" s="9">
        <f>VLOOKUP(C6,'[1]PREÇO ATUAL'!$A:$D,4,0)</f>
        <v>89.9</v>
      </c>
      <c r="E6" s="10"/>
      <c r="F6" s="10">
        <v>1</v>
      </c>
      <c r="G6" s="10"/>
      <c r="H6" s="10">
        <v>1</v>
      </c>
      <c r="I6" s="11"/>
      <c r="J6" s="11">
        <v>1</v>
      </c>
      <c r="K6" s="11"/>
      <c r="L6" s="11">
        <v>1</v>
      </c>
      <c r="M6" s="11"/>
      <c r="N6" s="10">
        <v>1</v>
      </c>
      <c r="O6" s="154"/>
      <c r="P6" s="11">
        <v>1</v>
      </c>
      <c r="Q6" s="11"/>
      <c r="R6" s="11">
        <v>1</v>
      </c>
      <c r="S6" s="11"/>
      <c r="T6" s="13">
        <f t="shared" ref="T6:AC6" si="7">$D6*E6</f>
        <v>0</v>
      </c>
      <c r="U6" s="13">
        <f t="shared" si="7"/>
        <v>89.9</v>
      </c>
      <c r="V6" s="13">
        <f t="shared" si="7"/>
        <v>0</v>
      </c>
      <c r="W6" s="13">
        <f>$D6*H6</f>
        <v>89.9</v>
      </c>
      <c r="X6" s="13">
        <f t="shared" si="7"/>
        <v>0</v>
      </c>
      <c r="Y6" s="13">
        <f t="shared" si="7"/>
        <v>89.9</v>
      </c>
      <c r="Z6" s="13">
        <f t="shared" si="7"/>
        <v>0</v>
      </c>
      <c r="AA6" s="13">
        <f t="shared" si="7"/>
        <v>89.9</v>
      </c>
      <c r="AB6" s="13">
        <f t="shared" si="7"/>
        <v>0</v>
      </c>
      <c r="AC6" s="13">
        <f t="shared" si="7"/>
        <v>89.9</v>
      </c>
      <c r="AD6" s="13">
        <f t="shared" si="3"/>
        <v>0</v>
      </c>
      <c r="AE6" s="13">
        <f t="shared" si="3"/>
        <v>89.9</v>
      </c>
      <c r="AF6" s="13">
        <f t="shared" si="3"/>
        <v>0</v>
      </c>
      <c r="AG6" s="13">
        <f t="shared" si="3"/>
        <v>89.9</v>
      </c>
      <c r="AH6" s="13">
        <f t="shared" si="3"/>
        <v>0</v>
      </c>
      <c r="AI6" s="14">
        <f t="shared" si="4"/>
        <v>3.7059066014957891E-2</v>
      </c>
      <c r="AJ6" s="13">
        <f t="shared" si="6"/>
        <v>629.29999999999995</v>
      </c>
    </row>
    <row r="7" spans="1:36" ht="15.75" customHeight="1" x14ac:dyDescent="0.4">
      <c r="A7" s="15">
        <v>4</v>
      </c>
      <c r="B7" s="16" t="s">
        <v>59</v>
      </c>
      <c r="C7" s="186" t="s">
        <v>60</v>
      </c>
      <c r="D7" s="17">
        <f>VLOOKUP(C7,'[1]PREÇO ATUAL'!$A:$D,4,0)</f>
        <v>119.9</v>
      </c>
      <c r="E7" s="18"/>
      <c r="F7" s="18"/>
      <c r="G7" s="18"/>
      <c r="H7" s="18"/>
      <c r="I7" s="19"/>
      <c r="J7" s="19">
        <v>4</v>
      </c>
      <c r="K7" s="19"/>
      <c r="L7" s="19"/>
      <c r="M7" s="19"/>
      <c r="N7" s="18"/>
      <c r="O7" s="155"/>
      <c r="P7" s="19">
        <v>4</v>
      </c>
      <c r="Q7" s="19"/>
      <c r="R7" s="19"/>
      <c r="S7" s="19"/>
      <c r="T7" s="21">
        <f t="shared" ref="T7:AC7" si="8">$D7*E7</f>
        <v>0</v>
      </c>
      <c r="U7" s="21">
        <f t="shared" si="8"/>
        <v>0</v>
      </c>
      <c r="V7" s="21">
        <f t="shared" si="8"/>
        <v>0</v>
      </c>
      <c r="W7" s="21">
        <f t="shared" si="8"/>
        <v>0</v>
      </c>
      <c r="X7" s="21">
        <f t="shared" si="8"/>
        <v>0</v>
      </c>
      <c r="Y7" s="21">
        <f>$D7*J7</f>
        <v>479.6</v>
      </c>
      <c r="Z7" s="21">
        <f t="shared" si="8"/>
        <v>0</v>
      </c>
      <c r="AA7" s="21">
        <f t="shared" si="8"/>
        <v>0</v>
      </c>
      <c r="AB7" s="21">
        <f t="shared" si="8"/>
        <v>0</v>
      </c>
      <c r="AC7" s="21">
        <f t="shared" si="8"/>
        <v>0</v>
      </c>
      <c r="AD7" s="21">
        <f t="shared" si="3"/>
        <v>0</v>
      </c>
      <c r="AE7" s="21">
        <f t="shared" si="3"/>
        <v>479.6</v>
      </c>
      <c r="AF7" s="21">
        <f t="shared" si="3"/>
        <v>0</v>
      </c>
      <c r="AG7" s="21">
        <f t="shared" si="3"/>
        <v>0</v>
      </c>
      <c r="AH7" s="21">
        <f t="shared" si="3"/>
        <v>0</v>
      </c>
      <c r="AI7" s="22">
        <f t="shared" si="4"/>
        <v>5.6486661562923271E-2</v>
      </c>
      <c r="AJ7" s="21">
        <f t="shared" si="6"/>
        <v>959.2</v>
      </c>
    </row>
    <row r="8" spans="1:36" ht="15.75" customHeight="1" x14ac:dyDescent="0.4">
      <c r="A8" s="7">
        <v>5</v>
      </c>
      <c r="B8" s="8" t="s">
        <v>61</v>
      </c>
      <c r="C8" s="185" t="s">
        <v>62</v>
      </c>
      <c r="D8" s="9">
        <f>VLOOKUP(C8,'[1]PREÇO ATUAL'!$A:$D,4,0)</f>
        <v>179.9</v>
      </c>
      <c r="E8" s="10"/>
      <c r="F8" s="10"/>
      <c r="G8" s="10"/>
      <c r="H8" s="10"/>
      <c r="I8" s="11"/>
      <c r="J8" s="11">
        <v>1</v>
      </c>
      <c r="K8" s="11"/>
      <c r="L8" s="11"/>
      <c r="M8" s="11"/>
      <c r="N8" s="10"/>
      <c r="O8" s="154"/>
      <c r="P8" s="11">
        <v>1</v>
      </c>
      <c r="Q8" s="11"/>
      <c r="R8" s="11"/>
      <c r="S8" s="11"/>
      <c r="T8" s="13">
        <f t="shared" ref="T8:AC8" si="9">$D8*E8</f>
        <v>0</v>
      </c>
      <c r="U8" s="13">
        <f t="shared" si="9"/>
        <v>0</v>
      </c>
      <c r="V8" s="13">
        <f t="shared" si="9"/>
        <v>0</v>
      </c>
      <c r="W8" s="13">
        <f>$D8*H8</f>
        <v>0</v>
      </c>
      <c r="X8" s="13">
        <f t="shared" si="9"/>
        <v>0</v>
      </c>
      <c r="Y8" s="13">
        <f t="shared" si="9"/>
        <v>179.9</v>
      </c>
      <c r="Z8" s="13">
        <f t="shared" si="9"/>
        <v>0</v>
      </c>
      <c r="AA8" s="13">
        <f t="shared" si="9"/>
        <v>0</v>
      </c>
      <c r="AB8" s="13">
        <f t="shared" si="9"/>
        <v>0</v>
      </c>
      <c r="AC8" s="13">
        <f t="shared" si="9"/>
        <v>0</v>
      </c>
      <c r="AD8" s="13">
        <f t="shared" si="3"/>
        <v>0</v>
      </c>
      <c r="AE8" s="13">
        <f t="shared" si="3"/>
        <v>179.9</v>
      </c>
      <c r="AF8" s="13">
        <f t="shared" si="3"/>
        <v>0</v>
      </c>
      <c r="AG8" s="13">
        <f t="shared" si="3"/>
        <v>0</v>
      </c>
      <c r="AH8" s="13">
        <f t="shared" si="3"/>
        <v>0</v>
      </c>
      <c r="AI8" s="14">
        <f t="shared" si="4"/>
        <v>2.118838702078794E-2</v>
      </c>
      <c r="AJ8" s="13">
        <f t="shared" si="6"/>
        <v>359.8</v>
      </c>
    </row>
    <row r="9" spans="1:36" ht="15.75" customHeight="1" x14ac:dyDescent="0.4">
      <c r="A9" s="15">
        <v>6</v>
      </c>
      <c r="B9" s="16" t="s">
        <v>32</v>
      </c>
      <c r="C9" s="186" t="s">
        <v>33</v>
      </c>
      <c r="D9" s="17">
        <f>VLOOKUP(C9,'[1]PREÇO ATUAL'!$A:$D,4,0)</f>
        <v>165.97812000000002</v>
      </c>
      <c r="E9" s="18"/>
      <c r="F9" s="18"/>
      <c r="G9" s="18"/>
      <c r="H9" s="18"/>
      <c r="I9" s="19"/>
      <c r="J9" s="19"/>
      <c r="K9" s="19"/>
      <c r="L9" s="19"/>
      <c r="M9" s="19"/>
      <c r="N9" s="18"/>
      <c r="O9" s="155"/>
      <c r="P9" s="158">
        <v>2</v>
      </c>
      <c r="Q9" s="19"/>
      <c r="R9" s="19"/>
      <c r="S9" s="19"/>
      <c r="T9" s="21">
        <f t="shared" ref="T9" si="10">$D9*E9</f>
        <v>0</v>
      </c>
      <c r="U9" s="21">
        <f t="shared" ref="U9" si="11">$D9*F9</f>
        <v>0</v>
      </c>
      <c r="V9" s="21">
        <f t="shared" ref="V9" si="12">$D9*G9</f>
        <v>0</v>
      </c>
      <c r="W9" s="21">
        <f t="shared" ref="W9" si="13">$D9*H9</f>
        <v>0</v>
      </c>
      <c r="X9" s="21">
        <f t="shared" ref="X9" si="14">$D9*I9</f>
        <v>0</v>
      </c>
      <c r="Y9" s="21">
        <f t="shared" ref="Y9" si="15">$D9*J9</f>
        <v>0</v>
      </c>
      <c r="Z9" s="21">
        <f t="shared" ref="Z9" si="16">$D9*K9</f>
        <v>0</v>
      </c>
      <c r="AA9" s="21">
        <f t="shared" ref="AA9" si="17">$D9*L9</f>
        <v>0</v>
      </c>
      <c r="AB9" s="21">
        <f t="shared" ref="AB9" si="18">$D9*M9</f>
        <v>0</v>
      </c>
      <c r="AC9" s="21">
        <f t="shared" ref="AC9" si="19">$D9*N9</f>
        <v>0</v>
      </c>
      <c r="AD9" s="21">
        <f t="shared" si="3"/>
        <v>0</v>
      </c>
      <c r="AE9" s="21">
        <f t="shared" si="3"/>
        <v>331.95624000000004</v>
      </c>
      <c r="AF9" s="21">
        <f t="shared" si="3"/>
        <v>0</v>
      </c>
      <c r="AG9" s="21">
        <f t="shared" si="3"/>
        <v>0</v>
      </c>
      <c r="AH9" s="21">
        <f t="shared" si="3"/>
        <v>0</v>
      </c>
      <c r="AI9" s="22">
        <f t="shared" ref="AI9" si="20">AJ9/$AI$2</f>
        <v>1.9548686178670279E-2</v>
      </c>
      <c r="AJ9" s="21">
        <f t="shared" si="6"/>
        <v>331.95624000000004</v>
      </c>
    </row>
    <row r="10" spans="1:36" ht="15.75" customHeight="1" x14ac:dyDescent="0.4">
      <c r="A10" s="7">
        <v>7</v>
      </c>
      <c r="B10" s="8" t="s">
        <v>34</v>
      </c>
      <c r="C10" s="185" t="s">
        <v>35</v>
      </c>
      <c r="D10" s="9">
        <f>VLOOKUP(C10,'[1]PREÇO ATUAL'!$A:$D,4,0)</f>
        <v>33.622493083850472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167"/>
      <c r="P10" s="23"/>
      <c r="Q10" s="23"/>
      <c r="R10" s="23"/>
      <c r="S10" s="23"/>
      <c r="T10" s="13">
        <f t="shared" ref="T10:AC10" si="21">$D10*E10</f>
        <v>0</v>
      </c>
      <c r="U10" s="13">
        <f t="shared" si="21"/>
        <v>0</v>
      </c>
      <c r="V10" s="13">
        <f t="shared" si="21"/>
        <v>0</v>
      </c>
      <c r="W10" s="13">
        <f t="shared" si="21"/>
        <v>0</v>
      </c>
      <c r="X10" s="13">
        <f t="shared" si="21"/>
        <v>0</v>
      </c>
      <c r="Y10" s="13">
        <f t="shared" si="21"/>
        <v>0</v>
      </c>
      <c r="Z10" s="13">
        <f t="shared" si="21"/>
        <v>0</v>
      </c>
      <c r="AA10" s="13">
        <f t="shared" si="21"/>
        <v>0</v>
      </c>
      <c r="AB10" s="13">
        <f t="shared" si="21"/>
        <v>0</v>
      </c>
      <c r="AC10" s="13">
        <f t="shared" si="21"/>
        <v>0</v>
      </c>
      <c r="AD10" s="13">
        <f t="shared" si="3"/>
        <v>0</v>
      </c>
      <c r="AE10" s="13">
        <f t="shared" si="3"/>
        <v>0</v>
      </c>
      <c r="AF10" s="13">
        <f t="shared" si="3"/>
        <v>0</v>
      </c>
      <c r="AG10" s="13">
        <f t="shared" si="3"/>
        <v>0</v>
      </c>
      <c r="AH10" s="13">
        <f t="shared" si="3"/>
        <v>0</v>
      </c>
      <c r="AI10" s="14">
        <f t="shared" si="4"/>
        <v>0</v>
      </c>
      <c r="AJ10" s="13">
        <f t="shared" si="6"/>
        <v>0</v>
      </c>
    </row>
    <row r="11" spans="1:36" ht="15.75" customHeight="1" x14ac:dyDescent="0.4">
      <c r="A11" s="15">
        <v>8</v>
      </c>
      <c r="B11" s="16" t="s">
        <v>63</v>
      </c>
      <c r="C11" s="186" t="s">
        <v>64</v>
      </c>
      <c r="D11" s="17">
        <f>VLOOKUP(C11,'[1]PREÇO ATUAL'!$A:$D,4,0)</f>
        <v>98.56222158238279</v>
      </c>
      <c r="E11" s="24">
        <v>4.7</v>
      </c>
      <c r="F11" s="24">
        <v>4.7</v>
      </c>
      <c r="G11" s="24">
        <v>4.7</v>
      </c>
      <c r="H11" s="24">
        <v>4.7</v>
      </c>
      <c r="I11" s="17">
        <v>4.7</v>
      </c>
      <c r="J11" s="17">
        <v>4.7</v>
      </c>
      <c r="K11" s="17">
        <v>4.7</v>
      </c>
      <c r="L11" s="17">
        <v>4.7</v>
      </c>
      <c r="M11" s="17">
        <v>4.7</v>
      </c>
      <c r="N11" s="24">
        <v>4.7</v>
      </c>
      <c r="O11" s="156">
        <v>4.7</v>
      </c>
      <c r="P11" s="17">
        <v>4.7</v>
      </c>
      <c r="Q11" s="17">
        <v>4.7</v>
      </c>
      <c r="R11" s="17">
        <v>4.7</v>
      </c>
      <c r="S11" s="17">
        <v>4.7</v>
      </c>
      <c r="T11" s="21">
        <f t="shared" ref="T11:AC11" si="22">$D11*E11</f>
        <v>463.24244143719915</v>
      </c>
      <c r="U11" s="21">
        <f t="shared" si="22"/>
        <v>463.24244143719915</v>
      </c>
      <c r="V11" s="21">
        <f t="shared" si="22"/>
        <v>463.24244143719915</v>
      </c>
      <c r="W11" s="21">
        <f t="shared" si="22"/>
        <v>463.24244143719915</v>
      </c>
      <c r="X11" s="21">
        <f t="shared" si="22"/>
        <v>463.24244143719915</v>
      </c>
      <c r="Y11" s="21">
        <f t="shared" si="22"/>
        <v>463.24244143719915</v>
      </c>
      <c r="Z11" s="21">
        <f t="shared" si="22"/>
        <v>463.24244143719915</v>
      </c>
      <c r="AA11" s="21">
        <f t="shared" si="22"/>
        <v>463.24244143719915</v>
      </c>
      <c r="AB11" s="21">
        <f t="shared" si="22"/>
        <v>463.24244143719915</v>
      </c>
      <c r="AC11" s="21">
        <f t="shared" si="22"/>
        <v>463.24244143719915</v>
      </c>
      <c r="AD11" s="21">
        <f t="shared" si="3"/>
        <v>463.24244143719915</v>
      </c>
      <c r="AE11" s="21">
        <f t="shared" si="3"/>
        <v>463.24244143719915</v>
      </c>
      <c r="AF11" s="21">
        <f t="shared" si="3"/>
        <v>463.24244143719915</v>
      </c>
      <c r="AG11" s="21">
        <f t="shared" si="3"/>
        <v>463.24244143719915</v>
      </c>
      <c r="AH11" s="21">
        <f t="shared" si="3"/>
        <v>463.24244143719915</v>
      </c>
      <c r="AI11" s="22">
        <f t="shared" si="4"/>
        <v>0.40920067260809057</v>
      </c>
      <c r="AJ11" s="21">
        <f t="shared" si="6"/>
        <v>6948.6366215579856</v>
      </c>
    </row>
    <row r="12" spans="1:36" ht="15.75" customHeight="1" x14ac:dyDescent="0.4">
      <c r="A12" s="7">
        <v>9</v>
      </c>
      <c r="B12" s="8" t="s">
        <v>38</v>
      </c>
      <c r="C12" s="185" t="s">
        <v>39</v>
      </c>
      <c r="D12" s="9">
        <f>VLOOKUP(C12,'[1]PREÇO ATUAL'!$A:$D,4,0)</f>
        <v>342</v>
      </c>
      <c r="E12" s="23">
        <v>0.85</v>
      </c>
      <c r="F12" s="23">
        <v>1.2</v>
      </c>
      <c r="G12" s="23">
        <v>0.9</v>
      </c>
      <c r="H12" s="23">
        <v>1.65</v>
      </c>
      <c r="I12" s="23">
        <v>1</v>
      </c>
      <c r="J12" s="23">
        <v>2.5499999999999998</v>
      </c>
      <c r="K12" s="23">
        <v>0.9</v>
      </c>
      <c r="L12" s="23">
        <v>1.65</v>
      </c>
      <c r="M12" s="23">
        <v>0.9</v>
      </c>
      <c r="N12" s="23">
        <v>1.35</v>
      </c>
      <c r="O12" s="167">
        <v>0.85</v>
      </c>
      <c r="P12" s="23">
        <v>3.1</v>
      </c>
      <c r="Q12" s="23">
        <v>0.85</v>
      </c>
      <c r="R12" s="23">
        <v>1.25</v>
      </c>
      <c r="S12" s="23">
        <v>1.05</v>
      </c>
      <c r="T12" s="13">
        <f>D12*E12</f>
        <v>290.7</v>
      </c>
      <c r="U12" s="13">
        <f t="shared" ref="U12:AC12" si="23">$D12*F12</f>
        <v>410.4</v>
      </c>
      <c r="V12" s="13">
        <f t="shared" si="23"/>
        <v>307.8</v>
      </c>
      <c r="W12" s="13">
        <f t="shared" si="23"/>
        <v>564.29999999999995</v>
      </c>
      <c r="X12" s="13">
        <f t="shared" si="23"/>
        <v>342</v>
      </c>
      <c r="Y12" s="13">
        <f t="shared" si="23"/>
        <v>872.09999999999991</v>
      </c>
      <c r="Z12" s="13">
        <f t="shared" si="23"/>
        <v>307.8</v>
      </c>
      <c r="AA12" s="13">
        <f t="shared" si="23"/>
        <v>564.29999999999995</v>
      </c>
      <c r="AB12" s="13">
        <f t="shared" si="23"/>
        <v>307.8</v>
      </c>
      <c r="AC12" s="13">
        <f t="shared" si="23"/>
        <v>461.70000000000005</v>
      </c>
      <c r="AD12" s="13">
        <f t="shared" si="3"/>
        <v>290.7</v>
      </c>
      <c r="AE12" s="13">
        <f t="shared" si="3"/>
        <v>1060.2</v>
      </c>
      <c r="AF12" s="13">
        <f t="shared" si="3"/>
        <v>290.7</v>
      </c>
      <c r="AG12" s="13">
        <f t="shared" si="3"/>
        <v>427.5</v>
      </c>
      <c r="AH12" s="13">
        <f t="shared" si="3"/>
        <v>359.1</v>
      </c>
      <c r="AI12" s="14">
        <f t="shared" si="4"/>
        <v>0.40381014074553911</v>
      </c>
      <c r="AJ12" s="13">
        <f t="shared" si="6"/>
        <v>6857.0999999999995</v>
      </c>
    </row>
    <row r="13" spans="1:36" ht="15.75" customHeight="1" x14ac:dyDescent="0.4">
      <c r="H13" s="39"/>
      <c r="L13" s="39"/>
    </row>
    <row r="14" spans="1:36" ht="15.75" customHeight="1" x14ac:dyDescent="0.4">
      <c r="H14" s="39"/>
      <c r="L14" s="39"/>
    </row>
    <row r="15" spans="1:36" ht="15.75" customHeight="1" x14ac:dyDescent="0.4"/>
    <row r="16" spans="1:36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</sheetData>
  <mergeCells count="5">
    <mergeCell ref="A1:D2"/>
    <mergeCell ref="AI1:AJ1"/>
    <mergeCell ref="AI2:AJ2"/>
    <mergeCell ref="E1:S2"/>
    <mergeCell ref="T1:AH1"/>
  </mergeCells>
  <pageMargins left="0.511811024" right="0.511811024" top="0.78740157499999996" bottom="0.78740157499999996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5">
    <tabColor rgb="FF00FF00"/>
  </sheetPr>
  <dimension ref="A1:Z960"/>
  <sheetViews>
    <sheetView showGridLines="0" workbookViewId="0">
      <pane xSplit="4" topLeftCell="E1" activePane="topRight" state="frozen"/>
      <selection activeCell="B23" sqref="B23"/>
      <selection pane="topRight" activeCell="C4" sqref="C4:C13"/>
    </sheetView>
  </sheetViews>
  <sheetFormatPr defaultColWidth="14.3828125" defaultRowHeight="15" customHeight="1" x14ac:dyDescent="0.4"/>
  <cols>
    <col min="1" max="1" width="3.3046875" customWidth="1"/>
    <col min="2" max="2" width="48.15234375" customWidth="1"/>
    <col min="3" max="3" width="16.84375" customWidth="1"/>
    <col min="4" max="4" width="7.84375" customWidth="1"/>
    <col min="5" max="5" width="6.3828125" customWidth="1"/>
    <col min="6" max="14" width="5.3828125" customWidth="1"/>
    <col min="15" max="15" width="14.53515625" customWidth="1"/>
    <col min="16" max="16" width="13.3828125" customWidth="1"/>
    <col min="17" max="18" width="15.69140625" bestFit="1" customWidth="1"/>
    <col min="19" max="19" width="13.3828125" customWidth="1"/>
    <col min="20" max="20" width="16.84375" customWidth="1"/>
    <col min="21" max="21" width="14.53515625" customWidth="1"/>
    <col min="22" max="22" width="16.84375" customWidth="1"/>
    <col min="23" max="23" width="15.69140625" bestFit="1" customWidth="1"/>
    <col min="24" max="24" width="14.53515625" customWidth="1"/>
    <col min="25" max="25" width="7.53515625" customWidth="1"/>
    <col min="26" max="26" width="15.53515625" customWidth="1"/>
  </cols>
  <sheetData>
    <row r="1" spans="1:26" ht="15.75" customHeight="1" x14ac:dyDescent="0.4">
      <c r="A1" s="222" t="s">
        <v>65</v>
      </c>
      <c r="B1" s="223"/>
      <c r="C1" s="223"/>
      <c r="D1" s="234"/>
      <c r="E1" s="226" t="s">
        <v>3</v>
      </c>
      <c r="F1" s="223"/>
      <c r="G1" s="223"/>
      <c r="H1" s="223"/>
      <c r="I1" s="223"/>
      <c r="J1" s="223"/>
      <c r="K1" s="223"/>
      <c r="L1" s="223"/>
      <c r="M1" s="223"/>
      <c r="N1" s="234"/>
      <c r="O1" s="230" t="s">
        <v>4</v>
      </c>
      <c r="P1" s="237"/>
      <c r="Q1" s="237"/>
      <c r="R1" s="237"/>
      <c r="S1" s="237"/>
      <c r="T1" s="237"/>
      <c r="U1" s="237"/>
      <c r="V1" s="237"/>
      <c r="W1" s="237"/>
      <c r="X1" s="238"/>
      <c r="Y1" s="219" t="s">
        <v>5</v>
      </c>
      <c r="Z1" s="220"/>
    </row>
    <row r="2" spans="1:26" ht="15" customHeight="1" x14ac:dyDescent="0.4">
      <c r="A2" s="224"/>
      <c r="B2" s="225"/>
      <c r="C2" s="225"/>
      <c r="D2" s="235"/>
      <c r="E2" s="236"/>
      <c r="F2" s="225"/>
      <c r="G2" s="225"/>
      <c r="H2" s="225"/>
      <c r="I2" s="225"/>
      <c r="J2" s="225"/>
      <c r="K2" s="225"/>
      <c r="L2" s="225"/>
      <c r="M2" s="225"/>
      <c r="N2" s="235"/>
      <c r="O2" s="2">
        <f>MROUND(SUM(O4:O13),1)</f>
        <v>672</v>
      </c>
      <c r="P2" s="2">
        <f t="shared" ref="P2:X2" si="0">MROUND(SUM(P4:P13),1)</f>
        <v>880</v>
      </c>
      <c r="Q2" s="2">
        <f t="shared" si="0"/>
        <v>1162</v>
      </c>
      <c r="R2" s="2">
        <f t="shared" si="0"/>
        <v>983</v>
      </c>
      <c r="S2" s="2">
        <f t="shared" si="0"/>
        <v>740</v>
      </c>
      <c r="T2" s="2">
        <f t="shared" si="0"/>
        <v>2385</v>
      </c>
      <c r="U2" s="2">
        <f t="shared" si="0"/>
        <v>672</v>
      </c>
      <c r="V2" s="2">
        <f t="shared" si="0"/>
        <v>983</v>
      </c>
      <c r="W2" s="2">
        <f t="shared" si="0"/>
        <v>1162</v>
      </c>
      <c r="X2" s="2">
        <f t="shared" si="0"/>
        <v>915</v>
      </c>
      <c r="Y2" s="221">
        <f>SUM(O2:X2)</f>
        <v>10554</v>
      </c>
      <c r="Z2" s="220"/>
    </row>
    <row r="3" spans="1:26" ht="14.6" x14ac:dyDescent="0.4">
      <c r="A3" s="3" t="s">
        <v>6</v>
      </c>
      <c r="B3" s="3" t="s">
        <v>7</v>
      </c>
      <c r="C3" s="3" t="s">
        <v>8</v>
      </c>
      <c r="D3" s="4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18</v>
      </c>
      <c r="N3" s="5" t="s">
        <v>19</v>
      </c>
      <c r="O3" s="5">
        <v>10000</v>
      </c>
      <c r="P3" s="5">
        <v>20000</v>
      </c>
      <c r="Q3" s="5">
        <v>30000</v>
      </c>
      <c r="R3" s="5">
        <v>40000</v>
      </c>
      <c r="S3" s="5">
        <v>50000</v>
      </c>
      <c r="T3" s="5">
        <v>60000</v>
      </c>
      <c r="U3" s="5">
        <v>70000</v>
      </c>
      <c r="V3" s="5">
        <v>80000</v>
      </c>
      <c r="W3" s="5">
        <v>90000</v>
      </c>
      <c r="X3" s="5">
        <v>100000</v>
      </c>
      <c r="Y3" s="6" t="s">
        <v>20</v>
      </c>
      <c r="Z3" s="3" t="s">
        <v>21</v>
      </c>
    </row>
    <row r="4" spans="1:26" ht="14.6" x14ac:dyDescent="0.4">
      <c r="A4" s="7">
        <v>1</v>
      </c>
      <c r="B4" s="8" t="s">
        <v>66</v>
      </c>
      <c r="C4" s="185" t="s">
        <v>67</v>
      </c>
      <c r="D4" s="9">
        <f>VLOOKUP(C4,'[1]PREÇO ATUAL'!$A:$D,4,0)</f>
        <v>24.15</v>
      </c>
      <c r="E4" s="10"/>
      <c r="F4" s="10"/>
      <c r="G4" s="10">
        <v>4</v>
      </c>
      <c r="H4" s="10"/>
      <c r="I4" s="11"/>
      <c r="J4" s="11">
        <v>4</v>
      </c>
      <c r="K4" s="11"/>
      <c r="L4" s="11"/>
      <c r="M4" s="11">
        <v>4</v>
      </c>
      <c r="N4" s="11"/>
      <c r="O4" s="13">
        <f t="shared" ref="O4:X4" si="1">$D4*E4</f>
        <v>0</v>
      </c>
      <c r="P4" s="13">
        <f t="shared" si="1"/>
        <v>0</v>
      </c>
      <c r="Q4" s="13">
        <f t="shared" si="1"/>
        <v>96.6</v>
      </c>
      <c r="R4" s="13">
        <f t="shared" si="1"/>
        <v>0</v>
      </c>
      <c r="S4" s="13">
        <f t="shared" si="1"/>
        <v>0</v>
      </c>
      <c r="T4" s="13">
        <f t="shared" si="1"/>
        <v>96.6</v>
      </c>
      <c r="U4" s="13">
        <f t="shared" si="1"/>
        <v>0</v>
      </c>
      <c r="V4" s="13">
        <f t="shared" si="1"/>
        <v>0</v>
      </c>
      <c r="W4" s="13">
        <f t="shared" si="1"/>
        <v>96.6</v>
      </c>
      <c r="X4" s="26">
        <f t="shared" si="1"/>
        <v>0</v>
      </c>
      <c r="Y4" s="14">
        <f t="shared" ref="Y4:Y13" si="2">Z4/$Y$2</f>
        <v>2.7458783399658893E-2</v>
      </c>
      <c r="Z4" s="13">
        <f t="shared" ref="Z4:Z13" si="3">SUM(O4:X4)</f>
        <v>289.79999999999995</v>
      </c>
    </row>
    <row r="5" spans="1:26" ht="14.6" x14ac:dyDescent="0.4">
      <c r="A5" s="15">
        <v>2</v>
      </c>
      <c r="B5" s="16" t="s">
        <v>68</v>
      </c>
      <c r="C5" s="186" t="s">
        <v>69</v>
      </c>
      <c r="D5" s="17">
        <f>VLOOKUP(C5,'[1]PREÇO ATUAL'!$A:$D,4,0)</f>
        <v>145.9</v>
      </c>
      <c r="E5" s="18"/>
      <c r="F5" s="18"/>
      <c r="G5" s="18"/>
      <c r="H5" s="18"/>
      <c r="I5" s="19"/>
      <c r="J5" s="19">
        <v>1</v>
      </c>
      <c r="K5" s="19"/>
      <c r="L5" s="19"/>
      <c r="M5" s="19"/>
      <c r="N5" s="19"/>
      <c r="O5" s="21">
        <f t="shared" ref="O5:X5" si="4">$D5*E5</f>
        <v>0</v>
      </c>
      <c r="P5" s="21">
        <f t="shared" si="4"/>
        <v>0</v>
      </c>
      <c r="Q5" s="21">
        <f t="shared" si="4"/>
        <v>0</v>
      </c>
      <c r="R5" s="21">
        <f t="shared" si="4"/>
        <v>0</v>
      </c>
      <c r="S5" s="21">
        <f t="shared" si="4"/>
        <v>0</v>
      </c>
      <c r="T5" s="21">
        <f t="shared" si="4"/>
        <v>145.9</v>
      </c>
      <c r="U5" s="21">
        <f t="shared" si="4"/>
        <v>0</v>
      </c>
      <c r="V5" s="21">
        <f t="shared" si="4"/>
        <v>0</v>
      </c>
      <c r="W5" s="21">
        <f t="shared" si="4"/>
        <v>0</v>
      </c>
      <c r="X5" s="27">
        <f t="shared" si="4"/>
        <v>0</v>
      </c>
      <c r="Y5" s="22">
        <f t="shared" si="2"/>
        <v>1.3824142505211294E-2</v>
      </c>
      <c r="Z5" s="21">
        <f t="shared" si="3"/>
        <v>145.9</v>
      </c>
    </row>
    <row r="6" spans="1:26" ht="14.6" x14ac:dyDescent="0.4">
      <c r="A6" s="7">
        <v>3</v>
      </c>
      <c r="B6" s="8" t="s">
        <v>70</v>
      </c>
      <c r="C6" s="185" t="s">
        <v>71</v>
      </c>
      <c r="D6" s="9">
        <f>VLOOKUP(C6,'[1]PREÇO ATUAL'!$A:$D,4,0)</f>
        <v>71.2</v>
      </c>
      <c r="E6" s="10">
        <v>1</v>
      </c>
      <c r="F6" s="10">
        <v>1</v>
      </c>
      <c r="G6" s="10">
        <v>1</v>
      </c>
      <c r="H6" s="10">
        <v>1</v>
      </c>
      <c r="I6" s="11">
        <v>1</v>
      </c>
      <c r="J6" s="11">
        <v>1</v>
      </c>
      <c r="K6" s="11">
        <v>1</v>
      </c>
      <c r="L6" s="11">
        <v>1</v>
      </c>
      <c r="M6" s="11">
        <v>1</v>
      </c>
      <c r="N6" s="11">
        <v>1</v>
      </c>
      <c r="O6" s="13">
        <f t="shared" ref="O6:X6" si="5">$D6*E6</f>
        <v>71.2</v>
      </c>
      <c r="P6" s="13">
        <f t="shared" si="5"/>
        <v>71.2</v>
      </c>
      <c r="Q6" s="13">
        <f t="shared" si="5"/>
        <v>71.2</v>
      </c>
      <c r="R6" s="13">
        <f t="shared" si="5"/>
        <v>71.2</v>
      </c>
      <c r="S6" s="13">
        <f t="shared" si="5"/>
        <v>71.2</v>
      </c>
      <c r="T6" s="13">
        <f t="shared" si="5"/>
        <v>71.2</v>
      </c>
      <c r="U6" s="13">
        <f t="shared" si="5"/>
        <v>71.2</v>
      </c>
      <c r="V6" s="13">
        <f t="shared" si="5"/>
        <v>71.2</v>
      </c>
      <c r="W6" s="13">
        <f t="shared" si="5"/>
        <v>71.2</v>
      </c>
      <c r="X6" s="26">
        <f t="shared" si="5"/>
        <v>71.2</v>
      </c>
      <c r="Y6" s="14">
        <f t="shared" si="2"/>
        <v>6.7462573431874187E-2</v>
      </c>
      <c r="Z6" s="13">
        <f t="shared" si="3"/>
        <v>712.00000000000011</v>
      </c>
    </row>
    <row r="7" spans="1:26" ht="14.6" x14ac:dyDescent="0.4">
      <c r="A7" s="15">
        <v>4</v>
      </c>
      <c r="B7" s="16" t="s">
        <v>72</v>
      </c>
      <c r="C7" s="186" t="s">
        <v>25</v>
      </c>
      <c r="D7" s="17">
        <f>VLOOKUP(C7,'[1]PREÇO ATUAL'!$A:$D,4,0)</f>
        <v>35.9</v>
      </c>
      <c r="E7" s="18"/>
      <c r="F7" s="18">
        <v>1</v>
      </c>
      <c r="G7" s="18"/>
      <c r="H7" s="18">
        <v>1</v>
      </c>
      <c r="I7" s="19"/>
      <c r="J7" s="19">
        <v>1</v>
      </c>
      <c r="K7" s="19"/>
      <c r="L7" s="19">
        <v>1</v>
      </c>
      <c r="M7" s="19"/>
      <c r="N7" s="19">
        <v>1</v>
      </c>
      <c r="O7" s="21">
        <f t="shared" ref="O7:X7" si="6">$D7*E7</f>
        <v>0</v>
      </c>
      <c r="P7" s="21">
        <f t="shared" si="6"/>
        <v>35.9</v>
      </c>
      <c r="Q7" s="21">
        <f t="shared" si="6"/>
        <v>0</v>
      </c>
      <c r="R7" s="21">
        <f t="shared" si="6"/>
        <v>35.9</v>
      </c>
      <c r="S7" s="21">
        <f t="shared" si="6"/>
        <v>0</v>
      </c>
      <c r="T7" s="21">
        <f t="shared" si="6"/>
        <v>35.9</v>
      </c>
      <c r="U7" s="21">
        <f t="shared" si="6"/>
        <v>0</v>
      </c>
      <c r="V7" s="21">
        <f t="shared" si="6"/>
        <v>35.9</v>
      </c>
      <c r="W7" s="21">
        <f t="shared" si="6"/>
        <v>0</v>
      </c>
      <c r="X7" s="27">
        <f t="shared" si="6"/>
        <v>35.9</v>
      </c>
      <c r="Y7" s="22">
        <f t="shared" si="2"/>
        <v>1.700776956604131E-2</v>
      </c>
      <c r="Z7" s="21">
        <f t="shared" si="3"/>
        <v>179.5</v>
      </c>
    </row>
    <row r="8" spans="1:26" ht="14.6" x14ac:dyDescent="0.4">
      <c r="A8" s="7">
        <v>5</v>
      </c>
      <c r="B8" s="8" t="s">
        <v>73</v>
      </c>
      <c r="C8" s="185" t="s">
        <v>74</v>
      </c>
      <c r="D8" s="9">
        <f>VLOOKUP(C8,'[1]PREÇO ATUAL'!$A:$D,4,0)</f>
        <v>86.9</v>
      </c>
      <c r="E8" s="10"/>
      <c r="F8" s="10">
        <v>1</v>
      </c>
      <c r="G8" s="10"/>
      <c r="H8" s="10">
        <v>1</v>
      </c>
      <c r="I8" s="11"/>
      <c r="J8" s="11">
        <v>1</v>
      </c>
      <c r="K8" s="11"/>
      <c r="L8" s="11">
        <v>1</v>
      </c>
      <c r="M8" s="11"/>
      <c r="N8" s="11">
        <v>1</v>
      </c>
      <c r="O8" s="13">
        <f t="shared" ref="O8:X8" si="7">$D8*E8</f>
        <v>0</v>
      </c>
      <c r="P8" s="13">
        <f t="shared" si="7"/>
        <v>86.9</v>
      </c>
      <c r="Q8" s="13">
        <f t="shared" si="7"/>
        <v>0</v>
      </c>
      <c r="R8" s="13">
        <f t="shared" si="7"/>
        <v>86.9</v>
      </c>
      <c r="S8" s="13">
        <f t="shared" si="7"/>
        <v>0</v>
      </c>
      <c r="T8" s="13">
        <f t="shared" si="7"/>
        <v>86.9</v>
      </c>
      <c r="U8" s="13">
        <f t="shared" si="7"/>
        <v>0</v>
      </c>
      <c r="V8" s="13">
        <f t="shared" si="7"/>
        <v>86.9</v>
      </c>
      <c r="W8" s="13">
        <f t="shared" si="7"/>
        <v>0</v>
      </c>
      <c r="X8" s="26">
        <f t="shared" si="7"/>
        <v>86.9</v>
      </c>
      <c r="Y8" s="14">
        <f t="shared" si="2"/>
        <v>4.1169224938411977E-2</v>
      </c>
      <c r="Z8" s="13">
        <f t="shared" si="3"/>
        <v>434.5</v>
      </c>
    </row>
    <row r="9" spans="1:26" ht="14.6" x14ac:dyDescent="0.4">
      <c r="A9" s="15">
        <v>6</v>
      </c>
      <c r="B9" s="16" t="s">
        <v>75</v>
      </c>
      <c r="C9" s="186" t="s">
        <v>76</v>
      </c>
      <c r="D9" s="17">
        <f>VLOOKUP(C9,'[1]PREÇO ATUAL'!$A:$D,4,0)</f>
        <v>139.9</v>
      </c>
      <c r="E9" s="18"/>
      <c r="F9" s="18"/>
      <c r="G9" s="18"/>
      <c r="H9" s="18"/>
      <c r="I9" s="19"/>
      <c r="J9" s="19">
        <v>1</v>
      </c>
      <c r="K9" s="19"/>
      <c r="L9" s="19"/>
      <c r="M9" s="19"/>
      <c r="N9" s="19"/>
      <c r="O9" s="21">
        <f t="shared" ref="O9:X9" si="8">$D9*E9</f>
        <v>0</v>
      </c>
      <c r="P9" s="21">
        <f t="shared" si="8"/>
        <v>0</v>
      </c>
      <c r="Q9" s="21">
        <f t="shared" si="8"/>
        <v>0</v>
      </c>
      <c r="R9" s="21">
        <f t="shared" si="8"/>
        <v>0</v>
      </c>
      <c r="S9" s="21">
        <f t="shared" si="8"/>
        <v>0</v>
      </c>
      <c r="T9" s="21">
        <f t="shared" si="8"/>
        <v>139.9</v>
      </c>
      <c r="U9" s="21">
        <f t="shared" si="8"/>
        <v>0</v>
      </c>
      <c r="V9" s="21">
        <f t="shared" si="8"/>
        <v>0</v>
      </c>
      <c r="W9" s="21">
        <f t="shared" si="8"/>
        <v>0</v>
      </c>
      <c r="X9" s="27">
        <f t="shared" si="8"/>
        <v>0</v>
      </c>
      <c r="Y9" s="22">
        <f t="shared" si="2"/>
        <v>1.325563767292022E-2</v>
      </c>
      <c r="Z9" s="21">
        <f t="shared" si="3"/>
        <v>139.9</v>
      </c>
    </row>
    <row r="10" spans="1:26" ht="14.6" x14ac:dyDescent="0.4">
      <c r="A10" s="7">
        <v>7</v>
      </c>
      <c r="B10" s="8" t="s">
        <v>77</v>
      </c>
      <c r="C10" s="185" t="s">
        <v>78</v>
      </c>
      <c r="D10" s="9">
        <f>VLOOKUP(C10,'[1]PREÇO ATUAL'!$A:$D,4,0)</f>
        <v>27.9</v>
      </c>
      <c r="E10" s="10"/>
      <c r="F10" s="10"/>
      <c r="G10" s="10"/>
      <c r="H10" s="10"/>
      <c r="I10" s="11"/>
      <c r="J10" s="11">
        <v>1</v>
      </c>
      <c r="K10" s="11"/>
      <c r="L10" s="11"/>
      <c r="M10" s="11"/>
      <c r="N10" s="11"/>
      <c r="O10" s="13">
        <f t="shared" ref="O10:X10" si="9">$D10*E10</f>
        <v>0</v>
      </c>
      <c r="P10" s="13">
        <f t="shared" si="9"/>
        <v>0</v>
      </c>
      <c r="Q10" s="13">
        <f t="shared" si="9"/>
        <v>0</v>
      </c>
      <c r="R10" s="13">
        <f t="shared" si="9"/>
        <v>0</v>
      </c>
      <c r="S10" s="13">
        <f t="shared" si="9"/>
        <v>0</v>
      </c>
      <c r="T10" s="13">
        <f t="shared" si="9"/>
        <v>27.9</v>
      </c>
      <c r="U10" s="13">
        <f t="shared" si="9"/>
        <v>0</v>
      </c>
      <c r="V10" s="13">
        <f t="shared" si="9"/>
        <v>0</v>
      </c>
      <c r="W10" s="13">
        <f t="shared" si="9"/>
        <v>0</v>
      </c>
      <c r="X10" s="26">
        <f t="shared" si="9"/>
        <v>0</v>
      </c>
      <c r="Y10" s="14">
        <f t="shared" si="2"/>
        <v>2.643547470153496E-3</v>
      </c>
      <c r="Z10" s="13">
        <f t="shared" si="3"/>
        <v>27.9</v>
      </c>
    </row>
    <row r="11" spans="1:26" ht="14.6" x14ac:dyDescent="0.4">
      <c r="A11" s="15">
        <v>8</v>
      </c>
      <c r="B11" s="16" t="s">
        <v>63</v>
      </c>
      <c r="C11" s="186" t="s">
        <v>64</v>
      </c>
      <c r="D11" s="17">
        <f>VLOOKUP(C11,'[1]PREÇO ATUAL'!$A:$D,4,0)</f>
        <v>98.56222158238279</v>
      </c>
      <c r="E11" s="24">
        <v>2.8</v>
      </c>
      <c r="F11" s="24">
        <v>2.8</v>
      </c>
      <c r="G11" s="24">
        <v>2.8</v>
      </c>
      <c r="H11" s="24">
        <v>2.8</v>
      </c>
      <c r="I11" s="24">
        <v>2.8</v>
      </c>
      <c r="J11" s="24">
        <v>2.8</v>
      </c>
      <c r="K11" s="24">
        <v>2.8</v>
      </c>
      <c r="L11" s="24">
        <v>2.8</v>
      </c>
      <c r="M11" s="24">
        <v>2.8</v>
      </c>
      <c r="N11" s="24">
        <v>2.8</v>
      </c>
      <c r="O11" s="21">
        <f t="shared" ref="O11:X11" si="10">$D11*E11</f>
        <v>275.97422043067178</v>
      </c>
      <c r="P11" s="21">
        <f t="shared" si="10"/>
        <v>275.97422043067178</v>
      </c>
      <c r="Q11" s="21">
        <f t="shared" si="10"/>
        <v>275.97422043067178</v>
      </c>
      <c r="R11" s="21">
        <f t="shared" si="10"/>
        <v>275.97422043067178</v>
      </c>
      <c r="S11" s="21">
        <f t="shared" si="10"/>
        <v>275.97422043067178</v>
      </c>
      <c r="T11" s="21">
        <f t="shared" si="10"/>
        <v>275.97422043067178</v>
      </c>
      <c r="U11" s="21">
        <f t="shared" si="10"/>
        <v>275.97422043067178</v>
      </c>
      <c r="V11" s="21">
        <f t="shared" si="10"/>
        <v>275.97422043067178</v>
      </c>
      <c r="W11" s="21">
        <f t="shared" si="10"/>
        <v>275.97422043067178</v>
      </c>
      <c r="X11" s="27">
        <f t="shared" si="10"/>
        <v>275.97422043067178</v>
      </c>
      <c r="Y11" s="22">
        <f t="shared" si="2"/>
        <v>0.26148779650433179</v>
      </c>
      <c r="Z11" s="21">
        <f t="shared" si="3"/>
        <v>2759.7422043067177</v>
      </c>
    </row>
    <row r="12" spans="1:26" ht="14.6" x14ac:dyDescent="0.4">
      <c r="A12" s="7">
        <v>9</v>
      </c>
      <c r="B12" s="8" t="s">
        <v>34</v>
      </c>
      <c r="C12" s="185" t="s">
        <v>35</v>
      </c>
      <c r="D12" s="9">
        <f>VLOOKUP(C12,'[1]PREÇO ATUAL'!$A:$D,4,0)</f>
        <v>33.622493083850472</v>
      </c>
      <c r="E12" s="10"/>
      <c r="F12" s="10"/>
      <c r="G12" s="10"/>
      <c r="H12" s="10"/>
      <c r="I12" s="11"/>
      <c r="J12" s="11"/>
      <c r="K12" s="11"/>
      <c r="L12" s="11"/>
      <c r="M12" s="11"/>
      <c r="N12" s="11"/>
      <c r="O12" s="13">
        <f t="shared" ref="O12:X12" si="11">$D12*E12</f>
        <v>0</v>
      </c>
      <c r="P12" s="13">
        <f t="shared" si="11"/>
        <v>0</v>
      </c>
      <c r="Q12" s="13">
        <f t="shared" si="11"/>
        <v>0</v>
      </c>
      <c r="R12" s="13">
        <f t="shared" si="11"/>
        <v>0</v>
      </c>
      <c r="S12" s="13">
        <f t="shared" si="11"/>
        <v>0</v>
      </c>
      <c r="T12" s="13">
        <f t="shared" si="11"/>
        <v>0</v>
      </c>
      <c r="U12" s="13">
        <f t="shared" si="11"/>
        <v>0</v>
      </c>
      <c r="V12" s="13">
        <f t="shared" si="11"/>
        <v>0</v>
      </c>
      <c r="W12" s="13">
        <f t="shared" si="11"/>
        <v>0</v>
      </c>
      <c r="X12" s="26">
        <f t="shared" si="11"/>
        <v>0</v>
      </c>
      <c r="Y12" s="14">
        <f t="shared" si="2"/>
        <v>0</v>
      </c>
      <c r="Z12" s="13">
        <f t="shared" si="3"/>
        <v>0</v>
      </c>
    </row>
    <row r="13" spans="1:26" ht="14.6" x14ac:dyDescent="0.4">
      <c r="A13" s="15">
        <v>10</v>
      </c>
      <c r="B13" s="16" t="s">
        <v>38</v>
      </c>
      <c r="C13" s="186" t="s">
        <v>39</v>
      </c>
      <c r="D13" s="17">
        <f>VLOOKUP(C13,'[1]PREÇO ATUAL'!$A:$D,4,0)</f>
        <v>342</v>
      </c>
      <c r="E13" s="28">
        <v>0.95</v>
      </c>
      <c r="F13" s="28">
        <v>1.2</v>
      </c>
      <c r="G13" s="28">
        <v>2.1</v>
      </c>
      <c r="H13" s="28">
        <v>1.5</v>
      </c>
      <c r="I13" s="29">
        <v>1.1499999999999999</v>
      </c>
      <c r="J13" s="29">
        <v>4.4000000000000004</v>
      </c>
      <c r="K13" s="29">
        <v>0.95</v>
      </c>
      <c r="L13" s="29">
        <v>1.5</v>
      </c>
      <c r="M13" s="29">
        <v>2.1</v>
      </c>
      <c r="N13" s="29">
        <v>1.3</v>
      </c>
      <c r="O13" s="21">
        <f>D13*E13</f>
        <v>324.89999999999998</v>
      </c>
      <c r="P13" s="21">
        <f t="shared" ref="P13:X13" si="12">$D13*F13</f>
        <v>410.4</v>
      </c>
      <c r="Q13" s="21">
        <f t="shared" si="12"/>
        <v>718.2</v>
      </c>
      <c r="R13" s="21">
        <f t="shared" si="12"/>
        <v>513</v>
      </c>
      <c r="S13" s="21">
        <f t="shared" si="12"/>
        <v>393.29999999999995</v>
      </c>
      <c r="T13" s="21">
        <f t="shared" si="12"/>
        <v>1504.8000000000002</v>
      </c>
      <c r="U13" s="21">
        <f t="shared" si="12"/>
        <v>324.89999999999998</v>
      </c>
      <c r="V13" s="21">
        <f t="shared" si="12"/>
        <v>513</v>
      </c>
      <c r="W13" s="21">
        <f t="shared" si="12"/>
        <v>718.2</v>
      </c>
      <c r="X13" s="27">
        <f t="shared" si="12"/>
        <v>444.6</v>
      </c>
      <c r="Y13" s="22">
        <f t="shared" si="2"/>
        <v>0.55574189880613989</v>
      </c>
      <c r="Z13" s="21">
        <f t="shared" si="3"/>
        <v>5865.3</v>
      </c>
    </row>
    <row r="14" spans="1:26" ht="15.75" customHeight="1" x14ac:dyDescent="0.4">
      <c r="H14" s="54"/>
    </row>
    <row r="15" spans="1:26" ht="15.75" customHeight="1" x14ac:dyDescent="0.4">
      <c r="H15" s="54"/>
      <c r="L15" s="54"/>
    </row>
    <row r="16" spans="1:26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</sheetData>
  <mergeCells count="5">
    <mergeCell ref="A1:D2"/>
    <mergeCell ref="E1:N2"/>
    <mergeCell ref="O1:X1"/>
    <mergeCell ref="Y1:Z1"/>
    <mergeCell ref="Y2:Z2"/>
  </mergeCells>
  <pageMargins left="0.511811024" right="0.511811024" top="0.78740157499999996" bottom="0.78740157499999996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6">
    <tabColor rgb="FF00FF00"/>
  </sheetPr>
  <dimension ref="A1:Z960"/>
  <sheetViews>
    <sheetView showGridLines="0" workbookViewId="0">
      <pane xSplit="4" topLeftCell="E1" activePane="topRight" state="frozen"/>
      <selection activeCell="B23" sqref="B23"/>
      <selection pane="topRight" activeCell="C4" sqref="C4:C11"/>
    </sheetView>
  </sheetViews>
  <sheetFormatPr defaultColWidth="14.3828125" defaultRowHeight="15" customHeight="1" x14ac:dyDescent="0.4"/>
  <cols>
    <col min="1" max="1" width="3.3046875" customWidth="1"/>
    <col min="2" max="2" width="48.15234375" customWidth="1"/>
    <col min="3" max="3" width="16.84375" customWidth="1"/>
    <col min="4" max="4" width="7.84375" customWidth="1"/>
    <col min="5" max="5" width="5.69140625" customWidth="1"/>
    <col min="6" max="14" width="5.3828125" customWidth="1"/>
    <col min="15" max="16" width="14.53515625" customWidth="1"/>
    <col min="17" max="17" width="13.3828125" customWidth="1"/>
    <col min="18" max="18" width="15.3828125" customWidth="1"/>
    <col min="19" max="19" width="13.3828125" customWidth="1"/>
    <col min="20" max="20" width="16.84375" customWidth="1"/>
    <col min="21" max="21" width="14.53515625" customWidth="1"/>
    <col min="22" max="22" width="16.84375" customWidth="1"/>
    <col min="23" max="24" width="14.53515625" customWidth="1"/>
    <col min="25" max="25" width="7.53515625" customWidth="1"/>
    <col min="26" max="26" width="15.53515625" customWidth="1"/>
  </cols>
  <sheetData>
    <row r="1" spans="1:26" ht="14.6" x14ac:dyDescent="0.4">
      <c r="A1" s="222" t="s">
        <v>79</v>
      </c>
      <c r="B1" s="223"/>
      <c r="C1" s="223"/>
      <c r="D1" s="223"/>
      <c r="E1" s="226" t="s">
        <v>3</v>
      </c>
      <c r="F1" s="223"/>
      <c r="G1" s="223"/>
      <c r="H1" s="223"/>
      <c r="I1" s="223"/>
      <c r="J1" s="223"/>
      <c r="K1" s="223"/>
      <c r="L1" s="223"/>
      <c r="M1" s="223"/>
      <c r="N1" s="234"/>
      <c r="O1" s="230" t="s">
        <v>4</v>
      </c>
      <c r="P1" s="237"/>
      <c r="Q1" s="237"/>
      <c r="R1" s="237"/>
      <c r="S1" s="237"/>
      <c r="T1" s="237"/>
      <c r="U1" s="237"/>
      <c r="V1" s="237"/>
      <c r="W1" s="237"/>
      <c r="X1" s="238"/>
      <c r="Y1" s="219" t="s">
        <v>5</v>
      </c>
      <c r="Z1" s="220"/>
    </row>
    <row r="2" spans="1:26" ht="14.6" x14ac:dyDescent="0.4">
      <c r="A2" s="224"/>
      <c r="B2" s="225"/>
      <c r="C2" s="225"/>
      <c r="D2" s="225"/>
      <c r="E2" s="236"/>
      <c r="F2" s="225"/>
      <c r="G2" s="225"/>
      <c r="H2" s="225"/>
      <c r="I2" s="225"/>
      <c r="J2" s="225"/>
      <c r="K2" s="225"/>
      <c r="L2" s="225"/>
      <c r="M2" s="225"/>
      <c r="N2" s="235"/>
      <c r="O2" s="2">
        <f>MROUND(SUM(O4:O11),1)</f>
        <v>610</v>
      </c>
      <c r="P2" s="2">
        <f t="shared" ref="P2:X2" si="0">MROUND(SUM(P4:P11),1)</f>
        <v>821</v>
      </c>
      <c r="Q2" s="2">
        <f t="shared" si="0"/>
        <v>644</v>
      </c>
      <c r="R2" s="2">
        <f t="shared" si="0"/>
        <v>1451</v>
      </c>
      <c r="S2" s="2">
        <f t="shared" si="0"/>
        <v>661</v>
      </c>
      <c r="T2" s="2">
        <f t="shared" si="0"/>
        <v>1204</v>
      </c>
      <c r="U2" s="2">
        <f t="shared" si="0"/>
        <v>610</v>
      </c>
      <c r="V2" s="2">
        <f t="shared" si="0"/>
        <v>1451</v>
      </c>
      <c r="W2" s="2">
        <f t="shared" si="0"/>
        <v>644</v>
      </c>
      <c r="X2" s="2">
        <f t="shared" si="0"/>
        <v>872</v>
      </c>
      <c r="Y2" s="221">
        <f>SUM(O2:X2)</f>
        <v>8968</v>
      </c>
      <c r="Z2" s="220"/>
    </row>
    <row r="3" spans="1:26" ht="14.6" x14ac:dyDescent="0.4">
      <c r="A3" s="3" t="s">
        <v>6</v>
      </c>
      <c r="B3" s="3" t="s">
        <v>7</v>
      </c>
      <c r="C3" s="3" t="s">
        <v>8</v>
      </c>
      <c r="D3" s="4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18</v>
      </c>
      <c r="N3" s="5" t="s">
        <v>19</v>
      </c>
      <c r="O3" s="5">
        <v>10000</v>
      </c>
      <c r="P3" s="5">
        <v>20000</v>
      </c>
      <c r="Q3" s="5">
        <v>30000</v>
      </c>
      <c r="R3" s="5">
        <v>40000</v>
      </c>
      <c r="S3" s="5">
        <v>50000</v>
      </c>
      <c r="T3" s="5">
        <v>60000</v>
      </c>
      <c r="U3" s="5">
        <v>70000</v>
      </c>
      <c r="V3" s="5">
        <v>80000</v>
      </c>
      <c r="W3" s="5">
        <v>90000</v>
      </c>
      <c r="X3" s="5">
        <v>100000</v>
      </c>
      <c r="Y3" s="6" t="s">
        <v>20</v>
      </c>
      <c r="Z3" s="3" t="s">
        <v>21</v>
      </c>
    </row>
    <row r="4" spans="1:26" ht="14.6" x14ac:dyDescent="0.4">
      <c r="A4" s="7">
        <v>1</v>
      </c>
      <c r="B4" s="8" t="s">
        <v>22</v>
      </c>
      <c r="C4" s="185" t="s">
        <v>23</v>
      </c>
      <c r="D4" s="9">
        <f>VLOOKUP(C4,'[1]PREÇO ATUAL'!$A:$D,4,0)</f>
        <v>79.900000000000006</v>
      </c>
      <c r="E4" s="10">
        <v>1</v>
      </c>
      <c r="F4" s="10">
        <v>1</v>
      </c>
      <c r="G4" s="10">
        <v>1</v>
      </c>
      <c r="H4" s="10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1">
        <v>1</v>
      </c>
      <c r="O4" s="13">
        <f t="shared" ref="O4:X4" si="1">$D4*E4</f>
        <v>79.900000000000006</v>
      </c>
      <c r="P4" s="13">
        <f t="shared" si="1"/>
        <v>79.900000000000006</v>
      </c>
      <c r="Q4" s="13">
        <f t="shared" si="1"/>
        <v>79.900000000000006</v>
      </c>
      <c r="R4" s="13">
        <f t="shared" si="1"/>
        <v>79.900000000000006</v>
      </c>
      <c r="S4" s="13">
        <f t="shared" si="1"/>
        <v>79.900000000000006</v>
      </c>
      <c r="T4" s="13">
        <f t="shared" si="1"/>
        <v>79.900000000000006</v>
      </c>
      <c r="U4" s="13">
        <f t="shared" si="1"/>
        <v>79.900000000000006</v>
      </c>
      <c r="V4" s="13">
        <f t="shared" si="1"/>
        <v>79.900000000000006</v>
      </c>
      <c r="W4" s="13">
        <f t="shared" si="1"/>
        <v>79.900000000000006</v>
      </c>
      <c r="X4" s="13">
        <f t="shared" si="1"/>
        <v>79.900000000000006</v>
      </c>
      <c r="Y4" s="14">
        <f t="shared" ref="Y4:Y11" si="2">Z4/$Y$2</f>
        <v>8.9094558429973228E-2</v>
      </c>
      <c r="Z4" s="13">
        <f t="shared" ref="Z4:Z11" si="3">SUM(O4:X4)</f>
        <v>798.99999999999989</v>
      </c>
    </row>
    <row r="5" spans="1:26" ht="14.6" x14ac:dyDescent="0.4">
      <c r="A5" s="15">
        <v>2</v>
      </c>
      <c r="B5" s="16" t="s">
        <v>24</v>
      </c>
      <c r="C5" s="186" t="s">
        <v>25</v>
      </c>
      <c r="D5" s="17">
        <f>VLOOKUP(C5,'[1]PREÇO ATUAL'!$A:$D,4,0)</f>
        <v>35.9</v>
      </c>
      <c r="E5" s="18"/>
      <c r="F5" s="18">
        <v>1</v>
      </c>
      <c r="G5" s="18"/>
      <c r="H5" s="18">
        <v>1</v>
      </c>
      <c r="I5" s="19"/>
      <c r="J5" s="19">
        <v>1</v>
      </c>
      <c r="K5" s="19"/>
      <c r="L5" s="19">
        <v>1</v>
      </c>
      <c r="M5" s="19"/>
      <c r="N5" s="19">
        <v>1</v>
      </c>
      <c r="O5" s="21">
        <f t="shared" ref="O5:X5" si="4">$D5*E5</f>
        <v>0</v>
      </c>
      <c r="P5" s="21">
        <f t="shared" si="4"/>
        <v>35.9</v>
      </c>
      <c r="Q5" s="21">
        <f t="shared" si="4"/>
        <v>0</v>
      </c>
      <c r="R5" s="21">
        <f t="shared" si="4"/>
        <v>35.9</v>
      </c>
      <c r="S5" s="21">
        <f t="shared" si="4"/>
        <v>0</v>
      </c>
      <c r="T5" s="21">
        <f t="shared" si="4"/>
        <v>35.9</v>
      </c>
      <c r="U5" s="21">
        <f t="shared" si="4"/>
        <v>0</v>
      </c>
      <c r="V5" s="21">
        <f t="shared" si="4"/>
        <v>35.9</v>
      </c>
      <c r="W5" s="21">
        <f t="shared" si="4"/>
        <v>0</v>
      </c>
      <c r="X5" s="21">
        <f t="shared" si="4"/>
        <v>35.9</v>
      </c>
      <c r="Y5" s="22">
        <f t="shared" si="2"/>
        <v>2.0015611061552186E-2</v>
      </c>
      <c r="Z5" s="21">
        <f t="shared" si="3"/>
        <v>179.5</v>
      </c>
    </row>
    <row r="6" spans="1:26" ht="15.75" customHeight="1" x14ac:dyDescent="0.4">
      <c r="A6" s="7">
        <v>3</v>
      </c>
      <c r="B6" s="8" t="s">
        <v>26</v>
      </c>
      <c r="C6" s="185" t="s">
        <v>27</v>
      </c>
      <c r="D6" s="9">
        <f>VLOOKUP(C6,'[1]PREÇO ATUAL'!$A:$D,4,0)</f>
        <v>89.9</v>
      </c>
      <c r="E6" s="10"/>
      <c r="F6" s="10">
        <v>1</v>
      </c>
      <c r="G6" s="10"/>
      <c r="H6" s="10">
        <v>1</v>
      </c>
      <c r="I6" s="11"/>
      <c r="J6" s="11">
        <v>1</v>
      </c>
      <c r="K6" s="11"/>
      <c r="L6" s="11">
        <v>1</v>
      </c>
      <c r="M6" s="11"/>
      <c r="N6" s="11">
        <v>1</v>
      </c>
      <c r="O6" s="13">
        <f t="shared" ref="O6:X6" si="5">$D6*E6</f>
        <v>0</v>
      </c>
      <c r="P6" s="13">
        <f t="shared" si="5"/>
        <v>89.9</v>
      </c>
      <c r="Q6" s="13">
        <f t="shared" si="5"/>
        <v>0</v>
      </c>
      <c r="R6" s="13">
        <f t="shared" si="5"/>
        <v>89.9</v>
      </c>
      <c r="S6" s="13">
        <f t="shared" si="5"/>
        <v>0</v>
      </c>
      <c r="T6" s="13">
        <f t="shared" si="5"/>
        <v>89.9</v>
      </c>
      <c r="U6" s="13">
        <f t="shared" si="5"/>
        <v>0</v>
      </c>
      <c r="V6" s="13">
        <f t="shared" si="5"/>
        <v>89.9</v>
      </c>
      <c r="W6" s="13">
        <f t="shared" si="5"/>
        <v>0</v>
      </c>
      <c r="X6" s="13">
        <f t="shared" si="5"/>
        <v>89.9</v>
      </c>
      <c r="Y6" s="14">
        <f t="shared" si="2"/>
        <v>5.0122658340767172E-2</v>
      </c>
      <c r="Z6" s="13">
        <f t="shared" si="3"/>
        <v>449.5</v>
      </c>
    </row>
    <row r="7" spans="1:26" ht="15.75" customHeight="1" x14ac:dyDescent="0.4">
      <c r="A7" s="15">
        <v>4</v>
      </c>
      <c r="B7" s="16" t="s">
        <v>80</v>
      </c>
      <c r="C7" s="186" t="s">
        <v>29</v>
      </c>
      <c r="D7" s="17">
        <f>VLOOKUP(C7,'[1]PREÇO ATUAL'!$A:$D,4,0)</f>
        <v>175.9</v>
      </c>
      <c r="E7" s="18"/>
      <c r="F7" s="18"/>
      <c r="G7" s="18"/>
      <c r="H7" s="18">
        <v>3</v>
      </c>
      <c r="I7" s="19"/>
      <c r="J7" s="19"/>
      <c r="K7" s="19"/>
      <c r="L7" s="19">
        <v>3</v>
      </c>
      <c r="M7" s="19"/>
      <c r="N7" s="19"/>
      <c r="O7" s="21">
        <f t="shared" ref="O7:X7" si="6">$D7*E7</f>
        <v>0</v>
      </c>
      <c r="P7" s="21">
        <f t="shared" si="6"/>
        <v>0</v>
      </c>
      <c r="Q7" s="21">
        <f t="shared" si="6"/>
        <v>0</v>
      </c>
      <c r="R7" s="21">
        <f t="shared" si="6"/>
        <v>527.70000000000005</v>
      </c>
      <c r="S7" s="21">
        <f t="shared" si="6"/>
        <v>0</v>
      </c>
      <c r="T7" s="21">
        <f t="shared" si="6"/>
        <v>0</v>
      </c>
      <c r="U7" s="21">
        <f t="shared" si="6"/>
        <v>0</v>
      </c>
      <c r="V7" s="21">
        <f t="shared" si="6"/>
        <v>527.70000000000005</v>
      </c>
      <c r="W7" s="21">
        <f t="shared" si="6"/>
        <v>0</v>
      </c>
      <c r="X7" s="21">
        <f t="shared" si="6"/>
        <v>0</v>
      </c>
      <c r="Y7" s="22">
        <f t="shared" si="2"/>
        <v>0.11768510258697593</v>
      </c>
      <c r="Z7" s="21">
        <f t="shared" si="3"/>
        <v>1055.4000000000001</v>
      </c>
    </row>
    <row r="8" spans="1:26" ht="15.75" customHeight="1" x14ac:dyDescent="0.4">
      <c r="A8" s="7">
        <v>5</v>
      </c>
      <c r="B8" s="8" t="s">
        <v>30</v>
      </c>
      <c r="C8" s="185" t="s">
        <v>31</v>
      </c>
      <c r="D8" s="9">
        <f>VLOOKUP(C8,'[1]PREÇO ATUAL'!$A:$D,4,0)</f>
        <v>143.22999999999999</v>
      </c>
      <c r="E8" s="10"/>
      <c r="F8" s="10"/>
      <c r="G8" s="10"/>
      <c r="H8" s="10"/>
      <c r="I8" s="11"/>
      <c r="J8" s="11">
        <v>1</v>
      </c>
      <c r="K8" s="11"/>
      <c r="L8" s="11"/>
      <c r="M8" s="11"/>
      <c r="N8" s="11"/>
      <c r="O8" s="13">
        <f t="shared" ref="O8:X8" si="7">$D8*E8</f>
        <v>0</v>
      </c>
      <c r="P8" s="13">
        <f t="shared" si="7"/>
        <v>0</v>
      </c>
      <c r="Q8" s="13">
        <f t="shared" si="7"/>
        <v>0</v>
      </c>
      <c r="R8" s="13">
        <f t="shared" si="7"/>
        <v>0</v>
      </c>
      <c r="S8" s="13">
        <f t="shared" si="7"/>
        <v>0</v>
      </c>
      <c r="T8" s="13">
        <f t="shared" si="7"/>
        <v>143.22999999999999</v>
      </c>
      <c r="U8" s="13">
        <f t="shared" si="7"/>
        <v>0</v>
      </c>
      <c r="V8" s="13">
        <f t="shared" si="7"/>
        <v>0</v>
      </c>
      <c r="W8" s="13">
        <f t="shared" si="7"/>
        <v>0</v>
      </c>
      <c r="X8" s="13">
        <f t="shared" si="7"/>
        <v>0</v>
      </c>
      <c r="Y8" s="14">
        <f t="shared" si="2"/>
        <v>1.5971231043710971E-2</v>
      </c>
      <c r="Z8" s="13">
        <f t="shared" si="3"/>
        <v>143.22999999999999</v>
      </c>
    </row>
    <row r="9" spans="1:26" ht="15.75" customHeight="1" x14ac:dyDescent="0.4">
      <c r="A9" s="15">
        <v>6</v>
      </c>
      <c r="B9" s="16" t="s">
        <v>34</v>
      </c>
      <c r="C9" s="186" t="s">
        <v>35</v>
      </c>
      <c r="D9" s="17">
        <f>VLOOKUP(C9,'[1]PREÇO ATUAL'!$A:$D,4,0)</f>
        <v>33.622493083850472</v>
      </c>
      <c r="E9" s="18"/>
      <c r="F9" s="18"/>
      <c r="G9" s="18"/>
      <c r="H9" s="18"/>
      <c r="I9" s="19"/>
      <c r="J9" s="19"/>
      <c r="K9" s="19"/>
      <c r="L9" s="19"/>
      <c r="M9" s="19"/>
      <c r="N9" s="19"/>
      <c r="O9" s="21">
        <f t="shared" ref="O9:X9" si="8">$D9*E9</f>
        <v>0</v>
      </c>
      <c r="P9" s="21">
        <f t="shared" si="8"/>
        <v>0</v>
      </c>
      <c r="Q9" s="21">
        <f t="shared" si="8"/>
        <v>0</v>
      </c>
      <c r="R9" s="21">
        <f t="shared" si="8"/>
        <v>0</v>
      </c>
      <c r="S9" s="21">
        <f t="shared" si="8"/>
        <v>0</v>
      </c>
      <c r="T9" s="21">
        <f t="shared" si="8"/>
        <v>0</v>
      </c>
      <c r="U9" s="21">
        <f t="shared" si="8"/>
        <v>0</v>
      </c>
      <c r="V9" s="21">
        <f t="shared" si="8"/>
        <v>0</v>
      </c>
      <c r="W9" s="21">
        <f t="shared" si="8"/>
        <v>0</v>
      </c>
      <c r="X9" s="21">
        <f t="shared" si="8"/>
        <v>0</v>
      </c>
      <c r="Y9" s="22">
        <f t="shared" si="2"/>
        <v>0</v>
      </c>
      <c r="Z9" s="21">
        <f t="shared" si="3"/>
        <v>0</v>
      </c>
    </row>
    <row r="10" spans="1:26" ht="15.75" customHeight="1" x14ac:dyDescent="0.4">
      <c r="A10" s="7">
        <v>7</v>
      </c>
      <c r="B10" s="8" t="s">
        <v>36</v>
      </c>
      <c r="C10" s="185" t="s">
        <v>37</v>
      </c>
      <c r="D10" s="9">
        <f>VLOOKUP(C10,'[1]PREÇO ATUAL'!$A:$D,4,0)</f>
        <v>94.126931447834295</v>
      </c>
      <c r="E10" s="23">
        <v>2.54</v>
      </c>
      <c r="F10" s="23">
        <v>2.54</v>
      </c>
      <c r="G10" s="23">
        <v>2.54</v>
      </c>
      <c r="H10" s="23">
        <v>2.54</v>
      </c>
      <c r="I10" s="9">
        <v>2.54</v>
      </c>
      <c r="J10" s="9">
        <v>2.54</v>
      </c>
      <c r="K10" s="9">
        <v>2.54</v>
      </c>
      <c r="L10" s="9">
        <v>2.54</v>
      </c>
      <c r="M10" s="9">
        <v>2.54</v>
      </c>
      <c r="N10" s="9">
        <v>2.54</v>
      </c>
      <c r="O10" s="13">
        <f t="shared" ref="O10:X10" si="9">$D10*E10</f>
        <v>239.0824058774991</v>
      </c>
      <c r="P10" s="13">
        <f t="shared" si="9"/>
        <v>239.0824058774991</v>
      </c>
      <c r="Q10" s="13">
        <f t="shared" si="9"/>
        <v>239.0824058774991</v>
      </c>
      <c r="R10" s="13">
        <f t="shared" si="9"/>
        <v>239.0824058774991</v>
      </c>
      <c r="S10" s="13">
        <f t="shared" si="9"/>
        <v>239.0824058774991</v>
      </c>
      <c r="T10" s="13">
        <f t="shared" si="9"/>
        <v>239.0824058774991</v>
      </c>
      <c r="U10" s="13">
        <f t="shared" si="9"/>
        <v>239.0824058774991</v>
      </c>
      <c r="V10" s="13">
        <f t="shared" si="9"/>
        <v>239.0824058774991</v>
      </c>
      <c r="W10" s="13">
        <f t="shared" si="9"/>
        <v>239.0824058774991</v>
      </c>
      <c r="X10" s="13">
        <f t="shared" si="9"/>
        <v>239.0824058774991</v>
      </c>
      <c r="Y10" s="14">
        <f t="shared" si="2"/>
        <v>0.26659501101416044</v>
      </c>
      <c r="Z10" s="13">
        <f t="shared" si="3"/>
        <v>2390.824058774991</v>
      </c>
    </row>
    <row r="11" spans="1:26" ht="15.75" customHeight="1" x14ac:dyDescent="0.4">
      <c r="A11" s="15">
        <v>8</v>
      </c>
      <c r="B11" s="16" t="s">
        <v>38</v>
      </c>
      <c r="C11" s="186" t="s">
        <v>39</v>
      </c>
      <c r="D11" s="17">
        <f>VLOOKUP(C11,'[1]PREÇO ATUAL'!$A:$D,4,0)</f>
        <v>342</v>
      </c>
      <c r="E11" s="24">
        <v>0.85</v>
      </c>
      <c r="F11" s="24">
        <v>1.1000000000000001</v>
      </c>
      <c r="G11" s="24">
        <v>0.95</v>
      </c>
      <c r="H11" s="24">
        <v>1.4</v>
      </c>
      <c r="I11" s="17">
        <v>1</v>
      </c>
      <c r="J11" s="17">
        <v>1.8</v>
      </c>
      <c r="K11" s="17">
        <v>0.85</v>
      </c>
      <c r="L11" s="17">
        <v>1.4</v>
      </c>
      <c r="M11" s="17">
        <v>0.95</v>
      </c>
      <c r="N11" s="17">
        <v>1.25</v>
      </c>
      <c r="O11" s="21">
        <f>D11*E11</f>
        <v>290.7</v>
      </c>
      <c r="P11" s="21">
        <f t="shared" ref="P11:X11" si="10">$D11*F11</f>
        <v>376.20000000000005</v>
      </c>
      <c r="Q11" s="21">
        <f t="shared" si="10"/>
        <v>324.89999999999998</v>
      </c>
      <c r="R11" s="21">
        <f t="shared" si="10"/>
        <v>478.79999999999995</v>
      </c>
      <c r="S11" s="21">
        <f t="shared" si="10"/>
        <v>342</v>
      </c>
      <c r="T11" s="21">
        <f t="shared" si="10"/>
        <v>615.6</v>
      </c>
      <c r="U11" s="21">
        <f t="shared" si="10"/>
        <v>290.7</v>
      </c>
      <c r="V11" s="21">
        <f t="shared" si="10"/>
        <v>478.79999999999995</v>
      </c>
      <c r="W11" s="21">
        <f t="shared" si="10"/>
        <v>324.89999999999998</v>
      </c>
      <c r="X11" s="21">
        <f t="shared" si="10"/>
        <v>427.5</v>
      </c>
      <c r="Y11" s="22">
        <f t="shared" si="2"/>
        <v>0.44046610169491524</v>
      </c>
      <c r="Z11" s="21">
        <f t="shared" si="3"/>
        <v>3950.1</v>
      </c>
    </row>
    <row r="12" spans="1:26" ht="15.75" customHeight="1" x14ac:dyDescent="0.4">
      <c r="H12" s="39"/>
    </row>
    <row r="13" spans="1:26" ht="15.75" customHeight="1" x14ac:dyDescent="0.4"/>
    <row r="14" spans="1:26" ht="15.75" customHeight="1" x14ac:dyDescent="0.4"/>
    <row r="15" spans="1:26" ht="15.75" customHeight="1" x14ac:dyDescent="0.4"/>
    <row r="16" spans="1:26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</sheetData>
  <mergeCells count="5">
    <mergeCell ref="A1:D2"/>
    <mergeCell ref="E1:N2"/>
    <mergeCell ref="O1:X1"/>
    <mergeCell ref="Y1:Z1"/>
    <mergeCell ref="Y2:Z2"/>
  </mergeCells>
  <pageMargins left="0.511811024" right="0.511811024" top="0.78740157499999996" bottom="0.78740157499999996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7">
    <tabColor rgb="FF00FF00"/>
  </sheetPr>
  <dimension ref="A1:Z959"/>
  <sheetViews>
    <sheetView showGridLines="0" workbookViewId="0">
      <pane xSplit="4" topLeftCell="E1" activePane="topRight" state="frozen"/>
      <selection activeCell="B23" sqref="B23"/>
      <selection pane="topRight" activeCell="C4" sqref="C4:C11"/>
    </sheetView>
  </sheetViews>
  <sheetFormatPr defaultColWidth="14.3828125" defaultRowHeight="15" customHeight="1" x14ac:dyDescent="0.4"/>
  <cols>
    <col min="1" max="1" width="3.3046875" customWidth="1"/>
    <col min="2" max="2" width="48.15234375" customWidth="1"/>
    <col min="3" max="3" width="16.84375" customWidth="1"/>
    <col min="4" max="4" width="7.84375" customWidth="1"/>
    <col min="5" max="5" width="5.84375" customWidth="1"/>
    <col min="6" max="14" width="5.3828125" customWidth="1"/>
    <col min="15" max="15" width="14.53515625" customWidth="1"/>
    <col min="16" max="17" width="13.3828125" customWidth="1"/>
    <col min="18" max="18" width="15.3828125" customWidth="1"/>
    <col min="19" max="19" width="13.3828125" customWidth="1"/>
    <col min="20" max="20" width="16.84375" customWidth="1"/>
    <col min="21" max="21" width="14.53515625" customWidth="1"/>
    <col min="22" max="22" width="16.84375" customWidth="1"/>
    <col min="23" max="24" width="14.53515625" customWidth="1"/>
    <col min="25" max="25" width="7.53515625" customWidth="1"/>
    <col min="26" max="26" width="15.53515625" customWidth="1"/>
  </cols>
  <sheetData>
    <row r="1" spans="1:26" ht="15.75" customHeight="1" x14ac:dyDescent="0.4">
      <c r="A1" s="222" t="s">
        <v>81</v>
      </c>
      <c r="B1" s="223"/>
      <c r="C1" s="223"/>
      <c r="D1" s="223"/>
      <c r="E1" s="226" t="s">
        <v>3</v>
      </c>
      <c r="F1" s="223"/>
      <c r="G1" s="223"/>
      <c r="H1" s="223"/>
      <c r="I1" s="223"/>
      <c r="J1" s="223"/>
      <c r="K1" s="223"/>
      <c r="L1" s="223"/>
      <c r="M1" s="223"/>
      <c r="N1" s="234"/>
      <c r="O1" s="230" t="s">
        <v>4</v>
      </c>
      <c r="P1" s="237"/>
      <c r="Q1" s="237"/>
      <c r="R1" s="237"/>
      <c r="S1" s="237"/>
      <c r="T1" s="237"/>
      <c r="U1" s="237"/>
      <c r="V1" s="237"/>
      <c r="W1" s="237"/>
      <c r="X1" s="237"/>
      <c r="Y1" s="219" t="s">
        <v>5</v>
      </c>
      <c r="Z1" s="220"/>
    </row>
    <row r="2" spans="1:26" ht="15.75" customHeight="1" x14ac:dyDescent="0.4">
      <c r="A2" s="224"/>
      <c r="B2" s="225"/>
      <c r="C2" s="225"/>
      <c r="D2" s="225"/>
      <c r="E2" s="236"/>
      <c r="F2" s="225"/>
      <c r="G2" s="225"/>
      <c r="H2" s="225"/>
      <c r="I2" s="225"/>
      <c r="J2" s="225"/>
      <c r="K2" s="225"/>
      <c r="L2" s="225"/>
      <c r="M2" s="225"/>
      <c r="N2" s="235"/>
      <c r="O2" s="2">
        <f>MROUND(SUM(O4:O11),1)</f>
        <v>687</v>
      </c>
      <c r="P2" s="2">
        <f t="shared" ref="P2:X2" si="0">MROUND(SUM(P4:P11),1)</f>
        <v>898</v>
      </c>
      <c r="Q2" s="2">
        <f t="shared" si="0"/>
        <v>721</v>
      </c>
      <c r="R2" s="2">
        <f t="shared" si="0"/>
        <v>1704</v>
      </c>
      <c r="S2" s="2">
        <f t="shared" si="0"/>
        <v>738</v>
      </c>
      <c r="T2" s="2">
        <f t="shared" si="0"/>
        <v>1281</v>
      </c>
      <c r="U2" s="2">
        <f t="shared" si="0"/>
        <v>687</v>
      </c>
      <c r="V2" s="2">
        <f t="shared" si="0"/>
        <v>1704</v>
      </c>
      <c r="W2" s="2">
        <f t="shared" si="0"/>
        <v>721</v>
      </c>
      <c r="X2" s="2">
        <f t="shared" si="0"/>
        <v>949</v>
      </c>
      <c r="Y2" s="221">
        <f>SUM(O2:X2)</f>
        <v>10090</v>
      </c>
      <c r="Z2" s="220"/>
    </row>
    <row r="3" spans="1:26" ht="15.75" customHeight="1" x14ac:dyDescent="0.4">
      <c r="A3" s="3" t="s">
        <v>6</v>
      </c>
      <c r="B3" s="3" t="s">
        <v>7</v>
      </c>
      <c r="C3" s="3" t="s">
        <v>8</v>
      </c>
      <c r="D3" s="4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18</v>
      </c>
      <c r="N3" s="5" t="s">
        <v>19</v>
      </c>
      <c r="O3" s="5">
        <v>10000</v>
      </c>
      <c r="P3" s="5">
        <v>20000</v>
      </c>
      <c r="Q3" s="5">
        <v>30000</v>
      </c>
      <c r="R3" s="5">
        <v>40000</v>
      </c>
      <c r="S3" s="5">
        <v>50000</v>
      </c>
      <c r="T3" s="5">
        <v>60000</v>
      </c>
      <c r="U3" s="5">
        <v>70000</v>
      </c>
      <c r="V3" s="5">
        <v>80000</v>
      </c>
      <c r="W3" s="5">
        <v>90000</v>
      </c>
      <c r="X3" s="5">
        <v>100000</v>
      </c>
      <c r="Y3" s="6" t="s">
        <v>20</v>
      </c>
      <c r="Z3" s="3" t="s">
        <v>21</v>
      </c>
    </row>
    <row r="4" spans="1:26" ht="15.75" customHeight="1" x14ac:dyDescent="0.4">
      <c r="A4" s="7">
        <v>1</v>
      </c>
      <c r="B4" s="8" t="s">
        <v>22</v>
      </c>
      <c r="C4" s="185" t="s">
        <v>23</v>
      </c>
      <c r="D4" s="9">
        <f>VLOOKUP(C4,'[1]PREÇO ATUAL'!$A:$D,4,0)</f>
        <v>79.900000000000006</v>
      </c>
      <c r="E4" s="10">
        <v>1</v>
      </c>
      <c r="F4" s="10">
        <v>1</v>
      </c>
      <c r="G4" s="10">
        <v>1</v>
      </c>
      <c r="H4" s="10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1">
        <v>1</v>
      </c>
      <c r="O4" s="13">
        <f t="shared" ref="O4:X4" si="1">$D4*E4</f>
        <v>79.900000000000006</v>
      </c>
      <c r="P4" s="13">
        <f t="shared" si="1"/>
        <v>79.900000000000006</v>
      </c>
      <c r="Q4" s="13">
        <f t="shared" si="1"/>
        <v>79.900000000000006</v>
      </c>
      <c r="R4" s="13">
        <f t="shared" si="1"/>
        <v>79.900000000000006</v>
      </c>
      <c r="S4" s="13">
        <f t="shared" si="1"/>
        <v>79.900000000000006</v>
      </c>
      <c r="T4" s="13">
        <f t="shared" si="1"/>
        <v>79.900000000000006</v>
      </c>
      <c r="U4" s="13">
        <f t="shared" si="1"/>
        <v>79.900000000000006</v>
      </c>
      <c r="V4" s="13">
        <f t="shared" si="1"/>
        <v>79.900000000000006</v>
      </c>
      <c r="W4" s="13">
        <f t="shared" si="1"/>
        <v>79.900000000000006</v>
      </c>
      <c r="X4" s="13">
        <f t="shared" si="1"/>
        <v>79.900000000000006</v>
      </c>
      <c r="Y4" s="14">
        <f t="shared" ref="Y4:Y11" si="2">Z4/$Y$2</f>
        <v>7.9187314172447953E-2</v>
      </c>
      <c r="Z4" s="13">
        <f t="shared" ref="Z4:Z11" si="3">SUM(O4:X4)</f>
        <v>798.99999999999989</v>
      </c>
    </row>
    <row r="5" spans="1:26" ht="15.75" customHeight="1" x14ac:dyDescent="0.4">
      <c r="A5" s="15">
        <v>2</v>
      </c>
      <c r="B5" s="16" t="s">
        <v>24</v>
      </c>
      <c r="C5" s="186" t="s">
        <v>25</v>
      </c>
      <c r="D5" s="17">
        <f>VLOOKUP(C5,'[1]PREÇO ATUAL'!$A:$D,4,0)</f>
        <v>35.9</v>
      </c>
      <c r="E5" s="18"/>
      <c r="F5" s="18">
        <v>1</v>
      </c>
      <c r="G5" s="18"/>
      <c r="H5" s="18">
        <v>1</v>
      </c>
      <c r="I5" s="19"/>
      <c r="J5" s="19">
        <v>1</v>
      </c>
      <c r="K5" s="19"/>
      <c r="L5" s="19">
        <v>1</v>
      </c>
      <c r="M5" s="19"/>
      <c r="N5" s="19">
        <v>1</v>
      </c>
      <c r="O5" s="21">
        <f t="shared" ref="O5:X5" si="4">$D5*E5</f>
        <v>0</v>
      </c>
      <c r="P5" s="21">
        <f t="shared" si="4"/>
        <v>35.9</v>
      </c>
      <c r="Q5" s="21">
        <f t="shared" si="4"/>
        <v>0</v>
      </c>
      <c r="R5" s="21">
        <f t="shared" si="4"/>
        <v>35.9</v>
      </c>
      <c r="S5" s="21">
        <f t="shared" si="4"/>
        <v>0</v>
      </c>
      <c r="T5" s="21">
        <f t="shared" si="4"/>
        <v>35.9</v>
      </c>
      <c r="U5" s="21">
        <f t="shared" si="4"/>
        <v>0</v>
      </c>
      <c r="V5" s="21">
        <f t="shared" si="4"/>
        <v>35.9</v>
      </c>
      <c r="W5" s="21">
        <f t="shared" si="4"/>
        <v>0</v>
      </c>
      <c r="X5" s="21">
        <f t="shared" si="4"/>
        <v>35.9</v>
      </c>
      <c r="Y5" s="22">
        <f t="shared" si="2"/>
        <v>1.7789890981169475E-2</v>
      </c>
      <c r="Z5" s="21">
        <f t="shared" si="3"/>
        <v>179.5</v>
      </c>
    </row>
    <row r="6" spans="1:26" ht="15.75" customHeight="1" x14ac:dyDescent="0.4">
      <c r="A6" s="7">
        <v>3</v>
      </c>
      <c r="B6" s="8" t="s">
        <v>26</v>
      </c>
      <c r="C6" s="185" t="s">
        <v>27</v>
      </c>
      <c r="D6" s="9">
        <f>VLOOKUP(C6,'[1]PREÇO ATUAL'!$A:$D,4,0)</f>
        <v>89.9</v>
      </c>
      <c r="E6" s="10"/>
      <c r="F6" s="10">
        <v>1</v>
      </c>
      <c r="G6" s="10"/>
      <c r="H6" s="10">
        <v>1</v>
      </c>
      <c r="I6" s="11"/>
      <c r="J6" s="11">
        <v>1</v>
      </c>
      <c r="K6" s="11"/>
      <c r="L6" s="11">
        <v>1</v>
      </c>
      <c r="M6" s="11"/>
      <c r="N6" s="11">
        <v>1</v>
      </c>
      <c r="O6" s="13">
        <f t="shared" ref="O6:X6" si="5">$D6*E6</f>
        <v>0</v>
      </c>
      <c r="P6" s="13">
        <f t="shared" si="5"/>
        <v>89.9</v>
      </c>
      <c r="Q6" s="13">
        <f t="shared" si="5"/>
        <v>0</v>
      </c>
      <c r="R6" s="13">
        <f t="shared" si="5"/>
        <v>89.9</v>
      </c>
      <c r="S6" s="13">
        <f t="shared" si="5"/>
        <v>0</v>
      </c>
      <c r="T6" s="13">
        <f t="shared" si="5"/>
        <v>89.9</v>
      </c>
      <c r="U6" s="13">
        <f t="shared" si="5"/>
        <v>0</v>
      </c>
      <c r="V6" s="13">
        <f t="shared" si="5"/>
        <v>89.9</v>
      </c>
      <c r="W6" s="13">
        <f t="shared" si="5"/>
        <v>0</v>
      </c>
      <c r="X6" s="13">
        <f t="shared" si="5"/>
        <v>89.9</v>
      </c>
      <c r="Y6" s="14">
        <f t="shared" si="2"/>
        <v>4.4549058473736372E-2</v>
      </c>
      <c r="Z6" s="13">
        <f t="shared" si="3"/>
        <v>449.5</v>
      </c>
    </row>
    <row r="7" spans="1:26" ht="15.75" customHeight="1" x14ac:dyDescent="0.4">
      <c r="A7" s="15">
        <v>4</v>
      </c>
      <c r="B7" s="16" t="s">
        <v>80</v>
      </c>
      <c r="C7" s="186" t="s">
        <v>29</v>
      </c>
      <c r="D7" s="17">
        <f>VLOOKUP(C7,'[1]PREÇO ATUAL'!$A:$D,4,0)</f>
        <v>175.9</v>
      </c>
      <c r="E7" s="18"/>
      <c r="F7" s="18"/>
      <c r="G7" s="18"/>
      <c r="H7" s="18">
        <v>4</v>
      </c>
      <c r="I7" s="19"/>
      <c r="J7" s="19"/>
      <c r="K7" s="19"/>
      <c r="L7" s="19">
        <v>4</v>
      </c>
      <c r="M7" s="19"/>
      <c r="N7" s="19"/>
      <c r="O7" s="21">
        <f t="shared" ref="O7:X7" si="6">$D7*E7</f>
        <v>0</v>
      </c>
      <c r="P7" s="21">
        <f t="shared" si="6"/>
        <v>0</v>
      </c>
      <c r="Q7" s="21">
        <f t="shared" si="6"/>
        <v>0</v>
      </c>
      <c r="R7" s="21">
        <f t="shared" si="6"/>
        <v>703.6</v>
      </c>
      <c r="S7" s="21">
        <f t="shared" si="6"/>
        <v>0</v>
      </c>
      <c r="T7" s="21">
        <f t="shared" si="6"/>
        <v>0</v>
      </c>
      <c r="U7" s="21">
        <f t="shared" si="6"/>
        <v>0</v>
      </c>
      <c r="V7" s="21">
        <f t="shared" si="6"/>
        <v>703.6</v>
      </c>
      <c r="W7" s="21">
        <f t="shared" si="6"/>
        <v>0</v>
      </c>
      <c r="X7" s="21">
        <f t="shared" si="6"/>
        <v>0</v>
      </c>
      <c r="Y7" s="22">
        <f t="shared" si="2"/>
        <v>0.13946481665014868</v>
      </c>
      <c r="Z7" s="21">
        <f t="shared" si="3"/>
        <v>1407.2</v>
      </c>
    </row>
    <row r="8" spans="1:26" ht="15.75" customHeight="1" x14ac:dyDescent="0.4">
      <c r="A8" s="7">
        <v>5</v>
      </c>
      <c r="B8" s="8" t="s">
        <v>30</v>
      </c>
      <c r="C8" s="185" t="s">
        <v>31</v>
      </c>
      <c r="D8" s="9">
        <f>VLOOKUP(C8,'[1]PREÇO ATUAL'!$A:$D,4,0)</f>
        <v>143.22999999999999</v>
      </c>
      <c r="E8" s="10"/>
      <c r="F8" s="10"/>
      <c r="G8" s="10"/>
      <c r="H8" s="10"/>
      <c r="I8" s="11"/>
      <c r="J8" s="11">
        <v>1</v>
      </c>
      <c r="K8" s="11"/>
      <c r="L8" s="11"/>
      <c r="M8" s="11"/>
      <c r="N8" s="11"/>
      <c r="O8" s="13">
        <f t="shared" ref="O8:X8" si="7">$D8*E8</f>
        <v>0</v>
      </c>
      <c r="P8" s="13">
        <f t="shared" si="7"/>
        <v>0</v>
      </c>
      <c r="Q8" s="13">
        <f t="shared" si="7"/>
        <v>0</v>
      </c>
      <c r="R8" s="13">
        <f t="shared" si="7"/>
        <v>0</v>
      </c>
      <c r="S8" s="13">
        <f t="shared" si="7"/>
        <v>0</v>
      </c>
      <c r="T8" s="13">
        <f t="shared" si="7"/>
        <v>143.22999999999999</v>
      </c>
      <c r="U8" s="13">
        <f t="shared" si="7"/>
        <v>0</v>
      </c>
      <c r="V8" s="13">
        <f t="shared" si="7"/>
        <v>0</v>
      </c>
      <c r="W8" s="13">
        <f t="shared" si="7"/>
        <v>0</v>
      </c>
      <c r="X8" s="13">
        <f t="shared" si="7"/>
        <v>0</v>
      </c>
      <c r="Y8" s="14">
        <f t="shared" si="2"/>
        <v>1.4195242814667988E-2</v>
      </c>
      <c r="Z8" s="13">
        <f t="shared" si="3"/>
        <v>143.22999999999999</v>
      </c>
    </row>
    <row r="9" spans="1:26" ht="15.75" customHeight="1" x14ac:dyDescent="0.4">
      <c r="A9" s="15">
        <v>6</v>
      </c>
      <c r="B9" s="16" t="s">
        <v>34</v>
      </c>
      <c r="C9" s="186" t="s">
        <v>35</v>
      </c>
      <c r="D9" s="17">
        <f>VLOOKUP(C9,'[1]PREÇO ATUAL'!$A:$D,4,0)</f>
        <v>33.622493083850472</v>
      </c>
      <c r="E9" s="18"/>
      <c r="F9" s="18"/>
      <c r="G9" s="18"/>
      <c r="H9" s="18"/>
      <c r="I9" s="19"/>
      <c r="J9" s="19"/>
      <c r="K9" s="19"/>
      <c r="L9" s="19"/>
      <c r="M9" s="19"/>
      <c r="N9" s="19"/>
      <c r="O9" s="21">
        <f t="shared" ref="O9:X9" si="8">$D9*E9</f>
        <v>0</v>
      </c>
      <c r="P9" s="21">
        <f t="shared" si="8"/>
        <v>0</v>
      </c>
      <c r="Q9" s="21">
        <f t="shared" si="8"/>
        <v>0</v>
      </c>
      <c r="R9" s="21">
        <f t="shared" si="8"/>
        <v>0</v>
      </c>
      <c r="S9" s="21">
        <f t="shared" si="8"/>
        <v>0</v>
      </c>
      <c r="T9" s="21">
        <f t="shared" si="8"/>
        <v>0</v>
      </c>
      <c r="U9" s="21">
        <f t="shared" si="8"/>
        <v>0</v>
      </c>
      <c r="V9" s="21">
        <f t="shared" si="8"/>
        <v>0</v>
      </c>
      <c r="W9" s="21">
        <f t="shared" si="8"/>
        <v>0</v>
      </c>
      <c r="X9" s="21">
        <f t="shared" si="8"/>
        <v>0</v>
      </c>
      <c r="Y9" s="22">
        <f t="shared" si="2"/>
        <v>0</v>
      </c>
      <c r="Z9" s="21">
        <f t="shared" si="3"/>
        <v>0</v>
      </c>
    </row>
    <row r="10" spans="1:26" ht="15.75" customHeight="1" x14ac:dyDescent="0.4">
      <c r="A10" s="7">
        <v>7</v>
      </c>
      <c r="B10" s="8" t="s">
        <v>36</v>
      </c>
      <c r="C10" s="185" t="s">
        <v>37</v>
      </c>
      <c r="D10" s="9">
        <f>VLOOKUP(C10,'[1]PREÇO ATUAL'!$A:$D,4,0)</f>
        <v>94.126931447834295</v>
      </c>
      <c r="E10" s="23">
        <v>3.36</v>
      </c>
      <c r="F10" s="23">
        <v>3.36</v>
      </c>
      <c r="G10" s="23">
        <v>3.36</v>
      </c>
      <c r="H10" s="23">
        <v>3.36</v>
      </c>
      <c r="I10" s="23">
        <v>3.36</v>
      </c>
      <c r="J10" s="23">
        <v>3.36</v>
      </c>
      <c r="K10" s="23">
        <v>3.36</v>
      </c>
      <c r="L10" s="23">
        <v>3.36</v>
      </c>
      <c r="M10" s="23">
        <v>3.36</v>
      </c>
      <c r="N10" s="23">
        <v>3.36</v>
      </c>
      <c r="O10" s="13">
        <f t="shared" ref="O10:X10" si="9">$D10*E10</f>
        <v>316.26648966472322</v>
      </c>
      <c r="P10" s="13">
        <f t="shared" si="9"/>
        <v>316.26648966472322</v>
      </c>
      <c r="Q10" s="13">
        <f t="shared" si="9"/>
        <v>316.26648966472322</v>
      </c>
      <c r="R10" s="13">
        <f t="shared" si="9"/>
        <v>316.26648966472322</v>
      </c>
      <c r="S10" s="13">
        <f t="shared" si="9"/>
        <v>316.26648966472322</v>
      </c>
      <c r="T10" s="13">
        <f t="shared" si="9"/>
        <v>316.26648966472322</v>
      </c>
      <c r="U10" s="13">
        <f t="shared" si="9"/>
        <v>316.26648966472322</v>
      </c>
      <c r="V10" s="13">
        <f t="shared" si="9"/>
        <v>316.26648966472322</v>
      </c>
      <c r="W10" s="13">
        <f t="shared" si="9"/>
        <v>316.26648966472322</v>
      </c>
      <c r="X10" s="13">
        <f t="shared" si="9"/>
        <v>316.26648966472322</v>
      </c>
      <c r="Y10" s="14">
        <f t="shared" si="2"/>
        <v>0.31344548034164843</v>
      </c>
      <c r="Z10" s="13">
        <f t="shared" si="3"/>
        <v>3162.6648966472326</v>
      </c>
    </row>
    <row r="11" spans="1:26" ht="15.75" customHeight="1" x14ac:dyDescent="0.4">
      <c r="A11" s="15">
        <v>8</v>
      </c>
      <c r="B11" s="16" t="s">
        <v>38</v>
      </c>
      <c r="C11" s="186" t="s">
        <v>39</v>
      </c>
      <c r="D11" s="17">
        <f>VLOOKUP(C11,'[1]PREÇO ATUAL'!$A:$D,4,0)</f>
        <v>342</v>
      </c>
      <c r="E11" s="24">
        <v>0.85</v>
      </c>
      <c r="F11" s="24">
        <v>1.1000000000000001</v>
      </c>
      <c r="G11" s="24">
        <v>0.95</v>
      </c>
      <c r="H11" s="24">
        <v>1.4</v>
      </c>
      <c r="I11" s="17">
        <v>1</v>
      </c>
      <c r="J11" s="17">
        <v>1.8</v>
      </c>
      <c r="K11" s="17">
        <v>0.85</v>
      </c>
      <c r="L11" s="17">
        <v>1.4</v>
      </c>
      <c r="M11" s="17">
        <v>0.95</v>
      </c>
      <c r="N11" s="17">
        <v>1.25</v>
      </c>
      <c r="O11" s="21">
        <f>D11*E11</f>
        <v>290.7</v>
      </c>
      <c r="P11" s="21">
        <f t="shared" ref="P11:X11" si="10">$D11*F11</f>
        <v>376.20000000000005</v>
      </c>
      <c r="Q11" s="21">
        <f t="shared" si="10"/>
        <v>324.89999999999998</v>
      </c>
      <c r="R11" s="21">
        <f t="shared" si="10"/>
        <v>478.79999999999995</v>
      </c>
      <c r="S11" s="21">
        <f t="shared" si="10"/>
        <v>342</v>
      </c>
      <c r="T11" s="21">
        <f t="shared" si="10"/>
        <v>615.6</v>
      </c>
      <c r="U11" s="21">
        <f t="shared" si="10"/>
        <v>290.7</v>
      </c>
      <c r="V11" s="21">
        <f t="shared" si="10"/>
        <v>478.79999999999995</v>
      </c>
      <c r="W11" s="21">
        <f t="shared" si="10"/>
        <v>324.89999999999998</v>
      </c>
      <c r="X11" s="21">
        <f t="shared" si="10"/>
        <v>427.5</v>
      </c>
      <c r="Y11" s="22">
        <f t="shared" si="2"/>
        <v>0.39148662041625371</v>
      </c>
      <c r="Z11" s="21">
        <f t="shared" si="3"/>
        <v>3950.1</v>
      </c>
    </row>
    <row r="12" spans="1:26" ht="15.75" customHeight="1" x14ac:dyDescent="0.4"/>
    <row r="13" spans="1:26" ht="15.75" customHeight="1" x14ac:dyDescent="0.4"/>
    <row r="14" spans="1:26" ht="15.75" customHeight="1" x14ac:dyDescent="0.4"/>
    <row r="15" spans="1:26" ht="15.75" customHeight="1" x14ac:dyDescent="0.4"/>
    <row r="16" spans="1:26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</sheetData>
  <mergeCells count="5">
    <mergeCell ref="A1:D2"/>
    <mergeCell ref="E1:N2"/>
    <mergeCell ref="O1:X1"/>
    <mergeCell ref="Y1:Z1"/>
    <mergeCell ref="Y2:Z2"/>
  </mergeCells>
  <pageMargins left="0.511811024" right="0.511811024" top="0.78740157499999996" bottom="0.78740157499999996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8">
    <tabColor rgb="FF00FF00"/>
  </sheetPr>
  <dimension ref="A1:AF973"/>
  <sheetViews>
    <sheetView showGridLines="0" workbookViewId="0">
      <pane xSplit="4" topLeftCell="E1" activePane="topRight" state="frozen"/>
      <selection activeCell="B23" sqref="B23"/>
      <selection pane="topRight" activeCell="C4" sqref="C4:C13"/>
    </sheetView>
  </sheetViews>
  <sheetFormatPr defaultColWidth="14.3828125" defaultRowHeight="15" customHeight="1" x14ac:dyDescent="0.4"/>
  <cols>
    <col min="1" max="1" width="3.69140625" customWidth="1"/>
    <col min="2" max="2" width="44.84375" customWidth="1"/>
    <col min="3" max="3" width="16.84375" customWidth="1"/>
    <col min="4" max="4" width="7.84375" customWidth="1"/>
    <col min="5" max="9" width="5.3828125" customWidth="1"/>
    <col min="10" max="10" width="5.3046875" bestFit="1" customWidth="1"/>
    <col min="11" max="14" width="5.3828125" customWidth="1"/>
    <col min="15" max="16" width="14.53515625" customWidth="1"/>
    <col min="17" max="17" width="15.69140625" bestFit="1" customWidth="1"/>
    <col min="18" max="19" width="14.53515625" customWidth="1"/>
    <col min="20" max="20" width="16.84375" customWidth="1"/>
    <col min="21" max="22" width="14.53515625" customWidth="1"/>
    <col min="23" max="23" width="15.69140625" bestFit="1" customWidth="1"/>
    <col min="24" max="24" width="14.53515625" customWidth="1"/>
    <col min="25" max="25" width="8.3828125" customWidth="1"/>
    <col min="26" max="26" width="15.53515625" customWidth="1"/>
    <col min="27" max="27" width="11.69140625" customWidth="1"/>
    <col min="28" max="28" width="9.15234375" customWidth="1"/>
    <col min="29" max="29" width="11.3828125" customWidth="1"/>
    <col min="30" max="32" width="9.15234375" customWidth="1"/>
  </cols>
  <sheetData>
    <row r="1" spans="1:32" ht="14.6" x14ac:dyDescent="0.4">
      <c r="A1" s="222" t="s">
        <v>82</v>
      </c>
      <c r="B1" s="223"/>
      <c r="C1" s="223"/>
      <c r="D1" s="223"/>
      <c r="E1" s="226" t="s">
        <v>3</v>
      </c>
      <c r="F1" s="223"/>
      <c r="G1" s="223"/>
      <c r="H1" s="223"/>
      <c r="I1" s="223"/>
      <c r="J1" s="223"/>
      <c r="K1" s="223"/>
      <c r="L1" s="223"/>
      <c r="M1" s="223"/>
      <c r="N1" s="234"/>
      <c r="O1" s="230" t="s">
        <v>4</v>
      </c>
      <c r="P1" s="237"/>
      <c r="Q1" s="237"/>
      <c r="R1" s="237"/>
      <c r="S1" s="237"/>
      <c r="T1" s="237"/>
      <c r="U1" s="237"/>
      <c r="V1" s="237"/>
      <c r="W1" s="237"/>
      <c r="X1" s="237"/>
      <c r="Y1" s="219" t="s">
        <v>5</v>
      </c>
      <c r="Z1" s="220"/>
    </row>
    <row r="2" spans="1:32" ht="14.6" x14ac:dyDescent="0.4">
      <c r="A2" s="224"/>
      <c r="B2" s="225"/>
      <c r="C2" s="225"/>
      <c r="D2" s="225"/>
      <c r="E2" s="236"/>
      <c r="F2" s="225"/>
      <c r="G2" s="225"/>
      <c r="H2" s="225"/>
      <c r="I2" s="225"/>
      <c r="J2" s="225"/>
      <c r="K2" s="225"/>
      <c r="L2" s="225"/>
      <c r="M2" s="225"/>
      <c r="N2" s="235"/>
      <c r="O2" s="2">
        <f>MROUND(SUM(O4:O13),1)</f>
        <v>662</v>
      </c>
      <c r="P2" s="2">
        <f t="shared" ref="P2:X2" si="0">MROUND(SUM(P4:P13),1)</f>
        <v>812</v>
      </c>
      <c r="Q2" s="2">
        <f t="shared" si="0"/>
        <v>1152</v>
      </c>
      <c r="R2" s="2">
        <f t="shared" si="0"/>
        <v>932</v>
      </c>
      <c r="S2" s="2">
        <f t="shared" si="0"/>
        <v>696</v>
      </c>
      <c r="T2" s="2">
        <f t="shared" si="0"/>
        <v>2317</v>
      </c>
      <c r="U2" s="2">
        <f t="shared" si="0"/>
        <v>662</v>
      </c>
      <c r="V2" s="2">
        <f t="shared" si="0"/>
        <v>932</v>
      </c>
      <c r="W2" s="2">
        <f t="shared" si="0"/>
        <v>1152</v>
      </c>
      <c r="X2" s="2">
        <f t="shared" si="0"/>
        <v>881</v>
      </c>
      <c r="Y2" s="221">
        <f>SUM(O2:X2)</f>
        <v>10198</v>
      </c>
      <c r="Z2" s="220"/>
    </row>
    <row r="3" spans="1:32" ht="14.6" x14ac:dyDescent="0.4">
      <c r="A3" s="3" t="s">
        <v>6</v>
      </c>
      <c r="B3" s="3" t="s">
        <v>7</v>
      </c>
      <c r="C3" s="3" t="s">
        <v>8</v>
      </c>
      <c r="D3" s="4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18</v>
      </c>
      <c r="N3" s="5" t="s">
        <v>19</v>
      </c>
      <c r="O3" s="5">
        <v>10000</v>
      </c>
      <c r="P3" s="5">
        <v>20000</v>
      </c>
      <c r="Q3" s="5">
        <v>30000</v>
      </c>
      <c r="R3" s="5">
        <v>40000</v>
      </c>
      <c r="S3" s="5">
        <v>50000</v>
      </c>
      <c r="T3" s="5">
        <v>60000</v>
      </c>
      <c r="U3" s="5">
        <v>70000</v>
      </c>
      <c r="V3" s="5">
        <v>80000</v>
      </c>
      <c r="W3" s="5">
        <v>90000</v>
      </c>
      <c r="X3" s="5">
        <v>100000</v>
      </c>
      <c r="Y3" s="6" t="s">
        <v>20</v>
      </c>
      <c r="Z3" s="3" t="s">
        <v>21</v>
      </c>
    </row>
    <row r="4" spans="1:32" ht="14.6" x14ac:dyDescent="0.4">
      <c r="A4" s="7">
        <v>1</v>
      </c>
      <c r="B4" s="8" t="s">
        <v>66</v>
      </c>
      <c r="C4" s="185" t="s">
        <v>67</v>
      </c>
      <c r="D4" s="9">
        <f>VLOOKUP(C4,'[1]PREÇO ATUAL'!$A:$D,4,0)</f>
        <v>24.15</v>
      </c>
      <c r="E4" s="10"/>
      <c r="F4" s="10"/>
      <c r="G4" s="10">
        <v>4</v>
      </c>
      <c r="H4" s="10"/>
      <c r="I4" s="11"/>
      <c r="J4" s="11">
        <v>4</v>
      </c>
      <c r="K4" s="11"/>
      <c r="L4" s="11"/>
      <c r="M4" s="11">
        <v>4</v>
      </c>
      <c r="N4" s="11"/>
      <c r="O4" s="13">
        <f t="shared" ref="O4:X4" si="1">$D4*E4</f>
        <v>0</v>
      </c>
      <c r="P4" s="13">
        <f t="shared" si="1"/>
        <v>0</v>
      </c>
      <c r="Q4" s="13">
        <f t="shared" si="1"/>
        <v>96.6</v>
      </c>
      <c r="R4" s="13">
        <f t="shared" si="1"/>
        <v>0</v>
      </c>
      <c r="S4" s="13">
        <f t="shared" si="1"/>
        <v>0</v>
      </c>
      <c r="T4" s="13">
        <f t="shared" si="1"/>
        <v>96.6</v>
      </c>
      <c r="U4" s="13">
        <f t="shared" si="1"/>
        <v>0</v>
      </c>
      <c r="V4" s="13">
        <f t="shared" si="1"/>
        <v>0</v>
      </c>
      <c r="W4" s="13">
        <f t="shared" si="1"/>
        <v>96.6</v>
      </c>
      <c r="X4" s="13">
        <f t="shared" si="1"/>
        <v>0</v>
      </c>
      <c r="Y4" s="37">
        <f t="shared" ref="Y4:Y13" si="2">Z4/$Y$2</f>
        <v>2.8417336732692679E-2</v>
      </c>
      <c r="Z4" s="13">
        <f t="shared" ref="Z4:Z13" si="3">SUM(O4:X4)</f>
        <v>289.79999999999995</v>
      </c>
    </row>
    <row r="5" spans="1:32" ht="14.6" x14ac:dyDescent="0.4">
      <c r="A5" s="15">
        <v>2</v>
      </c>
      <c r="B5" s="16" t="s">
        <v>70</v>
      </c>
      <c r="C5" s="186" t="s">
        <v>71</v>
      </c>
      <c r="D5" s="17">
        <f>VLOOKUP(C5,'[1]PREÇO ATUAL'!$A:$D,4,0)</f>
        <v>71.2</v>
      </c>
      <c r="E5" s="18">
        <v>1</v>
      </c>
      <c r="F5" s="18">
        <v>1</v>
      </c>
      <c r="G5" s="18">
        <v>1</v>
      </c>
      <c r="H5" s="18">
        <v>1</v>
      </c>
      <c r="I5" s="19">
        <v>1</v>
      </c>
      <c r="J5" s="19">
        <v>1</v>
      </c>
      <c r="K5" s="19">
        <v>1</v>
      </c>
      <c r="L5" s="19">
        <v>1</v>
      </c>
      <c r="M5" s="19">
        <v>1</v>
      </c>
      <c r="N5" s="19">
        <v>1</v>
      </c>
      <c r="O5" s="21">
        <f t="shared" ref="O5:X5" si="4">$D5*E5</f>
        <v>71.2</v>
      </c>
      <c r="P5" s="21">
        <f t="shared" si="4"/>
        <v>71.2</v>
      </c>
      <c r="Q5" s="21">
        <f t="shared" si="4"/>
        <v>71.2</v>
      </c>
      <c r="R5" s="21">
        <f t="shared" si="4"/>
        <v>71.2</v>
      </c>
      <c r="S5" s="21">
        <f t="shared" si="4"/>
        <v>71.2</v>
      </c>
      <c r="T5" s="21">
        <f t="shared" si="4"/>
        <v>71.2</v>
      </c>
      <c r="U5" s="21">
        <f t="shared" si="4"/>
        <v>71.2</v>
      </c>
      <c r="V5" s="21">
        <f t="shared" si="4"/>
        <v>71.2</v>
      </c>
      <c r="W5" s="21">
        <f t="shared" si="4"/>
        <v>71.2</v>
      </c>
      <c r="X5" s="21">
        <f t="shared" si="4"/>
        <v>71.2</v>
      </c>
      <c r="Y5" s="38">
        <f t="shared" si="2"/>
        <v>6.9817611296332627E-2</v>
      </c>
      <c r="Z5" s="21">
        <f t="shared" si="3"/>
        <v>712.00000000000011</v>
      </c>
    </row>
    <row r="6" spans="1:32" ht="14.6" x14ac:dyDescent="0.4">
      <c r="A6" s="7">
        <v>3</v>
      </c>
      <c r="B6" s="8" t="s">
        <v>72</v>
      </c>
      <c r="C6" s="185" t="s">
        <v>25</v>
      </c>
      <c r="D6" s="9">
        <f>VLOOKUP(C6,'[1]PREÇO ATUAL'!$A:$D,4,0)</f>
        <v>35.9</v>
      </c>
      <c r="E6" s="10"/>
      <c r="F6" s="10">
        <v>1</v>
      </c>
      <c r="G6" s="10"/>
      <c r="H6" s="10">
        <v>1</v>
      </c>
      <c r="I6" s="11"/>
      <c r="J6" s="11">
        <v>1</v>
      </c>
      <c r="K6" s="11"/>
      <c r="L6" s="11">
        <v>1</v>
      </c>
      <c r="M6" s="11"/>
      <c r="N6" s="11">
        <v>1</v>
      </c>
      <c r="O6" s="13">
        <f t="shared" ref="O6:X6" si="5">$D6*E6</f>
        <v>0</v>
      </c>
      <c r="P6" s="13">
        <f t="shared" si="5"/>
        <v>35.9</v>
      </c>
      <c r="Q6" s="13">
        <f t="shared" si="5"/>
        <v>0</v>
      </c>
      <c r="R6" s="13">
        <f t="shared" si="5"/>
        <v>35.9</v>
      </c>
      <c r="S6" s="13">
        <f t="shared" si="5"/>
        <v>0</v>
      </c>
      <c r="T6" s="13">
        <f t="shared" si="5"/>
        <v>35.9</v>
      </c>
      <c r="U6" s="13">
        <f t="shared" si="5"/>
        <v>0</v>
      </c>
      <c r="V6" s="13">
        <f t="shared" si="5"/>
        <v>35.9</v>
      </c>
      <c r="W6" s="13">
        <f t="shared" si="5"/>
        <v>0</v>
      </c>
      <c r="X6" s="13">
        <f t="shared" si="5"/>
        <v>35.9</v>
      </c>
      <c r="Y6" s="37">
        <f t="shared" si="2"/>
        <v>1.7601490488331047E-2</v>
      </c>
      <c r="Z6" s="13">
        <f t="shared" si="3"/>
        <v>179.5</v>
      </c>
    </row>
    <row r="7" spans="1:32" ht="14.6" x14ac:dyDescent="0.4">
      <c r="A7" s="15">
        <v>4</v>
      </c>
      <c r="B7" s="16" t="s">
        <v>73</v>
      </c>
      <c r="C7" s="186" t="s">
        <v>83</v>
      </c>
      <c r="D7" s="17">
        <f>VLOOKUP(C7,'[1]PREÇO ATUAL'!$A:$D,4,0)</f>
        <v>45.9</v>
      </c>
      <c r="E7" s="18"/>
      <c r="F7" s="18">
        <v>1</v>
      </c>
      <c r="G7" s="18"/>
      <c r="H7" s="18">
        <v>1</v>
      </c>
      <c r="I7" s="19"/>
      <c r="J7" s="19">
        <v>1</v>
      </c>
      <c r="K7" s="19"/>
      <c r="L7" s="19">
        <v>1</v>
      </c>
      <c r="M7" s="19"/>
      <c r="N7" s="19">
        <v>1</v>
      </c>
      <c r="O7" s="21">
        <f t="shared" ref="O7:X7" si="6">$D7*E7</f>
        <v>0</v>
      </c>
      <c r="P7" s="21">
        <f t="shared" si="6"/>
        <v>45.9</v>
      </c>
      <c r="Q7" s="21">
        <f t="shared" si="6"/>
        <v>0</v>
      </c>
      <c r="R7" s="21">
        <f t="shared" si="6"/>
        <v>45.9</v>
      </c>
      <c r="S7" s="21">
        <f t="shared" si="6"/>
        <v>0</v>
      </c>
      <c r="T7" s="21">
        <f t="shared" si="6"/>
        <v>45.9</v>
      </c>
      <c r="U7" s="21">
        <f t="shared" si="6"/>
        <v>0</v>
      </c>
      <c r="V7" s="21">
        <f t="shared" si="6"/>
        <v>45.9</v>
      </c>
      <c r="W7" s="21">
        <f t="shared" si="6"/>
        <v>0</v>
      </c>
      <c r="X7" s="21">
        <f t="shared" si="6"/>
        <v>45.9</v>
      </c>
      <c r="Y7" s="38">
        <f t="shared" si="2"/>
        <v>2.2504412629927438E-2</v>
      </c>
      <c r="Z7" s="21">
        <f t="shared" si="3"/>
        <v>229.5</v>
      </c>
    </row>
    <row r="8" spans="1:32" ht="14.6" x14ac:dyDescent="0.4">
      <c r="A8" s="7">
        <v>5</v>
      </c>
      <c r="B8" s="8" t="s">
        <v>75</v>
      </c>
      <c r="C8" s="185" t="s">
        <v>76</v>
      </c>
      <c r="D8" s="9">
        <f>VLOOKUP(C8,'[1]PREÇO ATUAL'!$A:$D,4,0)</f>
        <v>139.9</v>
      </c>
      <c r="E8" s="10"/>
      <c r="F8" s="10"/>
      <c r="G8" s="10"/>
      <c r="H8" s="10"/>
      <c r="I8" s="11"/>
      <c r="J8" s="11">
        <v>1</v>
      </c>
      <c r="K8" s="11"/>
      <c r="L8" s="11"/>
      <c r="M8" s="11"/>
      <c r="N8" s="11"/>
      <c r="O8" s="13">
        <f t="shared" ref="O8:X8" si="7">$D8*E8</f>
        <v>0</v>
      </c>
      <c r="P8" s="13">
        <f t="shared" si="7"/>
        <v>0</v>
      </c>
      <c r="Q8" s="13">
        <f t="shared" si="7"/>
        <v>0</v>
      </c>
      <c r="R8" s="13">
        <f t="shared" si="7"/>
        <v>0</v>
      </c>
      <c r="S8" s="13">
        <f t="shared" si="7"/>
        <v>0</v>
      </c>
      <c r="T8" s="13">
        <f t="shared" si="7"/>
        <v>139.9</v>
      </c>
      <c r="U8" s="13">
        <f t="shared" si="7"/>
        <v>0</v>
      </c>
      <c r="V8" s="13">
        <f t="shared" si="7"/>
        <v>0</v>
      </c>
      <c r="W8" s="13">
        <f t="shared" si="7"/>
        <v>0</v>
      </c>
      <c r="X8" s="13">
        <f t="shared" si="7"/>
        <v>0</v>
      </c>
      <c r="Y8" s="37">
        <f t="shared" si="2"/>
        <v>1.3718376152186703E-2</v>
      </c>
      <c r="Z8" s="13">
        <f t="shared" si="3"/>
        <v>139.9</v>
      </c>
    </row>
    <row r="9" spans="1:32" ht="14.6" x14ac:dyDescent="0.4">
      <c r="A9" s="15">
        <v>6</v>
      </c>
      <c r="B9" s="16" t="s">
        <v>77</v>
      </c>
      <c r="C9" s="186" t="s">
        <v>78</v>
      </c>
      <c r="D9" s="17">
        <f>VLOOKUP(C9,'[1]PREÇO ATUAL'!$A:$D,4,0)</f>
        <v>27.9</v>
      </c>
      <c r="E9" s="18"/>
      <c r="F9" s="18"/>
      <c r="G9" s="18"/>
      <c r="H9" s="18"/>
      <c r="I9" s="19"/>
      <c r="J9" s="19">
        <v>1</v>
      </c>
      <c r="K9" s="19"/>
      <c r="L9" s="19"/>
      <c r="M9" s="19"/>
      <c r="N9" s="19"/>
      <c r="O9" s="21">
        <f t="shared" ref="O9:X9" si="8">$D9*E9</f>
        <v>0</v>
      </c>
      <c r="P9" s="21">
        <f t="shared" si="8"/>
        <v>0</v>
      </c>
      <c r="Q9" s="21">
        <f t="shared" si="8"/>
        <v>0</v>
      </c>
      <c r="R9" s="21">
        <f t="shared" si="8"/>
        <v>0</v>
      </c>
      <c r="S9" s="21">
        <f t="shared" si="8"/>
        <v>0</v>
      </c>
      <c r="T9" s="21">
        <f t="shared" si="8"/>
        <v>27.9</v>
      </c>
      <c r="U9" s="21">
        <f t="shared" si="8"/>
        <v>0</v>
      </c>
      <c r="V9" s="21">
        <f t="shared" si="8"/>
        <v>0</v>
      </c>
      <c r="W9" s="21">
        <f t="shared" si="8"/>
        <v>0</v>
      </c>
      <c r="X9" s="21">
        <f t="shared" si="8"/>
        <v>0</v>
      </c>
      <c r="Y9" s="38">
        <f t="shared" si="2"/>
        <v>2.7358305550107863E-3</v>
      </c>
      <c r="Z9" s="21">
        <f t="shared" si="3"/>
        <v>27.9</v>
      </c>
    </row>
    <row r="10" spans="1:32" ht="14.6" x14ac:dyDescent="0.4">
      <c r="A10" s="7">
        <v>7</v>
      </c>
      <c r="B10" s="8" t="s">
        <v>68</v>
      </c>
      <c r="C10" s="185" t="s">
        <v>69</v>
      </c>
      <c r="D10" s="9">
        <f>VLOOKUP(C10,'[1]PREÇO ATUAL'!$A:$D,4,0)</f>
        <v>145.9</v>
      </c>
      <c r="E10" s="10"/>
      <c r="F10" s="10"/>
      <c r="G10" s="10"/>
      <c r="H10" s="10"/>
      <c r="I10" s="11"/>
      <c r="J10" s="11">
        <v>1</v>
      </c>
      <c r="K10" s="11"/>
      <c r="L10" s="11"/>
      <c r="M10" s="11"/>
      <c r="N10" s="11"/>
      <c r="O10" s="13">
        <f t="shared" ref="O10:X10" si="9">$D10*E10</f>
        <v>0</v>
      </c>
      <c r="P10" s="13">
        <f t="shared" si="9"/>
        <v>0</v>
      </c>
      <c r="Q10" s="13">
        <f t="shared" si="9"/>
        <v>0</v>
      </c>
      <c r="R10" s="13">
        <f t="shared" si="9"/>
        <v>0</v>
      </c>
      <c r="S10" s="13">
        <f t="shared" si="9"/>
        <v>0</v>
      </c>
      <c r="T10" s="13">
        <f t="shared" si="9"/>
        <v>145.9</v>
      </c>
      <c r="U10" s="13">
        <f t="shared" si="9"/>
        <v>0</v>
      </c>
      <c r="V10" s="13">
        <f t="shared" si="9"/>
        <v>0</v>
      </c>
      <c r="W10" s="13">
        <f t="shared" si="9"/>
        <v>0</v>
      </c>
      <c r="X10" s="13">
        <f t="shared" si="9"/>
        <v>0</v>
      </c>
      <c r="Y10" s="37">
        <f t="shared" si="2"/>
        <v>1.430672680917827E-2</v>
      </c>
      <c r="Z10" s="13">
        <f t="shared" si="3"/>
        <v>145.9</v>
      </c>
    </row>
    <row r="11" spans="1:32" ht="14.6" x14ac:dyDescent="0.4">
      <c r="A11" s="15">
        <v>8</v>
      </c>
      <c r="B11" s="16" t="s">
        <v>63</v>
      </c>
      <c r="C11" s="186" t="s">
        <v>64</v>
      </c>
      <c r="D11" s="17">
        <f>VLOOKUP(C11,'[1]PREÇO ATUAL'!$A:$D,4,0)</f>
        <v>98.56222158238279</v>
      </c>
      <c r="E11" s="24">
        <v>2.7</v>
      </c>
      <c r="F11" s="24">
        <v>2.7</v>
      </c>
      <c r="G11" s="24">
        <v>2.7</v>
      </c>
      <c r="H11" s="24">
        <v>2.7</v>
      </c>
      <c r="I11" s="17">
        <v>2.7</v>
      </c>
      <c r="J11" s="17">
        <v>2.7</v>
      </c>
      <c r="K11" s="17">
        <v>2.7</v>
      </c>
      <c r="L11" s="17">
        <v>2.7</v>
      </c>
      <c r="M11" s="17">
        <v>2.7</v>
      </c>
      <c r="N11" s="17">
        <v>2.7</v>
      </c>
      <c r="O11" s="21">
        <f t="shared" ref="O11:X11" si="10">$D11*E11</f>
        <v>266.11799827243357</v>
      </c>
      <c r="P11" s="21">
        <f t="shared" si="10"/>
        <v>266.11799827243357</v>
      </c>
      <c r="Q11" s="21">
        <f t="shared" si="10"/>
        <v>266.11799827243357</v>
      </c>
      <c r="R11" s="21">
        <f t="shared" si="10"/>
        <v>266.11799827243357</v>
      </c>
      <c r="S11" s="21">
        <f t="shared" si="10"/>
        <v>266.11799827243357</v>
      </c>
      <c r="T11" s="21">
        <f t="shared" si="10"/>
        <v>266.11799827243357</v>
      </c>
      <c r="U11" s="21">
        <f t="shared" si="10"/>
        <v>266.11799827243357</v>
      </c>
      <c r="V11" s="21">
        <f t="shared" si="10"/>
        <v>266.11799827243357</v>
      </c>
      <c r="W11" s="21">
        <f t="shared" si="10"/>
        <v>266.11799827243357</v>
      </c>
      <c r="X11" s="21">
        <f t="shared" si="10"/>
        <v>266.11799827243357</v>
      </c>
      <c r="Y11" s="38">
        <f t="shared" si="2"/>
        <v>0.2609511652014449</v>
      </c>
      <c r="Z11" s="21">
        <f t="shared" si="3"/>
        <v>2661.1799827243353</v>
      </c>
      <c r="AF11" s="39"/>
    </row>
    <row r="12" spans="1:32" ht="14.6" x14ac:dyDescent="0.4">
      <c r="A12" s="7">
        <v>9</v>
      </c>
      <c r="B12" s="8" t="s">
        <v>34</v>
      </c>
      <c r="C12" s="185" t="s">
        <v>35</v>
      </c>
      <c r="D12" s="9">
        <f>VLOOKUP(C12,'[1]PREÇO ATUAL'!$A:$D,4,0)</f>
        <v>33.622493083850472</v>
      </c>
      <c r="E12" s="10"/>
      <c r="F12" s="10"/>
      <c r="G12" s="10"/>
      <c r="H12" s="10"/>
      <c r="I12" s="11"/>
      <c r="J12" s="11"/>
      <c r="K12" s="11"/>
      <c r="L12" s="11"/>
      <c r="M12" s="11"/>
      <c r="N12" s="11"/>
      <c r="O12" s="13">
        <f t="shared" ref="O12:X12" si="11">$D12*E12</f>
        <v>0</v>
      </c>
      <c r="P12" s="13">
        <f t="shared" si="11"/>
        <v>0</v>
      </c>
      <c r="Q12" s="13">
        <f t="shared" si="11"/>
        <v>0</v>
      </c>
      <c r="R12" s="13">
        <f t="shared" si="11"/>
        <v>0</v>
      </c>
      <c r="S12" s="13">
        <f t="shared" si="11"/>
        <v>0</v>
      </c>
      <c r="T12" s="13">
        <f t="shared" si="11"/>
        <v>0</v>
      </c>
      <c r="U12" s="13">
        <f t="shared" si="11"/>
        <v>0</v>
      </c>
      <c r="V12" s="13">
        <f t="shared" si="11"/>
        <v>0</v>
      </c>
      <c r="W12" s="13">
        <f t="shared" si="11"/>
        <v>0</v>
      </c>
      <c r="X12" s="13">
        <f t="shared" si="11"/>
        <v>0</v>
      </c>
      <c r="Y12" s="37">
        <f t="shared" si="2"/>
        <v>0</v>
      </c>
      <c r="Z12" s="13">
        <f t="shared" si="3"/>
        <v>0</v>
      </c>
      <c r="AF12" s="39"/>
    </row>
    <row r="13" spans="1:32" ht="14.6" x14ac:dyDescent="0.4">
      <c r="A13" s="15">
        <v>10</v>
      </c>
      <c r="B13" s="16" t="s">
        <v>38</v>
      </c>
      <c r="C13" s="186" t="s">
        <v>39</v>
      </c>
      <c r="D13" s="17">
        <f>VLOOKUP(C13,'[1]PREÇO ATUAL'!$A:$D,4,0)</f>
        <v>342</v>
      </c>
      <c r="E13" s="28">
        <v>0.95</v>
      </c>
      <c r="F13" s="28">
        <v>1.1499999999999999</v>
      </c>
      <c r="G13" s="28">
        <v>2.1</v>
      </c>
      <c r="H13" s="28">
        <v>1.5</v>
      </c>
      <c r="I13" s="29">
        <v>1.05</v>
      </c>
      <c r="J13" s="29">
        <v>4.3499999999999996</v>
      </c>
      <c r="K13" s="29">
        <v>0.95</v>
      </c>
      <c r="L13" s="29">
        <v>1.5</v>
      </c>
      <c r="M13" s="29">
        <v>2.1</v>
      </c>
      <c r="N13" s="29">
        <v>1.35</v>
      </c>
      <c r="O13" s="21">
        <f>D13*E13</f>
        <v>324.89999999999998</v>
      </c>
      <c r="P13" s="21">
        <f t="shared" ref="P13:X13" si="12">$D13*F13</f>
        <v>393.29999999999995</v>
      </c>
      <c r="Q13" s="21">
        <f t="shared" si="12"/>
        <v>718.2</v>
      </c>
      <c r="R13" s="21">
        <f t="shared" si="12"/>
        <v>513</v>
      </c>
      <c r="S13" s="21">
        <f t="shared" si="12"/>
        <v>359.1</v>
      </c>
      <c r="T13" s="21">
        <f t="shared" si="12"/>
        <v>1487.6999999999998</v>
      </c>
      <c r="U13" s="21">
        <f t="shared" si="12"/>
        <v>324.89999999999998</v>
      </c>
      <c r="V13" s="21">
        <f t="shared" si="12"/>
        <v>513</v>
      </c>
      <c r="W13" s="21">
        <f t="shared" si="12"/>
        <v>718.2</v>
      </c>
      <c r="X13" s="21">
        <f t="shared" si="12"/>
        <v>461.70000000000005</v>
      </c>
      <c r="Y13" s="38">
        <f t="shared" si="2"/>
        <v>0.57011178662482831</v>
      </c>
      <c r="Z13" s="21">
        <f t="shared" si="3"/>
        <v>5813.9999999999991</v>
      </c>
    </row>
    <row r="14" spans="1:32" ht="15.75" customHeight="1" x14ac:dyDescent="0.4">
      <c r="H14" s="54"/>
    </row>
    <row r="15" spans="1:32" ht="15.75" customHeight="1" x14ac:dyDescent="0.4"/>
    <row r="16" spans="1:32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</sheetData>
  <mergeCells count="5">
    <mergeCell ref="A1:D2"/>
    <mergeCell ref="E1:N2"/>
    <mergeCell ref="O1:X1"/>
    <mergeCell ref="Y1:Z1"/>
    <mergeCell ref="Y2:Z2"/>
  </mergeCells>
  <pageMargins left="0.511811024" right="0.511811024" top="0.78740157499999996" bottom="0.78740157499999996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9">
    <tabColor rgb="FF00FF00"/>
  </sheetPr>
  <dimension ref="A1:Z973"/>
  <sheetViews>
    <sheetView showGridLines="0" workbookViewId="0">
      <pane xSplit="4" topLeftCell="E1" activePane="topRight" state="frozen"/>
      <selection activeCell="B23" sqref="B23"/>
      <selection pane="topRight" activeCell="C4" sqref="C4:C11"/>
    </sheetView>
  </sheetViews>
  <sheetFormatPr defaultColWidth="14.3828125" defaultRowHeight="15" customHeight="1" x14ac:dyDescent="0.4"/>
  <cols>
    <col min="1" max="1" width="3.69140625" customWidth="1"/>
    <col min="2" max="2" width="44.84375" customWidth="1"/>
    <col min="3" max="3" width="16.84375" customWidth="1"/>
    <col min="4" max="4" width="7.84375" customWidth="1"/>
    <col min="5" max="5" width="5.3046875" customWidth="1"/>
    <col min="6" max="14" width="5.3828125" customWidth="1"/>
    <col min="15" max="16" width="14.53515625" customWidth="1"/>
    <col min="17" max="18" width="15.69140625" bestFit="1" customWidth="1"/>
    <col min="19" max="19" width="14.53515625" customWidth="1"/>
    <col min="20" max="20" width="16.84375" customWidth="1"/>
    <col min="21" max="21" width="14.53515625" customWidth="1"/>
    <col min="22" max="23" width="15.69140625" bestFit="1" customWidth="1"/>
    <col min="24" max="24" width="14.53515625" customWidth="1"/>
    <col min="25" max="25" width="8.3828125" customWidth="1"/>
    <col min="26" max="26" width="15.53515625" customWidth="1"/>
    <col min="27" max="27" width="11.69140625" customWidth="1"/>
    <col min="28" max="28" width="9.15234375" customWidth="1"/>
    <col min="29" max="29" width="11.3828125" customWidth="1"/>
    <col min="30" max="32" width="9.15234375" customWidth="1"/>
  </cols>
  <sheetData>
    <row r="1" spans="1:26" ht="14.6" x14ac:dyDescent="0.4">
      <c r="A1" s="222" t="s">
        <v>84</v>
      </c>
      <c r="B1" s="223"/>
      <c r="C1" s="223"/>
      <c r="D1" s="223"/>
      <c r="E1" s="226" t="s">
        <v>3</v>
      </c>
      <c r="F1" s="223"/>
      <c r="G1" s="223"/>
      <c r="H1" s="223"/>
      <c r="I1" s="223"/>
      <c r="J1" s="223"/>
      <c r="K1" s="223"/>
      <c r="L1" s="223"/>
      <c r="M1" s="223"/>
      <c r="N1" s="234"/>
      <c r="O1" s="230" t="s">
        <v>4</v>
      </c>
      <c r="P1" s="237"/>
      <c r="Q1" s="237"/>
      <c r="R1" s="237"/>
      <c r="S1" s="237"/>
      <c r="T1" s="237"/>
      <c r="U1" s="237"/>
      <c r="V1" s="237"/>
      <c r="W1" s="237"/>
      <c r="X1" s="237"/>
      <c r="Y1" s="219" t="s">
        <v>5</v>
      </c>
      <c r="Z1" s="220"/>
    </row>
    <row r="2" spans="1:26" ht="14.6" x14ac:dyDescent="0.4">
      <c r="A2" s="224"/>
      <c r="B2" s="225"/>
      <c r="C2" s="225"/>
      <c r="D2" s="225"/>
      <c r="E2" s="236"/>
      <c r="F2" s="225"/>
      <c r="G2" s="225"/>
      <c r="H2" s="225"/>
      <c r="I2" s="225"/>
      <c r="J2" s="225"/>
      <c r="K2" s="225"/>
      <c r="L2" s="225"/>
      <c r="M2" s="225"/>
      <c r="N2" s="235"/>
      <c r="O2" s="2">
        <f>MROUND(SUM(O4:O11),1)</f>
        <v>894</v>
      </c>
      <c r="P2" s="2">
        <f t="shared" ref="P2:X2" si="0">MROUND(SUM(P4:P11),1)</f>
        <v>1089</v>
      </c>
      <c r="Q2" s="2">
        <f t="shared" si="0"/>
        <v>1191</v>
      </c>
      <c r="R2" s="2">
        <f t="shared" si="0"/>
        <v>1175</v>
      </c>
      <c r="S2" s="2">
        <f t="shared" si="0"/>
        <v>911</v>
      </c>
      <c r="T2" s="2">
        <f t="shared" si="0"/>
        <v>1965</v>
      </c>
      <c r="U2" s="2">
        <f t="shared" si="0"/>
        <v>894</v>
      </c>
      <c r="V2" s="2">
        <f t="shared" si="0"/>
        <v>1175</v>
      </c>
      <c r="W2" s="2">
        <f t="shared" si="0"/>
        <v>1191</v>
      </c>
      <c r="X2" s="2">
        <f t="shared" si="0"/>
        <v>1141</v>
      </c>
      <c r="Y2" s="221">
        <f>SUM(O2:X2)</f>
        <v>11626</v>
      </c>
      <c r="Z2" s="220"/>
    </row>
    <row r="3" spans="1:26" ht="14.6" x14ac:dyDescent="0.4">
      <c r="A3" s="3" t="s">
        <v>6</v>
      </c>
      <c r="B3" s="3" t="s">
        <v>7</v>
      </c>
      <c r="C3" s="3" t="s">
        <v>8</v>
      </c>
      <c r="D3" s="4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18</v>
      </c>
      <c r="N3" s="5" t="s">
        <v>19</v>
      </c>
      <c r="O3" s="5">
        <v>10000</v>
      </c>
      <c r="P3" s="5">
        <v>20000</v>
      </c>
      <c r="Q3" s="5">
        <v>30000</v>
      </c>
      <c r="R3" s="5">
        <v>40000</v>
      </c>
      <c r="S3" s="5">
        <v>50000</v>
      </c>
      <c r="T3" s="5">
        <v>60000</v>
      </c>
      <c r="U3" s="5">
        <v>70000</v>
      </c>
      <c r="V3" s="5">
        <v>80000</v>
      </c>
      <c r="W3" s="5">
        <v>90000</v>
      </c>
      <c r="X3" s="5">
        <v>100000</v>
      </c>
      <c r="Y3" s="6" t="s">
        <v>20</v>
      </c>
      <c r="Z3" s="3" t="s">
        <v>21</v>
      </c>
    </row>
    <row r="4" spans="1:26" ht="14.6" x14ac:dyDescent="0.4">
      <c r="A4" s="7">
        <v>1</v>
      </c>
      <c r="B4" s="8" t="s">
        <v>66</v>
      </c>
      <c r="C4" s="185" t="s">
        <v>85</v>
      </c>
      <c r="D4" s="9">
        <f>VLOOKUP(C4,'[1]PREÇO ATUAL'!$A:$D,4,0)</f>
        <v>52.9</v>
      </c>
      <c r="E4" s="10"/>
      <c r="F4" s="10"/>
      <c r="G4" s="10">
        <v>4</v>
      </c>
      <c r="H4" s="10"/>
      <c r="I4" s="11"/>
      <c r="J4" s="11">
        <v>4</v>
      </c>
      <c r="K4" s="11"/>
      <c r="L4" s="11"/>
      <c r="M4" s="11">
        <v>4</v>
      </c>
      <c r="N4" s="11"/>
      <c r="O4" s="13">
        <f t="shared" ref="O4:X4" si="1">$D4*E4</f>
        <v>0</v>
      </c>
      <c r="P4" s="13">
        <f t="shared" si="1"/>
        <v>0</v>
      </c>
      <c r="Q4" s="13">
        <f t="shared" si="1"/>
        <v>211.6</v>
      </c>
      <c r="R4" s="13">
        <f t="shared" si="1"/>
        <v>0</v>
      </c>
      <c r="S4" s="13">
        <f t="shared" si="1"/>
        <v>0</v>
      </c>
      <c r="T4" s="13">
        <f t="shared" si="1"/>
        <v>211.6</v>
      </c>
      <c r="U4" s="13">
        <f t="shared" si="1"/>
        <v>0</v>
      </c>
      <c r="V4" s="13">
        <f t="shared" si="1"/>
        <v>0</v>
      </c>
      <c r="W4" s="13">
        <f t="shared" si="1"/>
        <v>211.6</v>
      </c>
      <c r="X4" s="13">
        <f t="shared" si="1"/>
        <v>0</v>
      </c>
      <c r="Y4" s="37">
        <f t="shared" ref="Y4:Y11" si="2">Z4/$Y$2</f>
        <v>5.4601754687768789E-2</v>
      </c>
      <c r="Z4" s="13">
        <f t="shared" ref="Z4:Z11" si="3">SUM(O4:X4)</f>
        <v>634.79999999999995</v>
      </c>
    </row>
    <row r="5" spans="1:26" ht="14.6" x14ac:dyDescent="0.4">
      <c r="A5" s="15">
        <v>2</v>
      </c>
      <c r="B5" s="16" t="s">
        <v>70</v>
      </c>
      <c r="C5" s="186" t="s">
        <v>56</v>
      </c>
      <c r="D5" s="17">
        <f>VLOOKUP(C5,'[1]PREÇO ATUAL'!$A:$D,4,0)</f>
        <v>42.9</v>
      </c>
      <c r="E5" s="18">
        <v>1</v>
      </c>
      <c r="F5" s="18">
        <v>1</v>
      </c>
      <c r="G5" s="18">
        <v>1</v>
      </c>
      <c r="H5" s="18">
        <v>1</v>
      </c>
      <c r="I5" s="19">
        <v>1</v>
      </c>
      <c r="J5" s="19">
        <v>1</v>
      </c>
      <c r="K5" s="19">
        <v>1</v>
      </c>
      <c r="L5" s="19">
        <v>1</v>
      </c>
      <c r="M5" s="19">
        <v>1</v>
      </c>
      <c r="N5" s="19">
        <v>1</v>
      </c>
      <c r="O5" s="21">
        <f t="shared" ref="O5:X5" si="4">$D5*E5</f>
        <v>42.9</v>
      </c>
      <c r="P5" s="21">
        <f t="shared" si="4"/>
        <v>42.9</v>
      </c>
      <c r="Q5" s="21">
        <f t="shared" si="4"/>
        <v>42.9</v>
      </c>
      <c r="R5" s="21">
        <f t="shared" si="4"/>
        <v>42.9</v>
      </c>
      <c r="S5" s="21">
        <f t="shared" si="4"/>
        <v>42.9</v>
      </c>
      <c r="T5" s="21">
        <f t="shared" si="4"/>
        <v>42.9</v>
      </c>
      <c r="U5" s="21">
        <f t="shared" si="4"/>
        <v>42.9</v>
      </c>
      <c r="V5" s="21">
        <f t="shared" si="4"/>
        <v>42.9</v>
      </c>
      <c r="W5" s="21">
        <f t="shared" si="4"/>
        <v>42.9</v>
      </c>
      <c r="X5" s="21">
        <f t="shared" si="4"/>
        <v>42.9</v>
      </c>
      <c r="Y5" s="38">
        <f t="shared" si="2"/>
        <v>3.6900051608463776E-2</v>
      </c>
      <c r="Z5" s="21">
        <f t="shared" si="3"/>
        <v>428.99999999999989</v>
      </c>
    </row>
    <row r="6" spans="1:26" ht="15.75" customHeight="1" x14ac:dyDescent="0.4">
      <c r="A6" s="7">
        <v>3</v>
      </c>
      <c r="B6" s="8" t="s">
        <v>72</v>
      </c>
      <c r="C6" s="185" t="s">
        <v>25</v>
      </c>
      <c r="D6" s="9">
        <f>VLOOKUP(C6,'[1]PREÇO ATUAL'!$A:$D,4,0)</f>
        <v>35.9</v>
      </c>
      <c r="E6" s="10"/>
      <c r="F6" s="10">
        <v>1</v>
      </c>
      <c r="G6" s="10"/>
      <c r="H6" s="10">
        <v>1</v>
      </c>
      <c r="I6" s="11"/>
      <c r="J6" s="11">
        <v>1</v>
      </c>
      <c r="K6" s="11"/>
      <c r="L6" s="11">
        <v>1</v>
      </c>
      <c r="M6" s="11"/>
      <c r="N6" s="11">
        <v>1</v>
      </c>
      <c r="O6" s="13">
        <f t="shared" ref="O6:X6" si="5">$D6*E6</f>
        <v>0</v>
      </c>
      <c r="P6" s="13">
        <f t="shared" si="5"/>
        <v>35.9</v>
      </c>
      <c r="Q6" s="13">
        <f t="shared" si="5"/>
        <v>0</v>
      </c>
      <c r="R6" s="13">
        <f t="shared" si="5"/>
        <v>35.9</v>
      </c>
      <c r="S6" s="13">
        <f t="shared" si="5"/>
        <v>0</v>
      </c>
      <c r="T6" s="13">
        <f t="shared" si="5"/>
        <v>35.9</v>
      </c>
      <c r="U6" s="13">
        <f t="shared" si="5"/>
        <v>0</v>
      </c>
      <c r="V6" s="13">
        <f t="shared" si="5"/>
        <v>35.9</v>
      </c>
      <c r="W6" s="13">
        <f t="shared" si="5"/>
        <v>0</v>
      </c>
      <c r="X6" s="13">
        <f t="shared" si="5"/>
        <v>35.9</v>
      </c>
      <c r="Y6" s="37">
        <f t="shared" si="2"/>
        <v>1.5439532083261655E-2</v>
      </c>
      <c r="Z6" s="13">
        <f t="shared" si="3"/>
        <v>179.5</v>
      </c>
    </row>
    <row r="7" spans="1:26" ht="15.75" customHeight="1" x14ac:dyDescent="0.4">
      <c r="A7" s="15">
        <v>4</v>
      </c>
      <c r="B7" s="16" t="s">
        <v>73</v>
      </c>
      <c r="C7" s="186" t="s">
        <v>86</v>
      </c>
      <c r="D7" s="17">
        <f>VLOOKUP(C7,'[1]PREÇO ATUAL'!$A:$D,4,0)</f>
        <v>90.75</v>
      </c>
      <c r="E7" s="18"/>
      <c r="F7" s="18">
        <v>1</v>
      </c>
      <c r="G7" s="18"/>
      <c r="H7" s="18">
        <v>1</v>
      </c>
      <c r="I7" s="19"/>
      <c r="J7" s="19">
        <v>1</v>
      </c>
      <c r="K7" s="19"/>
      <c r="L7" s="19">
        <v>1</v>
      </c>
      <c r="M7" s="19"/>
      <c r="N7" s="19">
        <v>1</v>
      </c>
      <c r="O7" s="21">
        <f t="shared" ref="O7:X7" si="6">$D7*E7</f>
        <v>0</v>
      </c>
      <c r="P7" s="21">
        <f t="shared" si="6"/>
        <v>90.75</v>
      </c>
      <c r="Q7" s="21">
        <f t="shared" si="6"/>
        <v>0</v>
      </c>
      <c r="R7" s="21">
        <f t="shared" si="6"/>
        <v>90.75</v>
      </c>
      <c r="S7" s="21">
        <f t="shared" si="6"/>
        <v>0</v>
      </c>
      <c r="T7" s="21">
        <f t="shared" si="6"/>
        <v>90.75</v>
      </c>
      <c r="U7" s="21">
        <f t="shared" si="6"/>
        <v>0</v>
      </c>
      <c r="V7" s="21">
        <f t="shared" si="6"/>
        <v>90.75</v>
      </c>
      <c r="W7" s="21">
        <f t="shared" si="6"/>
        <v>0</v>
      </c>
      <c r="X7" s="21">
        <f t="shared" si="6"/>
        <v>90.75</v>
      </c>
      <c r="Y7" s="38">
        <f t="shared" si="2"/>
        <v>3.9028900739721317E-2</v>
      </c>
      <c r="Z7" s="21">
        <f t="shared" si="3"/>
        <v>453.75</v>
      </c>
    </row>
    <row r="8" spans="1:26" ht="15.75" customHeight="1" x14ac:dyDescent="0.4">
      <c r="A8" s="7">
        <v>5</v>
      </c>
      <c r="B8" s="8" t="s">
        <v>75</v>
      </c>
      <c r="C8" s="185" t="s">
        <v>87</v>
      </c>
      <c r="D8" s="9">
        <f>VLOOKUP(C8,'[1]PREÇO ATUAL'!$A:$D,4,0)</f>
        <v>219.9</v>
      </c>
      <c r="E8" s="10"/>
      <c r="F8" s="10"/>
      <c r="G8" s="10"/>
      <c r="H8" s="10"/>
      <c r="I8" s="11"/>
      <c r="J8" s="11">
        <v>1</v>
      </c>
      <c r="K8" s="11"/>
      <c r="L8" s="11"/>
      <c r="M8" s="11"/>
      <c r="N8" s="11"/>
      <c r="O8" s="13">
        <f t="shared" ref="O8:X8" si="7">$D8*E8</f>
        <v>0</v>
      </c>
      <c r="P8" s="13">
        <f t="shared" si="7"/>
        <v>0</v>
      </c>
      <c r="Q8" s="13">
        <f t="shared" si="7"/>
        <v>0</v>
      </c>
      <c r="R8" s="13">
        <f t="shared" si="7"/>
        <v>0</v>
      </c>
      <c r="S8" s="13">
        <f t="shared" si="7"/>
        <v>0</v>
      </c>
      <c r="T8" s="13">
        <f t="shared" si="7"/>
        <v>219.9</v>
      </c>
      <c r="U8" s="13">
        <f t="shared" si="7"/>
        <v>0</v>
      </c>
      <c r="V8" s="13">
        <f t="shared" si="7"/>
        <v>0</v>
      </c>
      <c r="W8" s="13">
        <f t="shared" si="7"/>
        <v>0</v>
      </c>
      <c r="X8" s="13">
        <f t="shared" si="7"/>
        <v>0</v>
      </c>
      <c r="Y8" s="37">
        <f t="shared" si="2"/>
        <v>1.8914501978324446E-2</v>
      </c>
      <c r="Z8" s="13">
        <f t="shared" si="3"/>
        <v>219.9</v>
      </c>
    </row>
    <row r="9" spans="1:26" ht="15.75" customHeight="1" x14ac:dyDescent="0.4">
      <c r="A9" s="15">
        <v>6</v>
      </c>
      <c r="B9" s="16" t="s">
        <v>63</v>
      </c>
      <c r="C9" s="186" t="s">
        <v>64</v>
      </c>
      <c r="D9" s="17">
        <f>VLOOKUP(C9,'[1]PREÇO ATUAL'!$A:$D,4,0)</f>
        <v>98.56222158238279</v>
      </c>
      <c r="E9" s="24">
        <v>4.3</v>
      </c>
      <c r="F9" s="24">
        <v>4.3</v>
      </c>
      <c r="G9" s="24">
        <v>4.3</v>
      </c>
      <c r="H9" s="24">
        <v>4.3</v>
      </c>
      <c r="I9" s="17">
        <v>4.3</v>
      </c>
      <c r="J9" s="17">
        <v>4.3</v>
      </c>
      <c r="K9" s="17">
        <v>4.3</v>
      </c>
      <c r="L9" s="17">
        <v>4.3</v>
      </c>
      <c r="M9" s="17">
        <v>4.3</v>
      </c>
      <c r="N9" s="17">
        <v>4.3</v>
      </c>
      <c r="O9" s="21">
        <f t="shared" ref="O9:X9" si="8">$D9*E9</f>
        <v>423.81755280424596</v>
      </c>
      <c r="P9" s="21">
        <f t="shared" si="8"/>
        <v>423.81755280424596</v>
      </c>
      <c r="Q9" s="21">
        <f t="shared" si="8"/>
        <v>423.81755280424596</v>
      </c>
      <c r="R9" s="21">
        <f t="shared" si="8"/>
        <v>423.81755280424596</v>
      </c>
      <c r="S9" s="21">
        <f t="shared" si="8"/>
        <v>423.81755280424596</v>
      </c>
      <c r="T9" s="21">
        <f t="shared" si="8"/>
        <v>423.81755280424596</v>
      </c>
      <c r="U9" s="21">
        <f t="shared" si="8"/>
        <v>423.81755280424596</v>
      </c>
      <c r="V9" s="21">
        <f t="shared" si="8"/>
        <v>423.81755280424596</v>
      </c>
      <c r="W9" s="21">
        <f t="shared" si="8"/>
        <v>423.81755280424596</v>
      </c>
      <c r="X9" s="21">
        <f t="shared" si="8"/>
        <v>423.81755280424596</v>
      </c>
      <c r="Y9" s="38">
        <f t="shared" si="2"/>
        <v>0.36454288044404443</v>
      </c>
      <c r="Z9" s="21">
        <f t="shared" si="3"/>
        <v>4238.1755280424604</v>
      </c>
    </row>
    <row r="10" spans="1:26" ht="15.75" customHeight="1" x14ac:dyDescent="0.4">
      <c r="A10" s="7">
        <v>7</v>
      </c>
      <c r="B10" s="8" t="s">
        <v>34</v>
      </c>
      <c r="C10" s="185" t="s">
        <v>35</v>
      </c>
      <c r="D10" s="9">
        <f>VLOOKUP(C10,'[1]PREÇO ATUAL'!$A:$D,4,0)</f>
        <v>33.622493083850472</v>
      </c>
      <c r="E10" s="10"/>
      <c r="F10" s="10"/>
      <c r="G10" s="10"/>
      <c r="H10" s="10"/>
      <c r="I10" s="11"/>
      <c r="J10" s="11"/>
      <c r="K10" s="11"/>
      <c r="L10" s="11"/>
      <c r="M10" s="11"/>
      <c r="N10" s="11"/>
      <c r="O10" s="13">
        <f t="shared" ref="O10:X10" si="9">$D10*E10</f>
        <v>0</v>
      </c>
      <c r="P10" s="13">
        <f t="shared" si="9"/>
        <v>0</v>
      </c>
      <c r="Q10" s="13">
        <f t="shared" si="9"/>
        <v>0</v>
      </c>
      <c r="R10" s="13">
        <f t="shared" si="9"/>
        <v>0</v>
      </c>
      <c r="S10" s="13">
        <f t="shared" si="9"/>
        <v>0</v>
      </c>
      <c r="T10" s="13">
        <f t="shared" si="9"/>
        <v>0</v>
      </c>
      <c r="U10" s="13">
        <f t="shared" si="9"/>
        <v>0</v>
      </c>
      <c r="V10" s="13">
        <f t="shared" si="9"/>
        <v>0</v>
      </c>
      <c r="W10" s="13">
        <f t="shared" si="9"/>
        <v>0</v>
      </c>
      <c r="X10" s="13">
        <f t="shared" si="9"/>
        <v>0</v>
      </c>
      <c r="Y10" s="37">
        <f t="shared" si="2"/>
        <v>0</v>
      </c>
      <c r="Z10" s="13">
        <f t="shared" si="3"/>
        <v>0</v>
      </c>
    </row>
    <row r="11" spans="1:26" ht="15.75" customHeight="1" x14ac:dyDescent="0.4">
      <c r="A11" s="15">
        <v>8</v>
      </c>
      <c r="B11" s="16" t="s">
        <v>38</v>
      </c>
      <c r="C11" s="186" t="s">
        <v>39</v>
      </c>
      <c r="D11" s="17">
        <f>VLOOKUP(C11,'[1]PREÇO ATUAL'!$A:$D,4,0)</f>
        <v>342</v>
      </c>
      <c r="E11" s="28">
        <v>1.25</v>
      </c>
      <c r="F11" s="28">
        <v>1.45</v>
      </c>
      <c r="G11" s="28">
        <v>1.5</v>
      </c>
      <c r="H11" s="28">
        <v>1.7</v>
      </c>
      <c r="I11" s="29">
        <v>1.3</v>
      </c>
      <c r="J11" s="29">
        <v>2.75</v>
      </c>
      <c r="K11" s="29">
        <v>1.25</v>
      </c>
      <c r="L11" s="29">
        <v>1.7</v>
      </c>
      <c r="M11" s="29">
        <v>1.5</v>
      </c>
      <c r="N11" s="29">
        <v>1.6</v>
      </c>
      <c r="O11" s="21">
        <f>D11*E11</f>
        <v>427.5</v>
      </c>
      <c r="P11" s="21">
        <f t="shared" ref="P11:X11" si="10">$D11*F11</f>
        <v>495.9</v>
      </c>
      <c r="Q11" s="21">
        <f t="shared" si="10"/>
        <v>513</v>
      </c>
      <c r="R11" s="21">
        <f t="shared" si="10"/>
        <v>581.4</v>
      </c>
      <c r="S11" s="21">
        <f t="shared" si="10"/>
        <v>444.6</v>
      </c>
      <c r="T11" s="21">
        <f t="shared" si="10"/>
        <v>940.5</v>
      </c>
      <c r="U11" s="21">
        <f t="shared" si="10"/>
        <v>427.5</v>
      </c>
      <c r="V11" s="21">
        <f t="shared" si="10"/>
        <v>581.4</v>
      </c>
      <c r="W11" s="21">
        <f t="shared" si="10"/>
        <v>513</v>
      </c>
      <c r="X11" s="21">
        <f t="shared" si="10"/>
        <v>547.20000000000005</v>
      </c>
      <c r="Y11" s="38">
        <f t="shared" si="2"/>
        <v>0.47066918974711852</v>
      </c>
      <c r="Z11" s="21">
        <f t="shared" si="3"/>
        <v>5472</v>
      </c>
    </row>
    <row r="12" spans="1:26" ht="15.75" customHeight="1" x14ac:dyDescent="0.4">
      <c r="H12" s="54"/>
    </row>
    <row r="13" spans="1:26" ht="15.75" customHeight="1" x14ac:dyDescent="0.4">
      <c r="H13" s="54"/>
    </row>
    <row r="14" spans="1:26" ht="15.75" customHeight="1" x14ac:dyDescent="0.4"/>
    <row r="15" spans="1:26" ht="15.75" customHeight="1" x14ac:dyDescent="0.4"/>
    <row r="16" spans="1:26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</sheetData>
  <mergeCells count="5">
    <mergeCell ref="A1:D2"/>
    <mergeCell ref="E1:N2"/>
    <mergeCell ref="O1:X1"/>
    <mergeCell ref="Y1:Z1"/>
    <mergeCell ref="Y2:Z2"/>
  </mergeCells>
  <pageMargins left="0.511811024" right="0.511811024" top="0.78740157499999996" bottom="0.78740157499999996" header="0" footer="0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10">
    <tabColor rgb="FF00FF00"/>
  </sheetPr>
  <dimension ref="A1:Z974"/>
  <sheetViews>
    <sheetView showGridLines="0" workbookViewId="0">
      <pane xSplit="4" topLeftCell="E1" activePane="topRight" state="frozen"/>
      <selection activeCell="B23" sqref="B23"/>
      <selection pane="topRight" activeCell="C4" sqref="C4:C12"/>
    </sheetView>
  </sheetViews>
  <sheetFormatPr defaultColWidth="14.3828125" defaultRowHeight="15" customHeight="1" x14ac:dyDescent="0.4"/>
  <cols>
    <col min="1" max="1" width="3.69140625" customWidth="1"/>
    <col min="2" max="2" width="44" customWidth="1"/>
    <col min="3" max="3" width="16.84375" customWidth="1"/>
    <col min="4" max="4" width="8.69140625" customWidth="1"/>
    <col min="5" max="5" width="5.3046875" customWidth="1"/>
    <col min="6" max="13" width="5.3828125" customWidth="1"/>
    <col min="14" max="14" width="5.53515625" customWidth="1"/>
    <col min="15" max="16" width="14.53515625" customWidth="1"/>
    <col min="17" max="17" width="15.69140625" bestFit="1" customWidth="1"/>
    <col min="18" max="23" width="15.69140625" customWidth="1"/>
    <col min="24" max="24" width="14.53515625" customWidth="1"/>
    <col min="25" max="25" width="13.69140625" customWidth="1"/>
    <col min="26" max="26" width="15.53515625" customWidth="1"/>
  </cols>
  <sheetData>
    <row r="1" spans="1:26" ht="15.75" customHeight="1" x14ac:dyDescent="0.4">
      <c r="A1" s="222" t="s">
        <v>88</v>
      </c>
      <c r="B1" s="223"/>
      <c r="C1" s="223"/>
      <c r="D1" s="234"/>
      <c r="E1" s="226" t="s">
        <v>3</v>
      </c>
      <c r="F1" s="223"/>
      <c r="G1" s="223"/>
      <c r="H1" s="223"/>
      <c r="I1" s="223"/>
      <c r="J1" s="223"/>
      <c r="K1" s="223"/>
      <c r="L1" s="223"/>
      <c r="M1" s="223"/>
      <c r="N1" s="234"/>
      <c r="O1" s="230" t="s">
        <v>4</v>
      </c>
      <c r="P1" s="237"/>
      <c r="Q1" s="237"/>
      <c r="R1" s="237"/>
      <c r="S1" s="237"/>
      <c r="T1" s="237"/>
      <c r="U1" s="237"/>
      <c r="V1" s="237"/>
      <c r="W1" s="237"/>
      <c r="X1" s="238"/>
      <c r="Y1" s="219" t="s">
        <v>5</v>
      </c>
      <c r="Z1" s="220"/>
    </row>
    <row r="2" spans="1:26" ht="15" customHeight="1" x14ac:dyDescent="0.4">
      <c r="A2" s="224"/>
      <c r="B2" s="225"/>
      <c r="C2" s="225"/>
      <c r="D2" s="235"/>
      <c r="E2" s="236"/>
      <c r="F2" s="225"/>
      <c r="G2" s="225"/>
      <c r="H2" s="225"/>
      <c r="I2" s="225"/>
      <c r="J2" s="225"/>
      <c r="K2" s="225"/>
      <c r="L2" s="225"/>
      <c r="M2" s="225"/>
      <c r="N2" s="235"/>
      <c r="O2" s="2">
        <f>MROUND(SUM(O4:O12),1)</f>
        <v>662</v>
      </c>
      <c r="P2" s="2">
        <f t="shared" ref="P2:X2" si="0">MROUND(SUM(P4:P12),1)</f>
        <v>853</v>
      </c>
      <c r="Q2" s="2">
        <f t="shared" si="0"/>
        <v>1267</v>
      </c>
      <c r="R2" s="2">
        <f t="shared" si="0"/>
        <v>973</v>
      </c>
      <c r="S2" s="2">
        <f t="shared" si="0"/>
        <v>714</v>
      </c>
      <c r="T2" s="2">
        <f t="shared" si="0"/>
        <v>2467</v>
      </c>
      <c r="U2" s="2">
        <f t="shared" si="0"/>
        <v>662</v>
      </c>
      <c r="V2" s="2">
        <f t="shared" si="0"/>
        <v>973</v>
      </c>
      <c r="W2" s="2">
        <f t="shared" si="0"/>
        <v>1267</v>
      </c>
      <c r="X2" s="2">
        <f t="shared" si="0"/>
        <v>922</v>
      </c>
      <c r="Y2" s="221">
        <f>SUM(O2:X2)</f>
        <v>10760</v>
      </c>
      <c r="Z2" s="220"/>
    </row>
    <row r="3" spans="1:26" ht="14.6" x14ac:dyDescent="0.4">
      <c r="A3" s="3" t="s">
        <v>6</v>
      </c>
      <c r="B3" s="3" t="s">
        <v>7</v>
      </c>
      <c r="C3" s="3" t="s">
        <v>8</v>
      </c>
      <c r="D3" s="4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18</v>
      </c>
      <c r="N3" s="5" t="s">
        <v>19</v>
      </c>
      <c r="O3" s="5">
        <v>10000</v>
      </c>
      <c r="P3" s="5">
        <v>20000</v>
      </c>
      <c r="Q3" s="5">
        <v>30000</v>
      </c>
      <c r="R3" s="5">
        <v>40000</v>
      </c>
      <c r="S3" s="5">
        <v>50000</v>
      </c>
      <c r="T3" s="5">
        <v>60000</v>
      </c>
      <c r="U3" s="5">
        <v>70000</v>
      </c>
      <c r="V3" s="5">
        <v>80000</v>
      </c>
      <c r="W3" s="5">
        <v>90000</v>
      </c>
      <c r="X3" s="5">
        <v>100000</v>
      </c>
      <c r="Y3" s="6" t="s">
        <v>20</v>
      </c>
      <c r="Z3" s="3" t="s">
        <v>21</v>
      </c>
    </row>
    <row r="4" spans="1:26" ht="14.6" x14ac:dyDescent="0.4">
      <c r="A4" s="7">
        <v>1</v>
      </c>
      <c r="B4" s="8" t="s">
        <v>89</v>
      </c>
      <c r="C4" s="185" t="s">
        <v>71</v>
      </c>
      <c r="D4" s="9">
        <f>VLOOKUP(C4,'[1]PREÇO ATUAL'!$A:$D,4,0)</f>
        <v>71.2</v>
      </c>
      <c r="E4" s="10">
        <v>1</v>
      </c>
      <c r="F4" s="10">
        <v>1</v>
      </c>
      <c r="G4" s="10">
        <v>1</v>
      </c>
      <c r="H4" s="10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2">
        <v>1</v>
      </c>
      <c r="O4" s="13">
        <f t="shared" ref="O4:X4" si="1">$D4*E4</f>
        <v>71.2</v>
      </c>
      <c r="P4" s="13">
        <f t="shared" si="1"/>
        <v>71.2</v>
      </c>
      <c r="Q4" s="13">
        <f t="shared" si="1"/>
        <v>71.2</v>
      </c>
      <c r="R4" s="13">
        <f t="shared" si="1"/>
        <v>71.2</v>
      </c>
      <c r="S4" s="13">
        <f t="shared" si="1"/>
        <v>71.2</v>
      </c>
      <c r="T4" s="13">
        <f t="shared" si="1"/>
        <v>71.2</v>
      </c>
      <c r="U4" s="13">
        <f t="shared" si="1"/>
        <v>71.2</v>
      </c>
      <c r="V4" s="13">
        <f t="shared" si="1"/>
        <v>71.2</v>
      </c>
      <c r="W4" s="13">
        <f t="shared" si="1"/>
        <v>71.2</v>
      </c>
      <c r="X4" s="26">
        <f t="shared" si="1"/>
        <v>71.2</v>
      </c>
      <c r="Y4" s="37">
        <f t="shared" ref="Y4:Y12" si="2">Z4/$Y$2</f>
        <v>6.6171003717472129E-2</v>
      </c>
      <c r="Z4" s="13">
        <f t="shared" ref="Z4:Z12" si="3">SUM(O4:X4)</f>
        <v>712.00000000000011</v>
      </c>
    </row>
    <row r="5" spans="1:26" ht="14.6" x14ac:dyDescent="0.4">
      <c r="A5" s="15">
        <v>2</v>
      </c>
      <c r="B5" s="16" t="s">
        <v>24</v>
      </c>
      <c r="C5" s="186" t="s">
        <v>25</v>
      </c>
      <c r="D5" s="17">
        <f>VLOOKUP(C5,'[1]PREÇO ATUAL'!$A:$D,4,0)</f>
        <v>35.9</v>
      </c>
      <c r="E5" s="18"/>
      <c r="F5" s="18">
        <v>1</v>
      </c>
      <c r="G5" s="18"/>
      <c r="H5" s="18">
        <v>1</v>
      </c>
      <c r="I5" s="19"/>
      <c r="J5" s="19">
        <v>1</v>
      </c>
      <c r="K5" s="19"/>
      <c r="L5" s="19">
        <v>1</v>
      </c>
      <c r="M5" s="19"/>
      <c r="N5" s="20">
        <v>1</v>
      </c>
      <c r="O5" s="21">
        <f t="shared" ref="O5:X5" si="4">$D5*E5</f>
        <v>0</v>
      </c>
      <c r="P5" s="21">
        <f t="shared" si="4"/>
        <v>35.9</v>
      </c>
      <c r="Q5" s="21">
        <f t="shared" si="4"/>
        <v>0</v>
      </c>
      <c r="R5" s="21">
        <f t="shared" si="4"/>
        <v>35.9</v>
      </c>
      <c r="S5" s="21">
        <f t="shared" si="4"/>
        <v>0</v>
      </c>
      <c r="T5" s="21">
        <f t="shared" si="4"/>
        <v>35.9</v>
      </c>
      <c r="U5" s="21">
        <f t="shared" si="4"/>
        <v>0</v>
      </c>
      <c r="V5" s="21">
        <f t="shared" si="4"/>
        <v>35.9</v>
      </c>
      <c r="W5" s="21">
        <f t="shared" si="4"/>
        <v>0</v>
      </c>
      <c r="X5" s="27">
        <f t="shared" si="4"/>
        <v>35.9</v>
      </c>
      <c r="Y5" s="38">
        <f t="shared" si="2"/>
        <v>1.6682156133828997E-2</v>
      </c>
      <c r="Z5" s="21">
        <f t="shared" si="3"/>
        <v>179.5</v>
      </c>
    </row>
    <row r="6" spans="1:26" ht="14.6" x14ac:dyDescent="0.4">
      <c r="A6" s="7">
        <v>3</v>
      </c>
      <c r="B6" s="8" t="s">
        <v>90</v>
      </c>
      <c r="C6" s="185" t="s">
        <v>74</v>
      </c>
      <c r="D6" s="9">
        <f>VLOOKUP(C6,'[1]PREÇO ATUAL'!$A:$D,4,0)</f>
        <v>86.9</v>
      </c>
      <c r="E6" s="10"/>
      <c r="F6" s="10">
        <v>1</v>
      </c>
      <c r="G6" s="10"/>
      <c r="H6" s="10">
        <v>1</v>
      </c>
      <c r="I6" s="11"/>
      <c r="J6" s="11">
        <v>1</v>
      </c>
      <c r="K6" s="11"/>
      <c r="L6" s="11">
        <v>1</v>
      </c>
      <c r="M6" s="11"/>
      <c r="N6" s="12">
        <v>1</v>
      </c>
      <c r="O6" s="13">
        <f t="shared" ref="O6:X6" si="5">$D6*E6</f>
        <v>0</v>
      </c>
      <c r="P6" s="13">
        <f t="shared" si="5"/>
        <v>86.9</v>
      </c>
      <c r="Q6" s="13">
        <f t="shared" si="5"/>
        <v>0</v>
      </c>
      <c r="R6" s="13">
        <f t="shared" si="5"/>
        <v>86.9</v>
      </c>
      <c r="S6" s="13">
        <f t="shared" si="5"/>
        <v>0</v>
      </c>
      <c r="T6" s="13">
        <f t="shared" si="5"/>
        <v>86.9</v>
      </c>
      <c r="U6" s="13">
        <f t="shared" si="5"/>
        <v>0</v>
      </c>
      <c r="V6" s="13">
        <f t="shared" si="5"/>
        <v>86.9</v>
      </c>
      <c r="W6" s="13">
        <f t="shared" si="5"/>
        <v>0</v>
      </c>
      <c r="X6" s="26">
        <f t="shared" si="5"/>
        <v>86.9</v>
      </c>
      <c r="Y6" s="37">
        <f t="shared" si="2"/>
        <v>4.0381040892193305E-2</v>
      </c>
      <c r="Z6" s="13">
        <f t="shared" si="3"/>
        <v>434.5</v>
      </c>
    </row>
    <row r="7" spans="1:26" ht="14.6" x14ac:dyDescent="0.4">
      <c r="A7" s="15">
        <v>4</v>
      </c>
      <c r="B7" s="16" t="s">
        <v>59</v>
      </c>
      <c r="C7" s="186" t="s">
        <v>85</v>
      </c>
      <c r="D7" s="17">
        <f>VLOOKUP(C7,'[1]PREÇO ATUAL'!$A:$D,4,0)</f>
        <v>52.9</v>
      </c>
      <c r="E7" s="18"/>
      <c r="F7" s="18"/>
      <c r="G7" s="18">
        <v>4</v>
      </c>
      <c r="H7" s="18"/>
      <c r="I7" s="19"/>
      <c r="J7" s="19">
        <v>4</v>
      </c>
      <c r="K7" s="19"/>
      <c r="L7" s="19"/>
      <c r="M7" s="19">
        <v>4</v>
      </c>
      <c r="N7" s="20"/>
      <c r="O7" s="21">
        <f t="shared" ref="O7:X7" si="6">$D7*E7</f>
        <v>0</v>
      </c>
      <c r="P7" s="21">
        <f t="shared" si="6"/>
        <v>0</v>
      </c>
      <c r="Q7" s="21">
        <f t="shared" si="6"/>
        <v>211.6</v>
      </c>
      <c r="R7" s="21">
        <f t="shared" si="6"/>
        <v>0</v>
      </c>
      <c r="S7" s="21">
        <f t="shared" si="6"/>
        <v>0</v>
      </c>
      <c r="T7" s="21">
        <f t="shared" si="6"/>
        <v>211.6</v>
      </c>
      <c r="U7" s="21">
        <f t="shared" si="6"/>
        <v>0</v>
      </c>
      <c r="V7" s="21">
        <f t="shared" si="6"/>
        <v>0</v>
      </c>
      <c r="W7" s="21">
        <f t="shared" si="6"/>
        <v>211.6</v>
      </c>
      <c r="X7" s="27">
        <f t="shared" si="6"/>
        <v>0</v>
      </c>
      <c r="Y7" s="38">
        <f t="shared" si="2"/>
        <v>5.8996282527881035E-2</v>
      </c>
      <c r="Z7" s="21">
        <f t="shared" si="3"/>
        <v>634.79999999999995</v>
      </c>
    </row>
    <row r="8" spans="1:26" ht="14.6" x14ac:dyDescent="0.4">
      <c r="A8" s="7">
        <v>5</v>
      </c>
      <c r="B8" s="8" t="s">
        <v>91</v>
      </c>
      <c r="C8" s="185" t="s">
        <v>92</v>
      </c>
      <c r="D8" s="9">
        <f>VLOOKUP(C8,'[1]PREÇO ATUAL'!$A:$D,4,0)</f>
        <v>110.87</v>
      </c>
      <c r="E8" s="10"/>
      <c r="F8" s="10"/>
      <c r="G8" s="10"/>
      <c r="H8" s="10"/>
      <c r="I8" s="11"/>
      <c r="J8" s="11">
        <v>1</v>
      </c>
      <c r="K8" s="11"/>
      <c r="L8" s="11"/>
      <c r="M8" s="11"/>
      <c r="N8" s="12"/>
      <c r="O8" s="13">
        <f t="shared" ref="O8:X8" si="7">$D8*E8</f>
        <v>0</v>
      </c>
      <c r="P8" s="13">
        <f t="shared" si="7"/>
        <v>0</v>
      </c>
      <c r="Q8" s="13">
        <f t="shared" si="7"/>
        <v>0</v>
      </c>
      <c r="R8" s="13">
        <f t="shared" si="7"/>
        <v>0</v>
      </c>
      <c r="S8" s="13">
        <f t="shared" si="7"/>
        <v>0</v>
      </c>
      <c r="T8" s="13">
        <f t="shared" si="7"/>
        <v>110.87</v>
      </c>
      <c r="U8" s="13">
        <f t="shared" si="7"/>
        <v>0</v>
      </c>
      <c r="V8" s="13">
        <f t="shared" si="7"/>
        <v>0</v>
      </c>
      <c r="W8" s="13">
        <f t="shared" si="7"/>
        <v>0</v>
      </c>
      <c r="X8" s="26">
        <f t="shared" si="7"/>
        <v>0</v>
      </c>
      <c r="Y8" s="37">
        <f t="shared" si="2"/>
        <v>1.0303903345724907E-2</v>
      </c>
      <c r="Z8" s="13">
        <f t="shared" si="3"/>
        <v>110.87</v>
      </c>
    </row>
    <row r="9" spans="1:26" ht="14.6" x14ac:dyDescent="0.4">
      <c r="A9" s="15">
        <v>6</v>
      </c>
      <c r="B9" s="16" t="s">
        <v>93</v>
      </c>
      <c r="C9" s="186" t="s">
        <v>69</v>
      </c>
      <c r="D9" s="17">
        <f>VLOOKUP(C9,'[1]PREÇO ATUAL'!$A:$D,4,0)</f>
        <v>145.9</v>
      </c>
      <c r="E9" s="18"/>
      <c r="F9" s="18"/>
      <c r="G9" s="18"/>
      <c r="H9" s="18"/>
      <c r="I9" s="19"/>
      <c r="J9" s="19">
        <v>1</v>
      </c>
      <c r="K9" s="19"/>
      <c r="L9" s="19"/>
      <c r="M9" s="19"/>
      <c r="N9" s="20"/>
      <c r="O9" s="21">
        <f t="shared" ref="O9:X9" si="8">$D9*E9</f>
        <v>0</v>
      </c>
      <c r="P9" s="21">
        <f t="shared" si="8"/>
        <v>0</v>
      </c>
      <c r="Q9" s="21">
        <f t="shared" si="8"/>
        <v>0</v>
      </c>
      <c r="R9" s="21">
        <f t="shared" si="8"/>
        <v>0</v>
      </c>
      <c r="S9" s="21">
        <f t="shared" si="8"/>
        <v>0</v>
      </c>
      <c r="T9" s="21">
        <f t="shared" si="8"/>
        <v>145.9</v>
      </c>
      <c r="U9" s="21">
        <f t="shared" si="8"/>
        <v>0</v>
      </c>
      <c r="V9" s="21">
        <f t="shared" si="8"/>
        <v>0</v>
      </c>
      <c r="W9" s="21">
        <f t="shared" si="8"/>
        <v>0</v>
      </c>
      <c r="X9" s="27">
        <f t="shared" si="8"/>
        <v>0</v>
      </c>
      <c r="Y9" s="38">
        <f t="shared" si="2"/>
        <v>1.3559479553903346E-2</v>
      </c>
      <c r="Z9" s="21">
        <f t="shared" si="3"/>
        <v>145.9</v>
      </c>
    </row>
    <row r="10" spans="1:26" ht="14.6" x14ac:dyDescent="0.4">
      <c r="A10" s="7">
        <v>7</v>
      </c>
      <c r="B10" s="8" t="s">
        <v>63</v>
      </c>
      <c r="C10" s="185" t="s">
        <v>64</v>
      </c>
      <c r="D10" s="9">
        <f>VLOOKUP(C10,'[1]PREÇO ATUAL'!$A:$D,4,0)</f>
        <v>98.56222158238279</v>
      </c>
      <c r="E10" s="23">
        <v>2.7</v>
      </c>
      <c r="F10" s="23">
        <v>2.7</v>
      </c>
      <c r="G10" s="23">
        <v>2.7</v>
      </c>
      <c r="H10" s="23">
        <v>2.7</v>
      </c>
      <c r="I10" s="9">
        <v>2.7</v>
      </c>
      <c r="J10" s="9">
        <v>2.7</v>
      </c>
      <c r="K10" s="9">
        <v>2.7</v>
      </c>
      <c r="L10" s="9">
        <v>2.7</v>
      </c>
      <c r="M10" s="9">
        <v>2.7</v>
      </c>
      <c r="N10" s="9">
        <v>2.7</v>
      </c>
      <c r="O10" s="13">
        <f t="shared" ref="O10:X10" si="9">$D10*E10</f>
        <v>266.11799827243357</v>
      </c>
      <c r="P10" s="13">
        <f t="shared" si="9"/>
        <v>266.11799827243357</v>
      </c>
      <c r="Q10" s="13">
        <f t="shared" si="9"/>
        <v>266.11799827243357</v>
      </c>
      <c r="R10" s="13">
        <f t="shared" si="9"/>
        <v>266.11799827243357</v>
      </c>
      <c r="S10" s="13">
        <f t="shared" si="9"/>
        <v>266.11799827243357</v>
      </c>
      <c r="T10" s="13">
        <f t="shared" si="9"/>
        <v>266.11799827243357</v>
      </c>
      <c r="U10" s="13">
        <f t="shared" si="9"/>
        <v>266.11799827243357</v>
      </c>
      <c r="V10" s="13">
        <f t="shared" si="9"/>
        <v>266.11799827243357</v>
      </c>
      <c r="W10" s="13">
        <f t="shared" si="9"/>
        <v>266.11799827243357</v>
      </c>
      <c r="X10" s="26">
        <f t="shared" si="9"/>
        <v>266.11799827243357</v>
      </c>
      <c r="Y10" s="37">
        <f t="shared" si="2"/>
        <v>0.24732155973274492</v>
      </c>
      <c r="Z10" s="13">
        <f t="shared" si="3"/>
        <v>2661.1799827243353</v>
      </c>
    </row>
    <row r="11" spans="1:26" ht="14.6" x14ac:dyDescent="0.4">
      <c r="A11" s="15">
        <v>8</v>
      </c>
      <c r="B11" s="16" t="s">
        <v>34</v>
      </c>
      <c r="C11" s="186" t="s">
        <v>35</v>
      </c>
      <c r="D11" s="17">
        <f>VLOOKUP(C11,'[1]PREÇO ATUAL'!$A:$D,4,0)</f>
        <v>33.622493083850472</v>
      </c>
      <c r="E11" s="40"/>
      <c r="F11" s="40"/>
      <c r="G11" s="40"/>
      <c r="H11" s="41"/>
      <c r="I11" s="42"/>
      <c r="J11" s="42"/>
      <c r="K11" s="42"/>
      <c r="L11" s="43"/>
      <c r="M11" s="42"/>
      <c r="N11" s="44"/>
      <c r="O11" s="21">
        <f t="shared" ref="O11:X11" si="10">$D11*E11</f>
        <v>0</v>
      </c>
      <c r="P11" s="21">
        <f t="shared" si="10"/>
        <v>0</v>
      </c>
      <c r="Q11" s="21">
        <f t="shared" si="10"/>
        <v>0</v>
      </c>
      <c r="R11" s="21">
        <f t="shared" si="10"/>
        <v>0</v>
      </c>
      <c r="S11" s="21">
        <f t="shared" si="10"/>
        <v>0</v>
      </c>
      <c r="T11" s="21">
        <f t="shared" si="10"/>
        <v>0</v>
      </c>
      <c r="U11" s="21">
        <f t="shared" si="10"/>
        <v>0</v>
      </c>
      <c r="V11" s="21">
        <f t="shared" si="10"/>
        <v>0</v>
      </c>
      <c r="W11" s="21">
        <f t="shared" si="10"/>
        <v>0</v>
      </c>
      <c r="X11" s="27">
        <f t="shared" si="10"/>
        <v>0</v>
      </c>
      <c r="Y11" s="38">
        <f t="shared" si="2"/>
        <v>0</v>
      </c>
      <c r="Z11" s="21">
        <f t="shared" si="3"/>
        <v>0</v>
      </c>
    </row>
    <row r="12" spans="1:26" ht="14.6" x14ac:dyDescent="0.4">
      <c r="A12" s="7">
        <v>9</v>
      </c>
      <c r="B12" s="8" t="s">
        <v>38</v>
      </c>
      <c r="C12" s="185" t="s">
        <v>39</v>
      </c>
      <c r="D12" s="9">
        <f>VLOOKUP(C12,'[1]PREÇO ATUAL'!$A:$D,4,0)</f>
        <v>342</v>
      </c>
      <c r="E12" s="45">
        <v>0.95</v>
      </c>
      <c r="F12" s="45">
        <v>1.1499999999999999</v>
      </c>
      <c r="G12" s="45">
        <v>2.1</v>
      </c>
      <c r="H12" s="45">
        <v>1.5</v>
      </c>
      <c r="I12" s="46">
        <v>1.1000000000000001</v>
      </c>
      <c r="J12" s="46">
        <v>4.5</v>
      </c>
      <c r="K12" s="46">
        <v>0.95</v>
      </c>
      <c r="L12" s="46">
        <v>1.5</v>
      </c>
      <c r="M12" s="46">
        <v>2.1</v>
      </c>
      <c r="N12" s="47">
        <v>1.35</v>
      </c>
      <c r="O12" s="13">
        <f>D12*E12</f>
        <v>324.89999999999998</v>
      </c>
      <c r="P12" s="13">
        <f t="shared" ref="P12:X12" si="11">$D12*F12</f>
        <v>393.29999999999995</v>
      </c>
      <c r="Q12" s="13">
        <f t="shared" si="11"/>
        <v>718.2</v>
      </c>
      <c r="R12" s="13">
        <f t="shared" si="11"/>
        <v>513</v>
      </c>
      <c r="S12" s="13">
        <f t="shared" si="11"/>
        <v>376.20000000000005</v>
      </c>
      <c r="T12" s="13">
        <f t="shared" si="11"/>
        <v>1539</v>
      </c>
      <c r="U12" s="13">
        <f t="shared" si="11"/>
        <v>324.89999999999998</v>
      </c>
      <c r="V12" s="13">
        <f t="shared" si="11"/>
        <v>513</v>
      </c>
      <c r="W12" s="13">
        <f t="shared" si="11"/>
        <v>718.2</v>
      </c>
      <c r="X12" s="26">
        <f t="shared" si="11"/>
        <v>461.70000000000005</v>
      </c>
      <c r="Y12" s="37">
        <f t="shared" si="2"/>
        <v>0.54669144981412632</v>
      </c>
      <c r="Z12" s="13">
        <f t="shared" si="3"/>
        <v>5882.4</v>
      </c>
    </row>
    <row r="13" spans="1:26" ht="14.6" x14ac:dyDescent="0.4">
      <c r="H13" s="54"/>
    </row>
    <row r="14" spans="1:26" ht="15.75" customHeight="1" x14ac:dyDescent="0.4"/>
    <row r="15" spans="1:26" ht="15.75" customHeight="1" x14ac:dyDescent="0.4"/>
    <row r="16" spans="1:26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</sheetData>
  <mergeCells count="5">
    <mergeCell ref="A1:D2"/>
    <mergeCell ref="E1:N2"/>
    <mergeCell ref="O1:X1"/>
    <mergeCell ref="Y1:Z1"/>
    <mergeCell ref="Y2:Z2"/>
  </mergeCells>
  <pageMargins left="0.511811024" right="0.511811024" top="0.78740157499999996" bottom="0.78740157499999996" header="0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1">
    <tabColor rgb="FF00FF00"/>
  </sheetPr>
  <dimension ref="A1:Z973"/>
  <sheetViews>
    <sheetView showGridLines="0" workbookViewId="0">
      <pane xSplit="4" topLeftCell="E1" activePane="topRight" state="frozen"/>
      <selection activeCell="B23" sqref="B23"/>
      <selection pane="topRight" activeCell="C4" sqref="C4:C12"/>
    </sheetView>
  </sheetViews>
  <sheetFormatPr defaultColWidth="14.3828125" defaultRowHeight="15" customHeight="1" x14ac:dyDescent="0.4"/>
  <cols>
    <col min="1" max="1" width="3.69140625" customWidth="1"/>
    <col min="2" max="2" width="44" customWidth="1"/>
    <col min="3" max="3" width="16.84375" customWidth="1"/>
    <col min="4" max="4" width="8.69140625" customWidth="1"/>
    <col min="5" max="5" width="5.3046875" customWidth="1"/>
    <col min="6" max="13" width="5.3828125" customWidth="1"/>
    <col min="14" max="14" width="5.53515625" customWidth="1"/>
    <col min="15" max="16" width="14.53515625" customWidth="1"/>
    <col min="17" max="17" width="15.69140625" bestFit="1" customWidth="1"/>
    <col min="18" max="23" width="15.69140625" customWidth="1"/>
    <col min="24" max="24" width="14.53515625" customWidth="1"/>
    <col min="25" max="25" width="13.69140625" customWidth="1"/>
    <col min="26" max="26" width="15.53515625" customWidth="1"/>
  </cols>
  <sheetData>
    <row r="1" spans="1:26" ht="15.75" customHeight="1" x14ac:dyDescent="0.4">
      <c r="A1" s="222" t="s">
        <v>94</v>
      </c>
      <c r="B1" s="223"/>
      <c r="C1" s="223"/>
      <c r="D1" s="234"/>
      <c r="E1" s="226" t="s">
        <v>3</v>
      </c>
      <c r="F1" s="223"/>
      <c r="G1" s="223"/>
      <c r="H1" s="223"/>
      <c r="I1" s="223"/>
      <c r="J1" s="223"/>
      <c r="K1" s="223"/>
      <c r="L1" s="223"/>
      <c r="M1" s="223"/>
      <c r="N1" s="234"/>
      <c r="O1" s="230" t="s">
        <v>4</v>
      </c>
      <c r="P1" s="237"/>
      <c r="Q1" s="237"/>
      <c r="R1" s="237"/>
      <c r="S1" s="237"/>
      <c r="T1" s="237"/>
      <c r="U1" s="237"/>
      <c r="V1" s="237"/>
      <c r="W1" s="237"/>
      <c r="X1" s="238"/>
      <c r="Y1" s="219" t="s">
        <v>5</v>
      </c>
      <c r="Z1" s="220"/>
    </row>
    <row r="2" spans="1:26" ht="15" customHeight="1" x14ac:dyDescent="0.4">
      <c r="A2" s="224"/>
      <c r="B2" s="225"/>
      <c r="C2" s="225"/>
      <c r="D2" s="235"/>
      <c r="E2" s="236"/>
      <c r="F2" s="225"/>
      <c r="G2" s="225"/>
      <c r="H2" s="225"/>
      <c r="I2" s="225"/>
      <c r="J2" s="225"/>
      <c r="K2" s="225"/>
      <c r="L2" s="225"/>
      <c r="M2" s="225"/>
      <c r="N2" s="235"/>
      <c r="O2" s="2">
        <f>MROUND(SUM(O4:O12),1)</f>
        <v>662</v>
      </c>
      <c r="P2" s="2">
        <f t="shared" ref="P2:X2" si="0">MROUND(SUM(P4:P12),1)</f>
        <v>853</v>
      </c>
      <c r="Q2" s="2">
        <f t="shared" si="0"/>
        <v>1227</v>
      </c>
      <c r="R2" s="2">
        <f t="shared" si="0"/>
        <v>973</v>
      </c>
      <c r="S2" s="2">
        <f t="shared" si="0"/>
        <v>714</v>
      </c>
      <c r="T2" s="2">
        <f t="shared" si="0"/>
        <v>2457</v>
      </c>
      <c r="U2" s="2">
        <f t="shared" si="0"/>
        <v>662</v>
      </c>
      <c r="V2" s="2">
        <f t="shared" si="0"/>
        <v>973</v>
      </c>
      <c r="W2" s="2">
        <f t="shared" si="0"/>
        <v>1227</v>
      </c>
      <c r="X2" s="2">
        <f t="shared" si="0"/>
        <v>922</v>
      </c>
      <c r="Y2" s="221">
        <f>SUM(O2:X2)</f>
        <v>10670</v>
      </c>
      <c r="Z2" s="220"/>
    </row>
    <row r="3" spans="1:26" ht="14.6" x14ac:dyDescent="0.4">
      <c r="A3" s="3" t="s">
        <v>6</v>
      </c>
      <c r="B3" s="3" t="s">
        <v>7</v>
      </c>
      <c r="C3" s="3" t="s">
        <v>8</v>
      </c>
      <c r="D3" s="4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18</v>
      </c>
      <c r="N3" s="5" t="s">
        <v>19</v>
      </c>
      <c r="O3" s="5">
        <v>10000</v>
      </c>
      <c r="P3" s="5">
        <v>20000</v>
      </c>
      <c r="Q3" s="5">
        <v>30000</v>
      </c>
      <c r="R3" s="5">
        <v>40000</v>
      </c>
      <c r="S3" s="5">
        <v>50000</v>
      </c>
      <c r="T3" s="5">
        <v>60000</v>
      </c>
      <c r="U3" s="5">
        <v>70000</v>
      </c>
      <c r="V3" s="5">
        <v>80000</v>
      </c>
      <c r="W3" s="5">
        <v>90000</v>
      </c>
      <c r="X3" s="5">
        <v>100000</v>
      </c>
      <c r="Y3" s="6" t="s">
        <v>20</v>
      </c>
      <c r="Z3" s="3" t="s">
        <v>21</v>
      </c>
    </row>
    <row r="4" spans="1:26" ht="14.6" x14ac:dyDescent="0.4">
      <c r="A4" s="7">
        <v>1</v>
      </c>
      <c r="B4" s="8" t="s">
        <v>66</v>
      </c>
      <c r="C4" s="185" t="s">
        <v>95</v>
      </c>
      <c r="D4" s="9">
        <f>VLOOKUP(C4,'[1]PREÇO ATUAL'!$A:$D,4,0)</f>
        <v>42.9</v>
      </c>
      <c r="E4" s="10"/>
      <c r="F4" s="10"/>
      <c r="G4" s="10">
        <v>4</v>
      </c>
      <c r="H4" s="10"/>
      <c r="I4" s="11"/>
      <c r="J4" s="11">
        <v>4</v>
      </c>
      <c r="K4" s="11"/>
      <c r="L4" s="11"/>
      <c r="M4" s="11">
        <v>4</v>
      </c>
      <c r="N4" s="12"/>
      <c r="O4" s="13">
        <f t="shared" ref="O4:X4" si="1">$D4*E4</f>
        <v>0</v>
      </c>
      <c r="P4" s="13">
        <f t="shared" si="1"/>
        <v>0</v>
      </c>
      <c r="Q4" s="13">
        <f t="shared" si="1"/>
        <v>171.6</v>
      </c>
      <c r="R4" s="13">
        <f t="shared" si="1"/>
        <v>0</v>
      </c>
      <c r="S4" s="13">
        <f t="shared" si="1"/>
        <v>0</v>
      </c>
      <c r="T4" s="13">
        <f t="shared" si="1"/>
        <v>171.6</v>
      </c>
      <c r="U4" s="13">
        <f t="shared" si="1"/>
        <v>0</v>
      </c>
      <c r="V4" s="13">
        <f t="shared" si="1"/>
        <v>0</v>
      </c>
      <c r="W4" s="13">
        <f t="shared" si="1"/>
        <v>171.6</v>
      </c>
      <c r="X4" s="26">
        <f t="shared" si="1"/>
        <v>0</v>
      </c>
      <c r="Y4" s="37">
        <f t="shared" ref="Y4:Y12" si="2">Z4/$Y$2</f>
        <v>4.8247422680412363E-2</v>
      </c>
      <c r="Z4" s="13">
        <f t="shared" ref="Z4:Z12" si="3">SUM(O4:X4)</f>
        <v>514.79999999999995</v>
      </c>
    </row>
    <row r="5" spans="1:26" ht="14.6" x14ac:dyDescent="0.4">
      <c r="A5" s="15">
        <v>2</v>
      </c>
      <c r="B5" s="16" t="s">
        <v>70</v>
      </c>
      <c r="C5" s="186" t="s">
        <v>71</v>
      </c>
      <c r="D5" s="17">
        <f>VLOOKUP(C5,'[1]PREÇO ATUAL'!$A:$D,4,0)</f>
        <v>71.2</v>
      </c>
      <c r="E5" s="18">
        <v>1</v>
      </c>
      <c r="F5" s="18">
        <v>1</v>
      </c>
      <c r="G5" s="18">
        <v>1</v>
      </c>
      <c r="H5" s="18">
        <v>1</v>
      </c>
      <c r="I5" s="19">
        <v>1</v>
      </c>
      <c r="J5" s="19">
        <v>1</v>
      </c>
      <c r="K5" s="19">
        <v>1</v>
      </c>
      <c r="L5" s="19">
        <v>1</v>
      </c>
      <c r="M5" s="19">
        <v>1</v>
      </c>
      <c r="N5" s="20">
        <v>1</v>
      </c>
      <c r="O5" s="21">
        <f t="shared" ref="O5:X5" si="4">$D5*E5</f>
        <v>71.2</v>
      </c>
      <c r="P5" s="21">
        <f t="shared" si="4"/>
        <v>71.2</v>
      </c>
      <c r="Q5" s="21">
        <f t="shared" si="4"/>
        <v>71.2</v>
      </c>
      <c r="R5" s="21">
        <f t="shared" si="4"/>
        <v>71.2</v>
      </c>
      <c r="S5" s="21">
        <f t="shared" si="4"/>
        <v>71.2</v>
      </c>
      <c r="T5" s="21">
        <f t="shared" si="4"/>
        <v>71.2</v>
      </c>
      <c r="U5" s="21">
        <f t="shared" si="4"/>
        <v>71.2</v>
      </c>
      <c r="V5" s="21">
        <f t="shared" si="4"/>
        <v>71.2</v>
      </c>
      <c r="W5" s="21">
        <f t="shared" si="4"/>
        <v>71.2</v>
      </c>
      <c r="X5" s="27">
        <f t="shared" si="4"/>
        <v>71.2</v>
      </c>
      <c r="Y5" s="38">
        <f t="shared" si="2"/>
        <v>6.6729147141518286E-2</v>
      </c>
      <c r="Z5" s="21">
        <f t="shared" si="3"/>
        <v>712.00000000000011</v>
      </c>
    </row>
    <row r="6" spans="1:26" ht="14.6" x14ac:dyDescent="0.4">
      <c r="A6" s="7">
        <v>3</v>
      </c>
      <c r="B6" s="8" t="s">
        <v>72</v>
      </c>
      <c r="C6" s="185" t="s">
        <v>25</v>
      </c>
      <c r="D6" s="9">
        <f>VLOOKUP(C6,'[1]PREÇO ATUAL'!$A:$D,4,0)</f>
        <v>35.9</v>
      </c>
      <c r="E6" s="10"/>
      <c r="F6" s="10">
        <v>1</v>
      </c>
      <c r="G6" s="10"/>
      <c r="H6" s="10">
        <v>1</v>
      </c>
      <c r="I6" s="11"/>
      <c r="J6" s="11">
        <v>1</v>
      </c>
      <c r="K6" s="11"/>
      <c r="L6" s="11">
        <v>1</v>
      </c>
      <c r="M6" s="11"/>
      <c r="N6" s="12">
        <v>1</v>
      </c>
      <c r="O6" s="13">
        <f t="shared" ref="O6:X6" si="5">$D6*E6</f>
        <v>0</v>
      </c>
      <c r="P6" s="13">
        <f t="shared" si="5"/>
        <v>35.9</v>
      </c>
      <c r="Q6" s="13">
        <f t="shared" si="5"/>
        <v>0</v>
      </c>
      <c r="R6" s="13">
        <f t="shared" si="5"/>
        <v>35.9</v>
      </c>
      <c r="S6" s="13">
        <f t="shared" si="5"/>
        <v>0</v>
      </c>
      <c r="T6" s="13">
        <f t="shared" si="5"/>
        <v>35.9</v>
      </c>
      <c r="U6" s="13">
        <f t="shared" si="5"/>
        <v>0</v>
      </c>
      <c r="V6" s="13">
        <f t="shared" si="5"/>
        <v>35.9</v>
      </c>
      <c r="W6" s="13">
        <f t="shared" si="5"/>
        <v>0</v>
      </c>
      <c r="X6" s="26">
        <f t="shared" si="5"/>
        <v>35.9</v>
      </c>
      <c r="Y6" s="37">
        <f t="shared" si="2"/>
        <v>1.6822867853795689E-2</v>
      </c>
      <c r="Z6" s="13">
        <f t="shared" si="3"/>
        <v>179.5</v>
      </c>
    </row>
    <row r="7" spans="1:26" ht="15.75" customHeight="1" x14ac:dyDescent="0.4">
      <c r="A7" s="15">
        <v>4</v>
      </c>
      <c r="B7" s="16" t="s">
        <v>73</v>
      </c>
      <c r="C7" s="186" t="s">
        <v>74</v>
      </c>
      <c r="D7" s="17">
        <f>VLOOKUP(C7,'[1]PREÇO ATUAL'!$A:$D,4,0)</f>
        <v>86.9</v>
      </c>
      <c r="E7" s="18"/>
      <c r="F7" s="18">
        <v>1</v>
      </c>
      <c r="G7" s="18"/>
      <c r="H7" s="18">
        <v>1</v>
      </c>
      <c r="I7" s="19"/>
      <c r="J7" s="19">
        <v>1</v>
      </c>
      <c r="K7" s="19"/>
      <c r="L7" s="19">
        <v>1</v>
      </c>
      <c r="M7" s="19"/>
      <c r="N7" s="20">
        <v>1</v>
      </c>
      <c r="O7" s="21">
        <f t="shared" ref="O7:X7" si="6">$D7*E7</f>
        <v>0</v>
      </c>
      <c r="P7" s="21">
        <f t="shared" si="6"/>
        <v>86.9</v>
      </c>
      <c r="Q7" s="21">
        <f t="shared" si="6"/>
        <v>0</v>
      </c>
      <c r="R7" s="21">
        <f t="shared" si="6"/>
        <v>86.9</v>
      </c>
      <c r="S7" s="21">
        <f t="shared" si="6"/>
        <v>0</v>
      </c>
      <c r="T7" s="21">
        <f t="shared" si="6"/>
        <v>86.9</v>
      </c>
      <c r="U7" s="21">
        <f t="shared" si="6"/>
        <v>0</v>
      </c>
      <c r="V7" s="21">
        <f t="shared" si="6"/>
        <v>86.9</v>
      </c>
      <c r="W7" s="21">
        <f t="shared" si="6"/>
        <v>0</v>
      </c>
      <c r="X7" s="27">
        <f t="shared" si="6"/>
        <v>86.9</v>
      </c>
      <c r="Y7" s="38">
        <f t="shared" si="2"/>
        <v>4.0721649484536084E-2</v>
      </c>
      <c r="Z7" s="21">
        <f t="shared" si="3"/>
        <v>434.5</v>
      </c>
    </row>
    <row r="8" spans="1:26" ht="15.75" customHeight="1" x14ac:dyDescent="0.4">
      <c r="A8" s="7">
        <v>5</v>
      </c>
      <c r="B8" s="8" t="s">
        <v>75</v>
      </c>
      <c r="C8" s="185" t="s">
        <v>76</v>
      </c>
      <c r="D8" s="9">
        <f>VLOOKUP(C8,'[1]PREÇO ATUAL'!$A:$D,4,0)</f>
        <v>139.9</v>
      </c>
      <c r="E8" s="10"/>
      <c r="F8" s="10"/>
      <c r="G8" s="10"/>
      <c r="H8" s="10"/>
      <c r="I8" s="11"/>
      <c r="J8" s="11">
        <v>1</v>
      </c>
      <c r="K8" s="11"/>
      <c r="L8" s="11"/>
      <c r="M8" s="11"/>
      <c r="N8" s="12"/>
      <c r="O8" s="13">
        <f t="shared" ref="O8:X8" si="7">$D8*E8</f>
        <v>0</v>
      </c>
      <c r="P8" s="13">
        <f t="shared" si="7"/>
        <v>0</v>
      </c>
      <c r="Q8" s="13">
        <f t="shared" si="7"/>
        <v>0</v>
      </c>
      <c r="R8" s="13">
        <f t="shared" si="7"/>
        <v>0</v>
      </c>
      <c r="S8" s="13">
        <f t="shared" si="7"/>
        <v>0</v>
      </c>
      <c r="T8" s="13">
        <f t="shared" si="7"/>
        <v>139.9</v>
      </c>
      <c r="U8" s="13">
        <f t="shared" si="7"/>
        <v>0</v>
      </c>
      <c r="V8" s="13">
        <f t="shared" si="7"/>
        <v>0</v>
      </c>
      <c r="W8" s="13">
        <f t="shared" si="7"/>
        <v>0</v>
      </c>
      <c r="X8" s="26">
        <f t="shared" si="7"/>
        <v>0</v>
      </c>
      <c r="Y8" s="37">
        <f t="shared" si="2"/>
        <v>1.3111527647610123E-2</v>
      </c>
      <c r="Z8" s="13">
        <f t="shared" si="3"/>
        <v>139.9</v>
      </c>
    </row>
    <row r="9" spans="1:26" ht="15.75" customHeight="1" x14ac:dyDescent="0.4">
      <c r="A9" s="15">
        <v>6</v>
      </c>
      <c r="B9" s="16" t="s">
        <v>68</v>
      </c>
      <c r="C9" s="186" t="s">
        <v>69</v>
      </c>
      <c r="D9" s="17">
        <f>VLOOKUP(C9,'[1]PREÇO ATUAL'!$A:$D,4,0)</f>
        <v>145.9</v>
      </c>
      <c r="E9" s="18"/>
      <c r="F9" s="18"/>
      <c r="G9" s="18"/>
      <c r="H9" s="18"/>
      <c r="I9" s="19"/>
      <c r="J9" s="19">
        <v>1</v>
      </c>
      <c r="K9" s="19"/>
      <c r="L9" s="19"/>
      <c r="M9" s="19"/>
      <c r="N9" s="20"/>
      <c r="O9" s="21">
        <f t="shared" ref="O9:X9" si="8">$D9*E9</f>
        <v>0</v>
      </c>
      <c r="P9" s="21">
        <f t="shared" si="8"/>
        <v>0</v>
      </c>
      <c r="Q9" s="21">
        <f t="shared" si="8"/>
        <v>0</v>
      </c>
      <c r="R9" s="21">
        <f t="shared" si="8"/>
        <v>0</v>
      </c>
      <c r="S9" s="21">
        <f t="shared" si="8"/>
        <v>0</v>
      </c>
      <c r="T9" s="21">
        <f t="shared" si="8"/>
        <v>145.9</v>
      </c>
      <c r="U9" s="21">
        <f t="shared" si="8"/>
        <v>0</v>
      </c>
      <c r="V9" s="21">
        <f t="shared" si="8"/>
        <v>0</v>
      </c>
      <c r="W9" s="21">
        <f t="shared" si="8"/>
        <v>0</v>
      </c>
      <c r="X9" s="27">
        <f t="shared" si="8"/>
        <v>0</v>
      </c>
      <c r="Y9" s="38">
        <f t="shared" si="2"/>
        <v>1.3673851921274603E-2</v>
      </c>
      <c r="Z9" s="21">
        <f t="shared" si="3"/>
        <v>145.9</v>
      </c>
    </row>
    <row r="10" spans="1:26" ht="15.75" customHeight="1" x14ac:dyDescent="0.4">
      <c r="A10" s="7">
        <v>7</v>
      </c>
      <c r="B10" s="8" t="s">
        <v>63</v>
      </c>
      <c r="C10" s="185" t="s">
        <v>64</v>
      </c>
      <c r="D10" s="9">
        <f>VLOOKUP(C10,'[1]PREÇO ATUAL'!$A:$D,4,0)</f>
        <v>98.56222158238279</v>
      </c>
      <c r="E10" s="48">
        <v>2.7</v>
      </c>
      <c r="F10" s="48">
        <v>2.7</v>
      </c>
      <c r="G10" s="48">
        <v>2.7</v>
      </c>
      <c r="H10" s="48">
        <v>2.7</v>
      </c>
      <c r="I10" s="49">
        <v>2.7</v>
      </c>
      <c r="J10" s="49">
        <v>2.7</v>
      </c>
      <c r="K10" s="49">
        <v>2.7</v>
      </c>
      <c r="L10" s="49">
        <v>2.7</v>
      </c>
      <c r="M10" s="49">
        <v>2.7</v>
      </c>
      <c r="N10" s="50">
        <v>2.7</v>
      </c>
      <c r="O10" s="13">
        <f t="shared" ref="O10:X10" si="9">$D10*E10</f>
        <v>266.11799827243357</v>
      </c>
      <c r="P10" s="13">
        <f t="shared" si="9"/>
        <v>266.11799827243357</v>
      </c>
      <c r="Q10" s="13">
        <f t="shared" si="9"/>
        <v>266.11799827243357</v>
      </c>
      <c r="R10" s="13">
        <f t="shared" si="9"/>
        <v>266.11799827243357</v>
      </c>
      <c r="S10" s="13">
        <f t="shared" si="9"/>
        <v>266.11799827243357</v>
      </c>
      <c r="T10" s="13">
        <f t="shared" si="9"/>
        <v>266.11799827243357</v>
      </c>
      <c r="U10" s="13">
        <f t="shared" si="9"/>
        <v>266.11799827243357</v>
      </c>
      <c r="V10" s="13">
        <f t="shared" si="9"/>
        <v>266.11799827243357</v>
      </c>
      <c r="W10" s="13">
        <f t="shared" si="9"/>
        <v>266.11799827243357</v>
      </c>
      <c r="X10" s="26">
        <f t="shared" si="9"/>
        <v>266.11799827243357</v>
      </c>
      <c r="Y10" s="37">
        <f t="shared" si="2"/>
        <v>0.24940768347931916</v>
      </c>
      <c r="Z10" s="13">
        <f t="shared" si="3"/>
        <v>2661.1799827243353</v>
      </c>
    </row>
    <row r="11" spans="1:26" ht="15.75" customHeight="1" x14ac:dyDescent="0.4">
      <c r="A11" s="15">
        <v>8</v>
      </c>
      <c r="B11" s="16" t="s">
        <v>34</v>
      </c>
      <c r="C11" s="186" t="s">
        <v>35</v>
      </c>
      <c r="D11" s="17">
        <f>VLOOKUP(C11,'[1]PREÇO ATUAL'!$A:$D,4,0)</f>
        <v>33.622493083850472</v>
      </c>
      <c r="E11" s="18"/>
      <c r="F11" s="18"/>
      <c r="G11" s="18"/>
      <c r="H11" s="18"/>
      <c r="I11" s="19"/>
      <c r="J11" s="19"/>
      <c r="K11" s="19"/>
      <c r="L11" s="19"/>
      <c r="M11" s="19"/>
      <c r="N11" s="20"/>
      <c r="O11" s="21">
        <f t="shared" ref="O11:X11" si="10">$D11*E11</f>
        <v>0</v>
      </c>
      <c r="P11" s="21">
        <f t="shared" si="10"/>
        <v>0</v>
      </c>
      <c r="Q11" s="21">
        <f t="shared" si="10"/>
        <v>0</v>
      </c>
      <c r="R11" s="21">
        <f t="shared" si="10"/>
        <v>0</v>
      </c>
      <c r="S11" s="21">
        <f t="shared" si="10"/>
        <v>0</v>
      </c>
      <c r="T11" s="21">
        <f t="shared" si="10"/>
        <v>0</v>
      </c>
      <c r="U11" s="21">
        <f t="shared" si="10"/>
        <v>0</v>
      </c>
      <c r="V11" s="21">
        <f t="shared" si="10"/>
        <v>0</v>
      </c>
      <c r="W11" s="21">
        <f t="shared" si="10"/>
        <v>0</v>
      </c>
      <c r="X11" s="27">
        <f t="shared" si="10"/>
        <v>0</v>
      </c>
      <c r="Y11" s="38">
        <f t="shared" si="2"/>
        <v>0</v>
      </c>
      <c r="Z11" s="21">
        <f t="shared" si="3"/>
        <v>0</v>
      </c>
    </row>
    <row r="12" spans="1:26" ht="15.75" customHeight="1" x14ac:dyDescent="0.4">
      <c r="A12" s="7">
        <v>9</v>
      </c>
      <c r="B12" s="8" t="s">
        <v>38</v>
      </c>
      <c r="C12" s="185" t="s">
        <v>39</v>
      </c>
      <c r="D12" s="9">
        <f>VLOOKUP(C12,'[1]PREÇO ATUAL'!$A:$D,4,0)</f>
        <v>342</v>
      </c>
      <c r="E12" s="23">
        <v>0.95</v>
      </c>
      <c r="F12" s="23">
        <v>1.1499999999999999</v>
      </c>
      <c r="G12" s="23">
        <v>2.1</v>
      </c>
      <c r="H12" s="23">
        <v>1.5</v>
      </c>
      <c r="I12" s="9">
        <v>1.1000000000000001</v>
      </c>
      <c r="J12" s="9">
        <v>4.5</v>
      </c>
      <c r="K12" s="9">
        <v>0.95</v>
      </c>
      <c r="L12" s="9">
        <v>1.5</v>
      </c>
      <c r="M12" s="9">
        <v>2.1</v>
      </c>
      <c r="N12" s="51">
        <v>1.35</v>
      </c>
      <c r="O12" s="13">
        <f>D12*E12</f>
        <v>324.89999999999998</v>
      </c>
      <c r="P12" s="13">
        <f t="shared" ref="P12:X12" si="11">$D12*F12</f>
        <v>393.29999999999995</v>
      </c>
      <c r="Q12" s="13">
        <f t="shared" si="11"/>
        <v>718.2</v>
      </c>
      <c r="R12" s="13">
        <f t="shared" si="11"/>
        <v>513</v>
      </c>
      <c r="S12" s="13">
        <f t="shared" si="11"/>
        <v>376.20000000000005</v>
      </c>
      <c r="T12" s="13">
        <f t="shared" si="11"/>
        <v>1539</v>
      </c>
      <c r="U12" s="13">
        <f t="shared" si="11"/>
        <v>324.89999999999998</v>
      </c>
      <c r="V12" s="13">
        <f t="shared" si="11"/>
        <v>513</v>
      </c>
      <c r="W12" s="13">
        <f t="shared" si="11"/>
        <v>718.2</v>
      </c>
      <c r="X12" s="26">
        <f t="shared" si="11"/>
        <v>461.70000000000005</v>
      </c>
      <c r="Y12" s="37">
        <f t="shared" si="2"/>
        <v>0.55130271790065599</v>
      </c>
      <c r="Z12" s="13">
        <f t="shared" si="3"/>
        <v>5882.4</v>
      </c>
    </row>
    <row r="13" spans="1:26" ht="15.75" customHeight="1" x14ac:dyDescent="0.4"/>
    <row r="14" spans="1:26" ht="15.75" customHeight="1" x14ac:dyDescent="0.4"/>
    <row r="15" spans="1:26" ht="15.75" customHeight="1" x14ac:dyDescent="0.4"/>
    <row r="16" spans="1:26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</sheetData>
  <mergeCells count="5">
    <mergeCell ref="A1:D2"/>
    <mergeCell ref="E1:N2"/>
    <mergeCell ref="O1:X1"/>
    <mergeCell ref="Y1:Z1"/>
    <mergeCell ref="Y2:Z2"/>
  </mergeCells>
  <pageMargins left="0.511811024" right="0.511811024" top="0.78740157499999996" bottom="0.78740157499999996" header="0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1264A-36A0-4FC7-A5F7-E033209FE963}">
  <sheetPr codeName="Planilha12">
    <tabColor rgb="FF00FF00"/>
  </sheetPr>
  <dimension ref="A1:AJ985"/>
  <sheetViews>
    <sheetView showGridLines="0" workbookViewId="0">
      <pane xSplit="4" topLeftCell="E1" activePane="topRight" state="frozen"/>
      <selection activeCell="B23" sqref="B23"/>
      <selection pane="topRight" activeCell="C4" sqref="C4:C11"/>
    </sheetView>
  </sheetViews>
  <sheetFormatPr defaultColWidth="14.3828125" defaultRowHeight="15" customHeight="1" x14ac:dyDescent="0.4"/>
  <cols>
    <col min="1" max="1" width="3.69140625" customWidth="1"/>
    <col min="2" max="2" width="50" bestFit="1" customWidth="1"/>
    <col min="3" max="3" width="16.84375" customWidth="1"/>
    <col min="4" max="4" width="8.69140625" customWidth="1"/>
    <col min="5" max="14" width="5.15234375" bestFit="1" customWidth="1"/>
    <col min="15" max="19" width="5.15234375" customWidth="1"/>
    <col min="20" max="20" width="14.15234375" customWidth="1"/>
    <col min="21" max="22" width="13.3828125" customWidth="1"/>
    <col min="23" max="23" width="15.3828125" customWidth="1"/>
    <col min="24" max="24" width="13.3828125" customWidth="1"/>
    <col min="25" max="25" width="15.3828125" customWidth="1"/>
    <col min="26" max="26" width="13.3828125" customWidth="1"/>
    <col min="27" max="27" width="15.3828125" customWidth="1"/>
    <col min="28" max="28" width="15.69140625" customWidth="1"/>
    <col min="29" max="30" width="14.53515625" customWidth="1"/>
    <col min="31" max="31" width="15.69140625" bestFit="1" customWidth="1"/>
    <col min="32" max="34" width="14.53515625" customWidth="1"/>
    <col min="35" max="35" width="9.15234375" customWidth="1"/>
    <col min="36" max="36" width="15.53515625" customWidth="1"/>
  </cols>
  <sheetData>
    <row r="1" spans="1:36" ht="15.75" customHeight="1" x14ac:dyDescent="0.4">
      <c r="A1" s="222" t="s">
        <v>96</v>
      </c>
      <c r="B1" s="223"/>
      <c r="C1" s="223"/>
      <c r="D1" s="234"/>
      <c r="E1" s="135" t="s">
        <v>3</v>
      </c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25" t="s">
        <v>4</v>
      </c>
      <c r="U1" s="125"/>
      <c r="V1" s="125"/>
      <c r="W1" s="125"/>
      <c r="X1" s="125"/>
      <c r="Y1" s="125"/>
      <c r="Z1" s="125"/>
      <c r="AA1" s="125"/>
      <c r="AB1" s="125"/>
      <c r="AC1" s="125"/>
      <c r="AD1" s="147"/>
      <c r="AE1" s="147"/>
      <c r="AF1" s="147"/>
      <c r="AG1" s="147"/>
      <c r="AH1" s="147"/>
      <c r="AI1" s="219" t="s">
        <v>5</v>
      </c>
      <c r="AJ1" s="220"/>
    </row>
    <row r="2" spans="1:36" ht="15" customHeight="1" x14ac:dyDescent="0.4">
      <c r="A2" s="224"/>
      <c r="B2" s="225"/>
      <c r="C2" s="225"/>
      <c r="D2" s="235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2">
        <f>MROUND(SUM(T4:T11),1)</f>
        <v>814</v>
      </c>
      <c r="U2" s="2">
        <f>MROUND(SUM(U4:U11),1)</f>
        <v>831</v>
      </c>
      <c r="V2" s="2">
        <f t="shared" ref="V2:AH2" si="0">MROUND(SUM(V4:V11),1)</f>
        <v>994</v>
      </c>
      <c r="W2" s="2">
        <f t="shared" si="0"/>
        <v>831</v>
      </c>
      <c r="X2" s="2">
        <f t="shared" si="0"/>
        <v>848</v>
      </c>
      <c r="Y2" s="2">
        <f t="shared" si="0"/>
        <v>1572</v>
      </c>
      <c r="Z2" s="2">
        <f t="shared" si="0"/>
        <v>814</v>
      </c>
      <c r="AA2" s="2">
        <f t="shared" si="0"/>
        <v>831</v>
      </c>
      <c r="AB2" s="2">
        <f t="shared" si="0"/>
        <v>994</v>
      </c>
      <c r="AC2" s="2">
        <f t="shared" si="0"/>
        <v>865</v>
      </c>
      <c r="AD2" s="2">
        <f t="shared" si="0"/>
        <v>814</v>
      </c>
      <c r="AE2" s="2">
        <f t="shared" si="0"/>
        <v>2007</v>
      </c>
      <c r="AF2" s="2">
        <f t="shared" si="0"/>
        <v>814</v>
      </c>
      <c r="AG2" s="2">
        <f t="shared" si="0"/>
        <v>831</v>
      </c>
      <c r="AH2" s="2">
        <f t="shared" si="0"/>
        <v>1028</v>
      </c>
      <c r="AI2" s="221">
        <f>SUM(T2:AH2)</f>
        <v>14888</v>
      </c>
      <c r="AJ2" s="220"/>
    </row>
    <row r="3" spans="1:36" ht="14.6" x14ac:dyDescent="0.4">
      <c r="A3" s="3" t="s">
        <v>6</v>
      </c>
      <c r="B3" s="3" t="s">
        <v>7</v>
      </c>
      <c r="C3" s="3" t="s">
        <v>8</v>
      </c>
      <c r="D3" s="4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18</v>
      </c>
      <c r="N3" s="5" t="s">
        <v>19</v>
      </c>
      <c r="O3" s="5">
        <v>11</v>
      </c>
      <c r="P3" s="5">
        <v>12</v>
      </c>
      <c r="Q3" s="5">
        <v>13</v>
      </c>
      <c r="R3" s="5">
        <v>14</v>
      </c>
      <c r="S3" s="5">
        <v>15</v>
      </c>
      <c r="T3" s="36">
        <v>10000</v>
      </c>
      <c r="U3" s="36">
        <v>20000</v>
      </c>
      <c r="V3" s="36">
        <v>30000</v>
      </c>
      <c r="W3" s="36">
        <v>40000</v>
      </c>
      <c r="X3" s="36">
        <v>50000</v>
      </c>
      <c r="Y3" s="36">
        <v>60000</v>
      </c>
      <c r="Z3" s="36">
        <v>70000</v>
      </c>
      <c r="AA3" s="36">
        <v>80000</v>
      </c>
      <c r="AB3" s="36">
        <v>90000</v>
      </c>
      <c r="AC3" s="36">
        <v>100000</v>
      </c>
      <c r="AD3" s="65">
        <f>AC3+10000</f>
        <v>110000</v>
      </c>
      <c r="AE3" s="65">
        <f t="shared" ref="AE3:AH3" si="1">AD3+10000</f>
        <v>120000</v>
      </c>
      <c r="AF3" s="65">
        <f t="shared" si="1"/>
        <v>130000</v>
      </c>
      <c r="AG3" s="65">
        <f t="shared" si="1"/>
        <v>140000</v>
      </c>
      <c r="AH3" s="65">
        <f t="shared" si="1"/>
        <v>150000</v>
      </c>
      <c r="AI3" s="52">
        <f>SUM(AI4:AI11)</f>
        <v>1.0000075752437172</v>
      </c>
      <c r="AJ3" s="3" t="s">
        <v>21</v>
      </c>
    </row>
    <row r="4" spans="1:36" ht="14.6" x14ac:dyDescent="0.4">
      <c r="A4" s="7">
        <v>1</v>
      </c>
      <c r="B4" s="8" t="s">
        <v>22</v>
      </c>
      <c r="C4" s="185" t="s">
        <v>97</v>
      </c>
      <c r="D4" s="9">
        <f>VLOOKUP(C4,'[1]PREÇO ATUAL'!$A:$D,4,0)</f>
        <v>112.46</v>
      </c>
      <c r="E4" s="10">
        <v>1</v>
      </c>
      <c r="F4" s="10">
        <v>1</v>
      </c>
      <c r="G4" s="10">
        <v>1</v>
      </c>
      <c r="H4" s="10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0">
        <v>1</v>
      </c>
      <c r="O4" s="154">
        <v>1</v>
      </c>
      <c r="P4" s="11">
        <v>1</v>
      </c>
      <c r="Q4" s="12">
        <v>1</v>
      </c>
      <c r="R4" s="11">
        <v>1</v>
      </c>
      <c r="S4" s="11">
        <v>1</v>
      </c>
      <c r="T4" s="13">
        <f t="shared" ref="T4:AC10" si="2">$D4*E4</f>
        <v>112.46</v>
      </c>
      <c r="U4" s="13">
        <f t="shared" si="2"/>
        <v>112.46</v>
      </c>
      <c r="V4" s="13">
        <f t="shared" si="2"/>
        <v>112.46</v>
      </c>
      <c r="W4" s="13">
        <f t="shared" si="2"/>
        <v>112.46</v>
      </c>
      <c r="X4" s="13">
        <f t="shared" si="2"/>
        <v>112.46</v>
      </c>
      <c r="Y4" s="13">
        <f t="shared" si="2"/>
        <v>112.46</v>
      </c>
      <c r="Z4" s="13">
        <f t="shared" si="2"/>
        <v>112.46</v>
      </c>
      <c r="AA4" s="13">
        <f t="shared" si="2"/>
        <v>112.46</v>
      </c>
      <c r="AB4" s="13">
        <f t="shared" si="2"/>
        <v>112.46</v>
      </c>
      <c r="AC4" s="13">
        <f t="shared" si="2"/>
        <v>112.46</v>
      </c>
      <c r="AD4" s="13">
        <f t="shared" ref="AD4:AH11" si="3">$D4*O4</f>
        <v>112.46</v>
      </c>
      <c r="AE4" s="13">
        <f t="shared" si="3"/>
        <v>112.46</v>
      </c>
      <c r="AF4" s="13">
        <f t="shared" si="3"/>
        <v>112.46</v>
      </c>
      <c r="AG4" s="13">
        <f t="shared" si="3"/>
        <v>112.46</v>
      </c>
      <c r="AH4" s="13">
        <f t="shared" si="3"/>
        <v>112.46</v>
      </c>
      <c r="AI4" s="37">
        <f t="shared" ref="AI4:AI11" si="4">AJ4/$AI$2</f>
        <v>0.11330601826974747</v>
      </c>
      <c r="AJ4" s="13">
        <f>SUM(T4:AH4)</f>
        <v>1686.9000000000003</v>
      </c>
    </row>
    <row r="5" spans="1:36" ht="14.6" x14ac:dyDescent="0.4">
      <c r="A5" s="15">
        <v>2</v>
      </c>
      <c r="B5" s="16" t="s">
        <v>24</v>
      </c>
      <c r="C5" s="186" t="s">
        <v>98</v>
      </c>
      <c r="D5" s="17">
        <f>VLOOKUP(C5,'[1]PREÇO ATUAL'!$A:$D,4,0)</f>
        <v>35.9</v>
      </c>
      <c r="E5" s="18">
        <v>1</v>
      </c>
      <c r="F5" s="18">
        <v>1</v>
      </c>
      <c r="G5" s="18">
        <v>1</v>
      </c>
      <c r="H5" s="18">
        <v>1</v>
      </c>
      <c r="I5" s="19">
        <v>1</v>
      </c>
      <c r="J5" s="19">
        <v>1</v>
      </c>
      <c r="K5" s="19">
        <v>1</v>
      </c>
      <c r="L5" s="19">
        <v>1</v>
      </c>
      <c r="M5" s="19">
        <v>1</v>
      </c>
      <c r="N5" s="18">
        <v>1</v>
      </c>
      <c r="O5" s="155">
        <v>1</v>
      </c>
      <c r="P5" s="19">
        <v>1</v>
      </c>
      <c r="Q5" s="20">
        <v>1</v>
      </c>
      <c r="R5" s="19">
        <v>1</v>
      </c>
      <c r="S5" s="19">
        <v>1</v>
      </c>
      <c r="T5" s="21">
        <f t="shared" si="2"/>
        <v>35.9</v>
      </c>
      <c r="U5" s="21">
        <f t="shared" si="2"/>
        <v>35.9</v>
      </c>
      <c r="V5" s="21">
        <f t="shared" si="2"/>
        <v>35.9</v>
      </c>
      <c r="W5" s="21">
        <f t="shared" si="2"/>
        <v>35.9</v>
      </c>
      <c r="X5" s="21">
        <f t="shared" si="2"/>
        <v>35.9</v>
      </c>
      <c r="Y5" s="21">
        <f t="shared" si="2"/>
        <v>35.9</v>
      </c>
      <c r="Z5" s="21">
        <f t="shared" si="2"/>
        <v>35.9</v>
      </c>
      <c r="AA5" s="21">
        <f t="shared" si="2"/>
        <v>35.9</v>
      </c>
      <c r="AB5" s="21">
        <f t="shared" si="2"/>
        <v>35.9</v>
      </c>
      <c r="AC5" s="21">
        <f t="shared" si="2"/>
        <v>35.9</v>
      </c>
      <c r="AD5" s="21">
        <f t="shared" si="3"/>
        <v>35.9</v>
      </c>
      <c r="AE5" s="21">
        <f t="shared" si="3"/>
        <v>35.9</v>
      </c>
      <c r="AF5" s="21">
        <f t="shared" si="3"/>
        <v>35.9</v>
      </c>
      <c r="AG5" s="21">
        <f t="shared" si="3"/>
        <v>35.9</v>
      </c>
      <c r="AH5" s="21">
        <f t="shared" si="3"/>
        <v>35.9</v>
      </c>
      <c r="AI5" s="38">
        <f t="shared" si="4"/>
        <v>3.6170069854916706E-2</v>
      </c>
      <c r="AJ5" s="21">
        <f t="shared" ref="AJ5:AJ11" si="5">SUM(T5:AH5)</f>
        <v>538.49999999999989</v>
      </c>
    </row>
    <row r="6" spans="1:36" ht="14.6" x14ac:dyDescent="0.4">
      <c r="A6" s="7">
        <v>3</v>
      </c>
      <c r="B6" s="8" t="s">
        <v>26</v>
      </c>
      <c r="C6" s="185" t="s">
        <v>99</v>
      </c>
      <c r="D6" s="9">
        <f>VLOOKUP(C6,'[1]PREÇO ATUAL'!$A:$D,4,0)</f>
        <v>180.21</v>
      </c>
      <c r="E6" s="10"/>
      <c r="F6" s="10"/>
      <c r="G6" s="10">
        <v>1</v>
      </c>
      <c r="H6" s="10"/>
      <c r="I6" s="11"/>
      <c r="J6" s="11">
        <v>1</v>
      </c>
      <c r="K6" s="11"/>
      <c r="L6" s="11"/>
      <c r="M6" s="11">
        <v>1</v>
      </c>
      <c r="N6" s="10"/>
      <c r="O6" s="154"/>
      <c r="P6" s="11">
        <v>1</v>
      </c>
      <c r="Q6" s="11"/>
      <c r="R6" s="11"/>
      <c r="S6" s="11">
        <v>1</v>
      </c>
      <c r="T6" s="13">
        <f t="shared" si="2"/>
        <v>0</v>
      </c>
      <c r="U6" s="13">
        <f t="shared" si="2"/>
        <v>0</v>
      </c>
      <c r="V6" s="13">
        <f t="shared" si="2"/>
        <v>180.21</v>
      </c>
      <c r="W6" s="13">
        <f t="shared" si="2"/>
        <v>0</v>
      </c>
      <c r="X6" s="13">
        <f t="shared" si="2"/>
        <v>0</v>
      </c>
      <c r="Y6" s="13">
        <f t="shared" si="2"/>
        <v>180.21</v>
      </c>
      <c r="Z6" s="13">
        <f t="shared" si="2"/>
        <v>0</v>
      </c>
      <c r="AA6" s="13">
        <f t="shared" si="2"/>
        <v>0</v>
      </c>
      <c r="AB6" s="13">
        <f t="shared" si="2"/>
        <v>180.21</v>
      </c>
      <c r="AC6" s="13">
        <f t="shared" si="2"/>
        <v>0</v>
      </c>
      <c r="AD6" s="13">
        <f t="shared" si="3"/>
        <v>0</v>
      </c>
      <c r="AE6" s="13">
        <f t="shared" si="3"/>
        <v>180.21</v>
      </c>
      <c r="AF6" s="13">
        <f t="shared" si="3"/>
        <v>0</v>
      </c>
      <c r="AG6" s="13">
        <f t="shared" si="3"/>
        <v>0</v>
      </c>
      <c r="AH6" s="13">
        <f t="shared" si="3"/>
        <v>180.21</v>
      </c>
      <c r="AI6" s="37">
        <f t="shared" si="4"/>
        <v>6.0521896829661477E-2</v>
      </c>
      <c r="AJ6" s="13">
        <f t="shared" si="5"/>
        <v>901.05000000000007</v>
      </c>
    </row>
    <row r="7" spans="1:36" ht="14.6" x14ac:dyDescent="0.4">
      <c r="A7" s="15">
        <v>4</v>
      </c>
      <c r="B7" s="16" t="s">
        <v>28</v>
      </c>
      <c r="C7" s="186" t="s">
        <v>100</v>
      </c>
      <c r="D7" s="17">
        <f>VLOOKUP(C7,'[1]PREÇO ATUAL'!$A:$D,4,0)</f>
        <v>169.9</v>
      </c>
      <c r="E7" s="18"/>
      <c r="F7" s="18"/>
      <c r="G7" s="18"/>
      <c r="H7" s="18"/>
      <c r="I7" s="19"/>
      <c r="J7" s="19">
        <v>3</v>
      </c>
      <c r="K7" s="19"/>
      <c r="L7" s="19"/>
      <c r="M7" s="19"/>
      <c r="N7" s="18"/>
      <c r="O7" s="155"/>
      <c r="P7" s="19">
        <v>3</v>
      </c>
      <c r="Q7" s="19"/>
      <c r="R7" s="19"/>
      <c r="S7" s="19"/>
      <c r="T7" s="21">
        <f t="shared" si="2"/>
        <v>0</v>
      </c>
      <c r="U7" s="21">
        <f t="shared" si="2"/>
        <v>0</v>
      </c>
      <c r="V7" s="21">
        <f t="shared" si="2"/>
        <v>0</v>
      </c>
      <c r="W7" s="21">
        <f t="shared" si="2"/>
        <v>0</v>
      </c>
      <c r="X7" s="21">
        <f t="shared" si="2"/>
        <v>0</v>
      </c>
      <c r="Y7" s="21">
        <f t="shared" si="2"/>
        <v>509.70000000000005</v>
      </c>
      <c r="Z7" s="21">
        <f t="shared" si="2"/>
        <v>0</v>
      </c>
      <c r="AA7" s="21">
        <f t="shared" si="2"/>
        <v>0</v>
      </c>
      <c r="AB7" s="21">
        <f t="shared" si="2"/>
        <v>0</v>
      </c>
      <c r="AC7" s="21">
        <f t="shared" si="2"/>
        <v>0</v>
      </c>
      <c r="AD7" s="21">
        <f t="shared" si="3"/>
        <v>0</v>
      </c>
      <c r="AE7" s="21">
        <f t="shared" si="3"/>
        <v>509.70000000000005</v>
      </c>
      <c r="AF7" s="21">
        <f t="shared" si="3"/>
        <v>0</v>
      </c>
      <c r="AG7" s="21">
        <f t="shared" si="3"/>
        <v>0</v>
      </c>
      <c r="AH7" s="21">
        <f t="shared" si="3"/>
        <v>0</v>
      </c>
      <c r="AI7" s="38">
        <f t="shared" si="4"/>
        <v>6.8471252015045683E-2</v>
      </c>
      <c r="AJ7" s="21">
        <f t="shared" si="5"/>
        <v>1019.4000000000001</v>
      </c>
    </row>
    <row r="8" spans="1:36" ht="14.6" x14ac:dyDescent="0.4">
      <c r="A8" s="7">
        <v>5</v>
      </c>
      <c r="B8" s="8" t="s">
        <v>47</v>
      </c>
      <c r="C8" s="185" t="s">
        <v>33</v>
      </c>
      <c r="D8" s="9">
        <f>VLOOKUP(C8,'[1]PREÇO ATUAL'!$A:$D,4,0)</f>
        <v>165.97812000000002</v>
      </c>
      <c r="E8" s="10"/>
      <c r="F8" s="10"/>
      <c r="G8" s="10"/>
      <c r="H8" s="10"/>
      <c r="I8" s="11"/>
      <c r="J8" s="11"/>
      <c r="K8" s="11"/>
      <c r="L8" s="11"/>
      <c r="M8" s="11"/>
      <c r="N8" s="10"/>
      <c r="O8" s="154"/>
      <c r="P8" s="176">
        <v>2</v>
      </c>
      <c r="Q8" s="11"/>
      <c r="R8" s="11"/>
      <c r="S8" s="11"/>
      <c r="T8" s="13">
        <f t="shared" si="2"/>
        <v>0</v>
      </c>
      <c r="U8" s="13">
        <f t="shared" si="2"/>
        <v>0</v>
      </c>
      <c r="V8" s="13">
        <f t="shared" si="2"/>
        <v>0</v>
      </c>
      <c r="W8" s="13">
        <f t="shared" si="2"/>
        <v>0</v>
      </c>
      <c r="X8" s="13">
        <f t="shared" si="2"/>
        <v>0</v>
      </c>
      <c r="Y8" s="13">
        <f t="shared" si="2"/>
        <v>0</v>
      </c>
      <c r="Z8" s="13">
        <f t="shared" si="2"/>
        <v>0</v>
      </c>
      <c r="AA8" s="13">
        <f t="shared" si="2"/>
        <v>0</v>
      </c>
      <c r="AB8" s="13">
        <f t="shared" si="2"/>
        <v>0</v>
      </c>
      <c r="AC8" s="13">
        <f t="shared" si="2"/>
        <v>0</v>
      </c>
      <c r="AD8" s="13">
        <f t="shared" si="3"/>
        <v>0</v>
      </c>
      <c r="AE8" s="13">
        <f t="shared" si="3"/>
        <v>331.95624000000004</v>
      </c>
      <c r="AF8" s="13">
        <f t="shared" si="3"/>
        <v>0</v>
      </c>
      <c r="AG8" s="13">
        <f t="shared" si="3"/>
        <v>0</v>
      </c>
      <c r="AH8" s="13">
        <f t="shared" si="3"/>
        <v>0</v>
      </c>
      <c r="AI8" s="37">
        <f t="shared" ref="AI8" si="6">AJ8/$AI$2</f>
        <v>2.2296899516389041E-2</v>
      </c>
      <c r="AJ8" s="13">
        <f t="shared" si="5"/>
        <v>331.95624000000004</v>
      </c>
    </row>
    <row r="9" spans="1:36" ht="14.6" x14ac:dyDescent="0.4">
      <c r="A9" s="15">
        <v>6</v>
      </c>
      <c r="B9" s="16" t="s">
        <v>34</v>
      </c>
      <c r="C9" s="186" t="s">
        <v>35</v>
      </c>
      <c r="D9" s="17">
        <f>VLOOKUP(C9,'[1]PREÇO ATUAL'!$A:$D,4,0)</f>
        <v>33.622493083850472</v>
      </c>
      <c r="E9" s="18"/>
      <c r="F9" s="18"/>
      <c r="G9" s="18"/>
      <c r="H9" s="18"/>
      <c r="I9" s="19"/>
      <c r="J9" s="19"/>
      <c r="K9" s="19"/>
      <c r="L9" s="19"/>
      <c r="M9" s="19"/>
      <c r="N9" s="18"/>
      <c r="O9" s="155"/>
      <c r="P9" s="19"/>
      <c r="Q9" s="19"/>
      <c r="R9" s="19"/>
      <c r="S9" s="19"/>
      <c r="T9" s="21">
        <f t="shared" si="2"/>
        <v>0</v>
      </c>
      <c r="U9" s="21">
        <f t="shared" si="2"/>
        <v>0</v>
      </c>
      <c r="V9" s="21">
        <f t="shared" si="2"/>
        <v>0</v>
      </c>
      <c r="W9" s="21">
        <f t="shared" si="2"/>
        <v>0</v>
      </c>
      <c r="X9" s="21">
        <f t="shared" si="2"/>
        <v>0</v>
      </c>
      <c r="Y9" s="21">
        <f t="shared" si="2"/>
        <v>0</v>
      </c>
      <c r="Z9" s="21">
        <f t="shared" si="2"/>
        <v>0</v>
      </c>
      <c r="AA9" s="21">
        <f t="shared" si="2"/>
        <v>0</v>
      </c>
      <c r="AB9" s="21">
        <f t="shared" si="2"/>
        <v>0</v>
      </c>
      <c r="AC9" s="21">
        <f t="shared" si="2"/>
        <v>0</v>
      </c>
      <c r="AD9" s="21">
        <f t="shared" si="3"/>
        <v>0</v>
      </c>
      <c r="AE9" s="21">
        <f t="shared" si="3"/>
        <v>0</v>
      </c>
      <c r="AF9" s="21">
        <f t="shared" si="3"/>
        <v>0</v>
      </c>
      <c r="AG9" s="21">
        <f t="shared" si="3"/>
        <v>0</v>
      </c>
      <c r="AH9" s="21">
        <f t="shared" si="3"/>
        <v>0</v>
      </c>
      <c r="AI9" s="38">
        <f t="shared" si="4"/>
        <v>0</v>
      </c>
      <c r="AJ9" s="21">
        <f t="shared" si="5"/>
        <v>0</v>
      </c>
    </row>
    <row r="10" spans="1:36" ht="14.6" x14ac:dyDescent="0.4">
      <c r="A10" s="7">
        <v>7</v>
      </c>
      <c r="B10" s="8" t="s">
        <v>101</v>
      </c>
      <c r="C10" s="185" t="s">
        <v>102</v>
      </c>
      <c r="D10" s="9">
        <f>VLOOKUP(C10,'[1]PREÇO ATUAL'!$A:$D,4,0)</f>
        <v>107.0915531472088</v>
      </c>
      <c r="E10" s="45">
        <v>3.5</v>
      </c>
      <c r="F10" s="45">
        <v>3.5</v>
      </c>
      <c r="G10" s="45">
        <v>3.5</v>
      </c>
      <c r="H10" s="45">
        <v>3.5</v>
      </c>
      <c r="I10" s="46">
        <v>3.5</v>
      </c>
      <c r="J10" s="46">
        <v>3.5</v>
      </c>
      <c r="K10" s="46">
        <v>3.5</v>
      </c>
      <c r="L10" s="46">
        <v>3.5</v>
      </c>
      <c r="M10" s="46">
        <v>3.5</v>
      </c>
      <c r="N10" s="45">
        <v>3.5</v>
      </c>
      <c r="O10" s="157">
        <v>3.5</v>
      </c>
      <c r="P10" s="46">
        <v>3.5</v>
      </c>
      <c r="Q10" s="46">
        <v>3.5</v>
      </c>
      <c r="R10" s="46">
        <v>3.5</v>
      </c>
      <c r="S10" s="46">
        <v>3.5</v>
      </c>
      <c r="T10" s="13">
        <f t="shared" si="2"/>
        <v>374.82043601523083</v>
      </c>
      <c r="U10" s="13">
        <f t="shared" si="2"/>
        <v>374.82043601523083</v>
      </c>
      <c r="V10" s="13">
        <f t="shared" si="2"/>
        <v>374.82043601523083</v>
      </c>
      <c r="W10" s="13">
        <f t="shared" si="2"/>
        <v>374.82043601523083</v>
      </c>
      <c r="X10" s="13">
        <f t="shared" si="2"/>
        <v>374.82043601523083</v>
      </c>
      <c r="Y10" s="13">
        <f t="shared" si="2"/>
        <v>374.82043601523083</v>
      </c>
      <c r="Z10" s="13">
        <f t="shared" si="2"/>
        <v>374.82043601523083</v>
      </c>
      <c r="AA10" s="13">
        <f t="shared" si="2"/>
        <v>374.82043601523083</v>
      </c>
      <c r="AB10" s="13">
        <f t="shared" si="2"/>
        <v>374.82043601523083</v>
      </c>
      <c r="AC10" s="13">
        <f t="shared" si="2"/>
        <v>374.82043601523083</v>
      </c>
      <c r="AD10" s="13">
        <f t="shared" si="3"/>
        <v>374.82043601523083</v>
      </c>
      <c r="AE10" s="13">
        <f t="shared" si="3"/>
        <v>374.82043601523083</v>
      </c>
      <c r="AF10" s="13">
        <f t="shared" si="3"/>
        <v>374.82043601523083</v>
      </c>
      <c r="AG10" s="13">
        <f t="shared" si="3"/>
        <v>374.82043601523083</v>
      </c>
      <c r="AH10" s="13">
        <f t="shared" si="3"/>
        <v>374.82043601523083</v>
      </c>
      <c r="AI10" s="37">
        <f t="shared" si="4"/>
        <v>0.37764014912872523</v>
      </c>
      <c r="AJ10" s="13">
        <f t="shared" si="5"/>
        <v>5622.306540228461</v>
      </c>
    </row>
    <row r="11" spans="1:36" ht="14.6" x14ac:dyDescent="0.4">
      <c r="A11" s="15">
        <v>8</v>
      </c>
      <c r="B11" s="16" t="s">
        <v>38</v>
      </c>
      <c r="C11" s="186" t="s">
        <v>39</v>
      </c>
      <c r="D11" s="17">
        <f>VLOOKUP(C11,'[1]PREÇO ATUAL'!$A:$D,4,0)</f>
        <v>342</v>
      </c>
      <c r="E11" s="28">
        <v>0.85</v>
      </c>
      <c r="F11" s="28">
        <v>0.9</v>
      </c>
      <c r="G11" s="28">
        <v>0.85</v>
      </c>
      <c r="H11" s="28">
        <v>0.9</v>
      </c>
      <c r="I11" s="29">
        <v>0.95</v>
      </c>
      <c r="J11" s="29">
        <v>1.05</v>
      </c>
      <c r="K11" s="29">
        <v>0.85</v>
      </c>
      <c r="L11" s="29">
        <v>0.9</v>
      </c>
      <c r="M11" s="29">
        <v>0.85</v>
      </c>
      <c r="N11" s="28">
        <v>1</v>
      </c>
      <c r="O11" s="160">
        <v>0.85</v>
      </c>
      <c r="P11" s="29">
        <v>1.35</v>
      </c>
      <c r="Q11" s="29">
        <v>0.85</v>
      </c>
      <c r="R11" s="29">
        <v>0.9</v>
      </c>
      <c r="S11" s="29">
        <v>0.95</v>
      </c>
      <c r="T11" s="21">
        <f>D11*E11</f>
        <v>290.7</v>
      </c>
      <c r="U11" s="21">
        <f t="shared" ref="U11:AC11" si="7">$D11*F11</f>
        <v>307.8</v>
      </c>
      <c r="V11" s="21">
        <f t="shared" si="7"/>
        <v>290.7</v>
      </c>
      <c r="W11" s="21">
        <f t="shared" si="7"/>
        <v>307.8</v>
      </c>
      <c r="X11" s="21">
        <f t="shared" si="7"/>
        <v>324.89999999999998</v>
      </c>
      <c r="Y11" s="21">
        <f t="shared" si="7"/>
        <v>359.1</v>
      </c>
      <c r="Z11" s="21">
        <f t="shared" si="7"/>
        <v>290.7</v>
      </c>
      <c r="AA11" s="21">
        <f t="shared" si="7"/>
        <v>307.8</v>
      </c>
      <c r="AB11" s="21">
        <f t="shared" si="7"/>
        <v>290.7</v>
      </c>
      <c r="AC11" s="183">
        <f t="shared" si="7"/>
        <v>342</v>
      </c>
      <c r="AD11" s="183">
        <f t="shared" si="3"/>
        <v>290.7</v>
      </c>
      <c r="AE11" s="183">
        <f t="shared" si="3"/>
        <v>461.70000000000005</v>
      </c>
      <c r="AF11" s="183">
        <f t="shared" si="3"/>
        <v>290.7</v>
      </c>
      <c r="AG11" s="183">
        <f t="shared" si="3"/>
        <v>307.8</v>
      </c>
      <c r="AH11" s="183">
        <f t="shared" si="3"/>
        <v>324.89999999999998</v>
      </c>
      <c r="AI11" s="38">
        <f t="shared" si="4"/>
        <v>0.32160128962923151</v>
      </c>
      <c r="AJ11" s="21">
        <f t="shared" si="5"/>
        <v>4787.9999999999991</v>
      </c>
    </row>
    <row r="12" spans="1:36" ht="14.6" x14ac:dyDescent="0.4">
      <c r="H12" s="39"/>
      <c r="L12" s="39"/>
    </row>
    <row r="13" spans="1:36" ht="15.75" customHeight="1" x14ac:dyDescent="0.4"/>
    <row r="14" spans="1:36" ht="15.75" customHeight="1" x14ac:dyDescent="0.4"/>
    <row r="15" spans="1:36" ht="15.75" customHeight="1" x14ac:dyDescent="0.4"/>
    <row r="16" spans="1:36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</sheetData>
  <mergeCells count="3">
    <mergeCell ref="A1:D2"/>
    <mergeCell ref="AI1:AJ1"/>
    <mergeCell ref="AI2:AJ2"/>
  </mergeCells>
  <pageMargins left="0.511811024" right="0.511811024" top="0.78740157499999996" bottom="0.78740157499999996" header="0" footer="0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3">
    <tabColor rgb="FF00FF00"/>
  </sheetPr>
  <dimension ref="A1:AJ974"/>
  <sheetViews>
    <sheetView showGridLines="0" workbookViewId="0">
      <pane xSplit="4" topLeftCell="E1" activePane="topRight" state="frozen"/>
      <selection activeCell="B23" sqref="B23"/>
      <selection pane="topRight" sqref="A1:D2"/>
    </sheetView>
  </sheetViews>
  <sheetFormatPr defaultColWidth="14.3828125" defaultRowHeight="15" customHeight="1" x14ac:dyDescent="0.4"/>
  <cols>
    <col min="1" max="1" width="3.69140625" customWidth="1"/>
    <col min="2" max="2" width="60.53515625" customWidth="1"/>
    <col min="3" max="3" width="16.84375" customWidth="1"/>
    <col min="4" max="4" width="8.69140625" customWidth="1"/>
    <col min="5" max="14" width="5.15234375" bestFit="1" customWidth="1"/>
    <col min="15" max="19" width="5.15234375" customWidth="1"/>
    <col min="20" max="22" width="14.53515625" customWidth="1"/>
    <col min="23" max="23" width="17.15234375" customWidth="1"/>
    <col min="24" max="24" width="15.69140625" customWidth="1"/>
    <col min="25" max="25" width="16.84375" customWidth="1"/>
    <col min="26" max="26" width="15.69140625" customWidth="1"/>
    <col min="27" max="27" width="17.15234375" customWidth="1"/>
    <col min="28" max="28" width="15.69140625" customWidth="1"/>
    <col min="29" max="30" width="14.53515625" customWidth="1"/>
    <col min="31" max="31" width="15.69140625" bestFit="1" customWidth="1"/>
    <col min="32" max="33" width="14.53515625" customWidth="1"/>
    <col min="34" max="34" width="15.69140625" bestFit="1" customWidth="1"/>
    <col min="35" max="35" width="9.15234375" customWidth="1"/>
    <col min="36" max="36" width="15.53515625" customWidth="1"/>
  </cols>
  <sheetData>
    <row r="1" spans="1:36" ht="15.75" customHeight="1" x14ac:dyDescent="0.4">
      <c r="A1" s="222" t="s">
        <v>103</v>
      </c>
      <c r="B1" s="239"/>
      <c r="C1" s="239"/>
      <c r="D1" s="239"/>
      <c r="E1" s="135" t="s">
        <v>3</v>
      </c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25" t="s">
        <v>4</v>
      </c>
      <c r="U1" s="125"/>
      <c r="V1" s="125"/>
      <c r="W1" s="125"/>
      <c r="X1" s="125"/>
      <c r="Y1" s="125"/>
      <c r="Z1" s="125"/>
      <c r="AA1" s="125"/>
      <c r="AB1" s="125"/>
      <c r="AC1" s="125"/>
      <c r="AD1" s="149"/>
      <c r="AE1" s="150"/>
      <c r="AF1" s="150"/>
      <c r="AG1" s="150"/>
      <c r="AH1" s="151"/>
      <c r="AI1" s="219" t="s">
        <v>5</v>
      </c>
      <c r="AJ1" s="242"/>
    </row>
    <row r="2" spans="1:36" ht="15" customHeight="1" x14ac:dyDescent="0.4">
      <c r="A2" s="240"/>
      <c r="B2" s="241"/>
      <c r="C2" s="241"/>
      <c r="D2" s="241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27">
        <f t="shared" ref="T2:AB2" si="0">MROUND(SUM(T4:T11),1)</f>
        <v>670</v>
      </c>
      <c r="U2" s="2">
        <f t="shared" si="0"/>
        <v>864</v>
      </c>
      <c r="V2" s="2">
        <f t="shared" si="0"/>
        <v>687</v>
      </c>
      <c r="W2" s="2">
        <f t="shared" si="0"/>
        <v>1687</v>
      </c>
      <c r="X2" s="2">
        <f t="shared" si="0"/>
        <v>721</v>
      </c>
      <c r="Y2" s="2">
        <f t="shared" si="0"/>
        <v>1041</v>
      </c>
      <c r="Z2" s="2">
        <f t="shared" si="0"/>
        <v>670</v>
      </c>
      <c r="AA2" s="2">
        <f t="shared" si="0"/>
        <v>1687</v>
      </c>
      <c r="AB2" s="2">
        <f t="shared" si="0"/>
        <v>687</v>
      </c>
      <c r="AC2" s="2">
        <f>MROUND(SUM(AC4:AC11),1)</f>
        <v>915</v>
      </c>
      <c r="AD2" s="127">
        <f t="shared" ref="AD2:AH2" si="1">MROUND(SUM(AD4:AD11),1)</f>
        <v>670</v>
      </c>
      <c r="AE2" s="152">
        <f t="shared" si="1"/>
        <v>1933</v>
      </c>
      <c r="AF2" s="152">
        <f t="shared" si="1"/>
        <v>670</v>
      </c>
      <c r="AG2" s="152">
        <f t="shared" si="1"/>
        <v>864</v>
      </c>
      <c r="AH2" s="153">
        <f t="shared" si="1"/>
        <v>738</v>
      </c>
      <c r="AI2" s="221">
        <f>SUM(T2:AH2)</f>
        <v>14504</v>
      </c>
      <c r="AJ2" s="220"/>
    </row>
    <row r="3" spans="1:36" ht="14.6" x14ac:dyDescent="0.4">
      <c r="A3" s="3" t="s">
        <v>104</v>
      </c>
      <c r="B3" s="3" t="s">
        <v>7</v>
      </c>
      <c r="C3" s="184" t="s">
        <v>8</v>
      </c>
      <c r="D3" s="4" t="s">
        <v>9</v>
      </c>
      <c r="E3" s="128" t="s">
        <v>10</v>
      </c>
      <c r="F3" s="128" t="s">
        <v>11</v>
      </c>
      <c r="G3" s="128" t="s">
        <v>12</v>
      </c>
      <c r="H3" s="128" t="s">
        <v>13</v>
      </c>
      <c r="I3" s="128" t="s">
        <v>14</v>
      </c>
      <c r="J3" s="128" t="s">
        <v>15</v>
      </c>
      <c r="K3" s="128" t="s">
        <v>16</v>
      </c>
      <c r="L3" s="128" t="s">
        <v>17</v>
      </c>
      <c r="M3" s="128" t="s">
        <v>18</v>
      </c>
      <c r="N3" s="128" t="s">
        <v>19</v>
      </c>
      <c r="O3" s="128">
        <v>11</v>
      </c>
      <c r="P3" s="128">
        <v>12</v>
      </c>
      <c r="Q3" s="128">
        <v>13</v>
      </c>
      <c r="R3" s="128">
        <v>14</v>
      </c>
      <c r="S3" s="128">
        <v>15</v>
      </c>
      <c r="T3" s="5">
        <v>10000</v>
      </c>
      <c r="U3" s="5">
        <v>20000</v>
      </c>
      <c r="V3" s="5">
        <v>30000</v>
      </c>
      <c r="W3" s="5">
        <v>40000</v>
      </c>
      <c r="X3" s="5">
        <v>50000</v>
      </c>
      <c r="Y3" s="5">
        <v>60000</v>
      </c>
      <c r="Z3" s="5">
        <v>70000</v>
      </c>
      <c r="AA3" s="5">
        <v>80000</v>
      </c>
      <c r="AB3" s="5">
        <v>90000</v>
      </c>
      <c r="AC3" s="5">
        <v>100000</v>
      </c>
      <c r="AD3" s="148">
        <f>AC3+10000</f>
        <v>110000</v>
      </c>
      <c r="AE3" s="5">
        <f t="shared" ref="AE3:AH3" si="2">AD3+10000</f>
        <v>120000</v>
      </c>
      <c r="AF3" s="5">
        <f t="shared" si="2"/>
        <v>130000</v>
      </c>
      <c r="AG3" s="5">
        <f t="shared" si="2"/>
        <v>140000</v>
      </c>
      <c r="AH3" s="5">
        <f t="shared" si="2"/>
        <v>150000</v>
      </c>
      <c r="AI3" s="52">
        <f>SUM(AI4:AI11)</f>
        <v>1.0000177430343939</v>
      </c>
      <c r="AJ3" s="3" t="s">
        <v>21</v>
      </c>
    </row>
    <row r="4" spans="1:36" ht="14.6" x14ac:dyDescent="0.4">
      <c r="A4" s="7">
        <v>1</v>
      </c>
      <c r="B4" s="8" t="s">
        <v>22</v>
      </c>
      <c r="C4" s="185" t="s">
        <v>23</v>
      </c>
      <c r="D4" s="9">
        <f>VLOOKUP(C4,'[1]PREÇO ATUAL'!$A:$D,4,0)</f>
        <v>79.900000000000006</v>
      </c>
      <c r="E4" s="10">
        <v>1</v>
      </c>
      <c r="F4" s="10">
        <v>1</v>
      </c>
      <c r="G4" s="10">
        <v>1</v>
      </c>
      <c r="H4" s="10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0">
        <v>1</v>
      </c>
      <c r="O4" s="10">
        <v>1</v>
      </c>
      <c r="P4" s="10">
        <v>1</v>
      </c>
      <c r="Q4" s="10">
        <v>1</v>
      </c>
      <c r="R4" s="10">
        <v>1</v>
      </c>
      <c r="S4" s="10">
        <v>1</v>
      </c>
      <c r="T4" s="13">
        <f t="shared" ref="T4:AC10" si="3">$D4*E4</f>
        <v>79.900000000000006</v>
      </c>
      <c r="U4" s="13">
        <f t="shared" si="3"/>
        <v>79.900000000000006</v>
      </c>
      <c r="V4" s="13">
        <f t="shared" si="3"/>
        <v>79.900000000000006</v>
      </c>
      <c r="W4" s="13">
        <f t="shared" si="3"/>
        <v>79.900000000000006</v>
      </c>
      <c r="X4" s="13">
        <f t="shared" si="3"/>
        <v>79.900000000000006</v>
      </c>
      <c r="Y4" s="13">
        <f t="shared" si="3"/>
        <v>79.900000000000006</v>
      </c>
      <c r="Z4" s="13">
        <f t="shared" si="3"/>
        <v>79.900000000000006</v>
      </c>
      <c r="AA4" s="13">
        <f t="shared" si="3"/>
        <v>79.900000000000006</v>
      </c>
      <c r="AB4" s="13">
        <f t="shared" si="3"/>
        <v>79.900000000000006</v>
      </c>
      <c r="AC4" s="13">
        <f t="shared" si="3"/>
        <v>79.900000000000006</v>
      </c>
      <c r="AD4" s="72">
        <f t="shared" ref="AD4:AH11" si="4">$D4*O4</f>
        <v>79.900000000000006</v>
      </c>
      <c r="AE4" s="13">
        <f t="shared" si="4"/>
        <v>79.900000000000006</v>
      </c>
      <c r="AF4" s="13">
        <f t="shared" si="4"/>
        <v>79.900000000000006</v>
      </c>
      <c r="AG4" s="13">
        <f t="shared" si="4"/>
        <v>79.900000000000006</v>
      </c>
      <c r="AH4" s="13">
        <f t="shared" si="4"/>
        <v>79.900000000000006</v>
      </c>
      <c r="AI4" s="37">
        <f t="shared" ref="AI4:AI11" si="5">AJ4/$AI$2</f>
        <v>8.2632377275234412E-2</v>
      </c>
      <c r="AJ4" s="13">
        <f>SUM(T4:AH4)</f>
        <v>1198.5</v>
      </c>
    </row>
    <row r="5" spans="1:36" ht="14.6" x14ac:dyDescent="0.4">
      <c r="A5" s="15">
        <v>2</v>
      </c>
      <c r="B5" s="16" t="s">
        <v>24</v>
      </c>
      <c r="C5" s="186" t="s">
        <v>25</v>
      </c>
      <c r="D5" s="17">
        <f>VLOOKUP(C5,'[1]PREÇO ATUAL'!$A:$D,4,0)</f>
        <v>35.9</v>
      </c>
      <c r="E5" s="18"/>
      <c r="F5" s="18">
        <v>1</v>
      </c>
      <c r="G5" s="18"/>
      <c r="H5" s="18">
        <v>1</v>
      </c>
      <c r="I5" s="19"/>
      <c r="J5" s="19">
        <v>1</v>
      </c>
      <c r="K5" s="19"/>
      <c r="L5" s="19">
        <v>1</v>
      </c>
      <c r="M5" s="19"/>
      <c r="N5" s="18">
        <v>1</v>
      </c>
      <c r="O5" s="155"/>
      <c r="P5" s="18">
        <v>1</v>
      </c>
      <c r="Q5" s="19"/>
      <c r="R5" s="19">
        <v>1</v>
      </c>
      <c r="S5" s="19"/>
      <c r="T5" s="21">
        <f t="shared" si="3"/>
        <v>0</v>
      </c>
      <c r="U5" s="21">
        <f t="shared" si="3"/>
        <v>35.9</v>
      </c>
      <c r="V5" s="21">
        <f t="shared" si="3"/>
        <v>0</v>
      </c>
      <c r="W5" s="21">
        <f t="shared" si="3"/>
        <v>35.9</v>
      </c>
      <c r="X5" s="21">
        <f t="shared" si="3"/>
        <v>0</v>
      </c>
      <c r="Y5" s="21">
        <f t="shared" si="3"/>
        <v>35.9</v>
      </c>
      <c r="Z5" s="21">
        <f t="shared" si="3"/>
        <v>0</v>
      </c>
      <c r="AA5" s="21">
        <f t="shared" si="3"/>
        <v>35.9</v>
      </c>
      <c r="AB5" s="21">
        <f t="shared" si="3"/>
        <v>0</v>
      </c>
      <c r="AC5" s="21">
        <f t="shared" si="3"/>
        <v>35.9</v>
      </c>
      <c r="AD5" s="73">
        <f t="shared" si="4"/>
        <v>0</v>
      </c>
      <c r="AE5" s="21">
        <f t="shared" si="4"/>
        <v>35.9</v>
      </c>
      <c r="AF5" s="21">
        <f t="shared" si="4"/>
        <v>0</v>
      </c>
      <c r="AG5" s="21">
        <f t="shared" si="4"/>
        <v>35.9</v>
      </c>
      <c r="AH5" s="21">
        <f t="shared" si="4"/>
        <v>0</v>
      </c>
      <c r="AI5" s="38">
        <f t="shared" si="5"/>
        <v>1.7326254826254828E-2</v>
      </c>
      <c r="AJ5" s="21">
        <f t="shared" ref="AJ5:AJ11" si="6">SUM(T5:AH5)</f>
        <v>251.3</v>
      </c>
    </row>
    <row r="6" spans="1:36" ht="14.6" x14ac:dyDescent="0.4">
      <c r="A6" s="7">
        <v>3</v>
      </c>
      <c r="B6" s="8" t="s">
        <v>26</v>
      </c>
      <c r="C6" s="185" t="s">
        <v>27</v>
      </c>
      <c r="D6" s="9">
        <f>VLOOKUP(C6,'[1]PREÇO ATUAL'!$A:$D,4,0)</f>
        <v>89.9</v>
      </c>
      <c r="E6" s="10"/>
      <c r="F6" s="10">
        <v>1</v>
      </c>
      <c r="G6" s="10"/>
      <c r="H6" s="10">
        <v>1</v>
      </c>
      <c r="I6" s="11"/>
      <c r="J6" s="11">
        <v>1</v>
      </c>
      <c r="K6" s="11"/>
      <c r="L6" s="11">
        <v>1</v>
      </c>
      <c r="M6" s="11"/>
      <c r="N6" s="10">
        <v>1</v>
      </c>
      <c r="O6" s="154"/>
      <c r="P6" s="10">
        <v>1</v>
      </c>
      <c r="Q6" s="11"/>
      <c r="R6" s="11">
        <v>1</v>
      </c>
      <c r="S6" s="11"/>
      <c r="T6" s="13">
        <f t="shared" si="3"/>
        <v>0</v>
      </c>
      <c r="U6" s="13">
        <f t="shared" si="3"/>
        <v>89.9</v>
      </c>
      <c r="V6" s="13">
        <f t="shared" si="3"/>
        <v>0</v>
      </c>
      <c r="W6" s="13">
        <f t="shared" si="3"/>
        <v>89.9</v>
      </c>
      <c r="X6" s="13">
        <f t="shared" si="3"/>
        <v>0</v>
      </c>
      <c r="Y6" s="13">
        <f t="shared" si="3"/>
        <v>89.9</v>
      </c>
      <c r="Z6" s="13">
        <f t="shared" si="3"/>
        <v>0</v>
      </c>
      <c r="AA6" s="13">
        <f t="shared" si="3"/>
        <v>89.9</v>
      </c>
      <c r="AB6" s="13">
        <f t="shared" si="3"/>
        <v>0</v>
      </c>
      <c r="AC6" s="13">
        <f t="shared" si="3"/>
        <v>89.9</v>
      </c>
      <c r="AD6" s="72">
        <f t="shared" si="4"/>
        <v>0</v>
      </c>
      <c r="AE6" s="13">
        <f t="shared" si="4"/>
        <v>89.9</v>
      </c>
      <c r="AF6" s="13">
        <f t="shared" si="4"/>
        <v>0</v>
      </c>
      <c r="AG6" s="13">
        <f t="shared" si="4"/>
        <v>89.9</v>
      </c>
      <c r="AH6" s="13">
        <f t="shared" si="4"/>
        <v>0</v>
      </c>
      <c r="AI6" s="37">
        <f t="shared" si="5"/>
        <v>4.3388030888030886E-2</v>
      </c>
      <c r="AJ6" s="13">
        <f>SUM(T6:AH6)</f>
        <v>629.29999999999995</v>
      </c>
    </row>
    <row r="7" spans="1:36" ht="14.6" x14ac:dyDescent="0.4">
      <c r="A7" s="15">
        <v>4</v>
      </c>
      <c r="B7" s="16" t="s">
        <v>28</v>
      </c>
      <c r="C7" s="186" t="s">
        <v>29</v>
      </c>
      <c r="D7" s="17">
        <f>VLOOKUP(C7,'[1]PREÇO ATUAL'!$A:$D,4,0)</f>
        <v>175.9</v>
      </c>
      <c r="E7" s="18"/>
      <c r="F7" s="18"/>
      <c r="G7" s="18"/>
      <c r="H7" s="18">
        <v>4</v>
      </c>
      <c r="I7" s="19"/>
      <c r="J7" s="19"/>
      <c r="K7" s="19"/>
      <c r="L7" s="19">
        <v>4</v>
      </c>
      <c r="M7" s="19"/>
      <c r="N7" s="18"/>
      <c r="O7" s="155"/>
      <c r="P7" s="18">
        <v>4</v>
      </c>
      <c r="Q7" s="19"/>
      <c r="R7" s="19"/>
      <c r="S7" s="19"/>
      <c r="T7" s="21">
        <f t="shared" si="3"/>
        <v>0</v>
      </c>
      <c r="U7" s="21">
        <f t="shared" si="3"/>
        <v>0</v>
      </c>
      <c r="V7" s="21">
        <f t="shared" si="3"/>
        <v>0</v>
      </c>
      <c r="W7" s="21">
        <f t="shared" si="3"/>
        <v>703.6</v>
      </c>
      <c r="X7" s="21">
        <f t="shared" si="3"/>
        <v>0</v>
      </c>
      <c r="Y7" s="21">
        <f t="shared" si="3"/>
        <v>0</v>
      </c>
      <c r="Z7" s="21">
        <f t="shared" si="3"/>
        <v>0</v>
      </c>
      <c r="AA7" s="21">
        <f t="shared" si="3"/>
        <v>703.6</v>
      </c>
      <c r="AB7" s="21">
        <f t="shared" si="3"/>
        <v>0</v>
      </c>
      <c r="AC7" s="21">
        <f t="shared" si="3"/>
        <v>0</v>
      </c>
      <c r="AD7" s="73">
        <f t="shared" si="4"/>
        <v>0</v>
      </c>
      <c r="AE7" s="21">
        <f t="shared" si="4"/>
        <v>703.6</v>
      </c>
      <c r="AF7" s="21">
        <f t="shared" si="4"/>
        <v>0</v>
      </c>
      <c r="AG7" s="21">
        <f t="shared" si="4"/>
        <v>0</v>
      </c>
      <c r="AH7" s="21">
        <f t="shared" si="4"/>
        <v>0</v>
      </c>
      <c r="AI7" s="38">
        <f t="shared" si="5"/>
        <v>0.1455322669608384</v>
      </c>
      <c r="AJ7" s="21">
        <f>SUM(T7:AH7)</f>
        <v>2110.8000000000002</v>
      </c>
    </row>
    <row r="8" spans="1:36" ht="14.6" x14ac:dyDescent="0.4">
      <c r="A8" s="7">
        <v>5</v>
      </c>
      <c r="B8" s="8" t="s">
        <v>30</v>
      </c>
      <c r="C8" s="185" t="s">
        <v>31</v>
      </c>
      <c r="D8" s="9">
        <f>VLOOKUP(C8,'[1]PREÇO ATUAL'!$A:$D,4,0)</f>
        <v>143.22999999999999</v>
      </c>
      <c r="E8" s="10"/>
      <c r="F8" s="10"/>
      <c r="G8" s="10"/>
      <c r="H8" s="10"/>
      <c r="I8" s="11"/>
      <c r="J8" s="11">
        <v>1</v>
      </c>
      <c r="K8" s="11"/>
      <c r="L8" s="11"/>
      <c r="M8" s="11"/>
      <c r="N8" s="10"/>
      <c r="O8" s="154"/>
      <c r="P8" s="10">
        <v>1</v>
      </c>
      <c r="Q8" s="11"/>
      <c r="R8" s="11"/>
      <c r="S8" s="11"/>
      <c r="T8" s="13">
        <f t="shared" si="3"/>
        <v>0</v>
      </c>
      <c r="U8" s="13">
        <f t="shared" si="3"/>
        <v>0</v>
      </c>
      <c r="V8" s="13">
        <f t="shared" si="3"/>
        <v>0</v>
      </c>
      <c r="W8" s="13">
        <f t="shared" si="3"/>
        <v>0</v>
      </c>
      <c r="X8" s="13">
        <f t="shared" si="3"/>
        <v>0</v>
      </c>
      <c r="Y8" s="13">
        <f t="shared" si="3"/>
        <v>143.22999999999999</v>
      </c>
      <c r="Z8" s="13">
        <f t="shared" si="3"/>
        <v>0</v>
      </c>
      <c r="AA8" s="13">
        <f t="shared" si="3"/>
        <v>0</v>
      </c>
      <c r="AB8" s="13">
        <f t="shared" si="3"/>
        <v>0</v>
      </c>
      <c r="AC8" s="13">
        <f t="shared" si="3"/>
        <v>0</v>
      </c>
      <c r="AD8" s="72">
        <f t="shared" si="4"/>
        <v>0</v>
      </c>
      <c r="AE8" s="13">
        <f t="shared" si="4"/>
        <v>143.22999999999999</v>
      </c>
      <c r="AF8" s="13">
        <f t="shared" si="4"/>
        <v>0</v>
      </c>
      <c r="AG8" s="13">
        <f t="shared" si="4"/>
        <v>0</v>
      </c>
      <c r="AH8" s="13">
        <f t="shared" si="4"/>
        <v>0</v>
      </c>
      <c r="AI8" s="37">
        <f t="shared" si="5"/>
        <v>1.9750413678985106E-2</v>
      </c>
      <c r="AJ8" s="13">
        <f>SUM(T8:AH8)</f>
        <v>286.45999999999998</v>
      </c>
    </row>
    <row r="9" spans="1:36" ht="14.6" x14ac:dyDescent="0.4">
      <c r="A9" s="15">
        <v>6</v>
      </c>
      <c r="B9" s="16" t="s">
        <v>34</v>
      </c>
      <c r="C9" s="186" t="s">
        <v>35</v>
      </c>
      <c r="D9" s="17">
        <f>VLOOKUP(C9,'[1]PREÇO ATUAL'!$A:$D,4,0)</f>
        <v>33.622493083850472</v>
      </c>
      <c r="E9" s="18"/>
      <c r="F9" s="18"/>
      <c r="G9" s="18"/>
      <c r="H9" s="18"/>
      <c r="I9" s="19"/>
      <c r="J9" s="19"/>
      <c r="K9" s="19"/>
      <c r="L9" s="19"/>
      <c r="M9" s="19"/>
      <c r="N9" s="18"/>
      <c r="O9" s="155"/>
      <c r="P9" s="18"/>
      <c r="Q9" s="19"/>
      <c r="R9" s="19"/>
      <c r="S9" s="19"/>
      <c r="T9" s="21">
        <f t="shared" si="3"/>
        <v>0</v>
      </c>
      <c r="U9" s="21">
        <f t="shared" si="3"/>
        <v>0</v>
      </c>
      <c r="V9" s="21">
        <f t="shared" si="3"/>
        <v>0</v>
      </c>
      <c r="W9" s="21">
        <f t="shared" si="3"/>
        <v>0</v>
      </c>
      <c r="X9" s="21">
        <f t="shared" si="3"/>
        <v>0</v>
      </c>
      <c r="Y9" s="21">
        <f t="shared" si="3"/>
        <v>0</v>
      </c>
      <c r="Z9" s="21">
        <f t="shared" si="3"/>
        <v>0</v>
      </c>
      <c r="AA9" s="21">
        <f t="shared" si="3"/>
        <v>0</v>
      </c>
      <c r="AB9" s="21">
        <f t="shared" si="3"/>
        <v>0</v>
      </c>
      <c r="AC9" s="21">
        <f t="shared" si="3"/>
        <v>0</v>
      </c>
      <c r="AD9" s="73">
        <f t="shared" si="4"/>
        <v>0</v>
      </c>
      <c r="AE9" s="21">
        <f t="shared" si="4"/>
        <v>0</v>
      </c>
      <c r="AF9" s="21">
        <f t="shared" si="4"/>
        <v>0</v>
      </c>
      <c r="AG9" s="21">
        <f t="shared" si="4"/>
        <v>0</v>
      </c>
      <c r="AH9" s="21">
        <f t="shared" si="4"/>
        <v>0</v>
      </c>
      <c r="AI9" s="38">
        <f t="shared" si="5"/>
        <v>0</v>
      </c>
      <c r="AJ9" s="21">
        <f>SUM(T9:AH9)</f>
        <v>0</v>
      </c>
    </row>
    <row r="10" spans="1:36" ht="14.6" x14ac:dyDescent="0.4">
      <c r="A10" s="7">
        <v>7</v>
      </c>
      <c r="B10" s="8" t="s">
        <v>36</v>
      </c>
      <c r="C10" s="185" t="s">
        <v>37</v>
      </c>
      <c r="D10" s="9">
        <f>VLOOKUP(C10,'[1]PREÇO ATUAL'!$A:$D,4,0)</f>
        <v>94.126931447834295</v>
      </c>
      <c r="E10" s="45">
        <v>3.36</v>
      </c>
      <c r="F10" s="45">
        <v>3.36</v>
      </c>
      <c r="G10" s="45">
        <v>3.36</v>
      </c>
      <c r="H10" s="45">
        <v>3.36</v>
      </c>
      <c r="I10" s="45">
        <v>3.36</v>
      </c>
      <c r="J10" s="45">
        <v>3.36</v>
      </c>
      <c r="K10" s="45">
        <v>3.36</v>
      </c>
      <c r="L10" s="45">
        <v>3.36</v>
      </c>
      <c r="M10" s="45">
        <v>3.36</v>
      </c>
      <c r="N10" s="45">
        <v>3.36</v>
      </c>
      <c r="O10" s="45">
        <v>3.36</v>
      </c>
      <c r="P10" s="45">
        <v>3.36</v>
      </c>
      <c r="Q10" s="45">
        <v>3.36</v>
      </c>
      <c r="R10" s="45">
        <v>3.36</v>
      </c>
      <c r="S10" s="45">
        <v>3.36</v>
      </c>
      <c r="T10" s="13">
        <f t="shared" si="3"/>
        <v>316.26648966472322</v>
      </c>
      <c r="U10" s="13">
        <f t="shared" si="3"/>
        <v>316.26648966472322</v>
      </c>
      <c r="V10" s="13">
        <f t="shared" si="3"/>
        <v>316.26648966472322</v>
      </c>
      <c r="W10" s="13">
        <f t="shared" si="3"/>
        <v>316.26648966472322</v>
      </c>
      <c r="X10" s="13">
        <f t="shared" si="3"/>
        <v>316.26648966472322</v>
      </c>
      <c r="Y10" s="13">
        <f t="shared" si="3"/>
        <v>316.26648966472322</v>
      </c>
      <c r="Z10" s="13">
        <f t="shared" si="3"/>
        <v>316.26648966472322</v>
      </c>
      <c r="AA10" s="13">
        <f t="shared" si="3"/>
        <v>316.26648966472322</v>
      </c>
      <c r="AB10" s="13">
        <f t="shared" si="3"/>
        <v>316.26648966472322</v>
      </c>
      <c r="AC10" s="13">
        <f t="shared" si="3"/>
        <v>316.26648966472322</v>
      </c>
      <c r="AD10" s="72">
        <f t="shared" si="4"/>
        <v>316.26648966472322</v>
      </c>
      <c r="AE10" s="13">
        <f t="shared" si="4"/>
        <v>316.26648966472322</v>
      </c>
      <c r="AF10" s="13">
        <f t="shared" si="4"/>
        <v>316.26648966472322</v>
      </c>
      <c r="AG10" s="13">
        <f t="shared" si="4"/>
        <v>316.26648966472322</v>
      </c>
      <c r="AH10" s="13">
        <f t="shared" si="4"/>
        <v>316.26648966472322</v>
      </c>
      <c r="AI10" s="37">
        <f t="shared" si="5"/>
        <v>0.32708200117008057</v>
      </c>
      <c r="AJ10" s="13">
        <f t="shared" si="6"/>
        <v>4743.9973449708486</v>
      </c>
    </row>
    <row r="11" spans="1:36" ht="14.6" x14ac:dyDescent="0.4">
      <c r="A11" s="15">
        <v>8</v>
      </c>
      <c r="B11" s="16" t="s">
        <v>38</v>
      </c>
      <c r="C11" s="186" t="s">
        <v>39</v>
      </c>
      <c r="D11" s="17">
        <f>VLOOKUP(C11,'[1]PREÇO ATUAL'!$A:$D,4,0)</f>
        <v>342</v>
      </c>
      <c r="E11" s="24">
        <v>0.8</v>
      </c>
      <c r="F11" s="24">
        <v>1</v>
      </c>
      <c r="G11" s="24">
        <v>0.85</v>
      </c>
      <c r="H11" s="24">
        <v>1.35</v>
      </c>
      <c r="I11" s="17">
        <v>0.95</v>
      </c>
      <c r="J11" s="17">
        <v>1.1000000000000001</v>
      </c>
      <c r="K11" s="17">
        <v>0.8</v>
      </c>
      <c r="L11" s="17">
        <v>1.35</v>
      </c>
      <c r="M11" s="17">
        <v>0.85</v>
      </c>
      <c r="N11" s="24">
        <v>1.1499999999999999</v>
      </c>
      <c r="O11" s="156">
        <v>0.8</v>
      </c>
      <c r="P11" s="24">
        <v>1.65</v>
      </c>
      <c r="Q11" s="17">
        <v>0.8</v>
      </c>
      <c r="R11" s="17">
        <v>1</v>
      </c>
      <c r="S11" s="17">
        <v>1</v>
      </c>
      <c r="T11" s="21">
        <f>D11*E11</f>
        <v>273.60000000000002</v>
      </c>
      <c r="U11" s="21">
        <f t="shared" ref="U11:AC11" si="7">$D11*F11</f>
        <v>342</v>
      </c>
      <c r="V11" s="21">
        <f t="shared" si="7"/>
        <v>290.7</v>
      </c>
      <c r="W11" s="21">
        <f t="shared" si="7"/>
        <v>461.70000000000005</v>
      </c>
      <c r="X11" s="21">
        <f t="shared" si="7"/>
        <v>324.89999999999998</v>
      </c>
      <c r="Y11" s="21">
        <f t="shared" si="7"/>
        <v>376.20000000000005</v>
      </c>
      <c r="Z11" s="21">
        <f t="shared" si="7"/>
        <v>273.60000000000002</v>
      </c>
      <c r="AA11" s="21">
        <f t="shared" si="7"/>
        <v>461.70000000000005</v>
      </c>
      <c r="AB11" s="21">
        <f t="shared" si="7"/>
        <v>290.7</v>
      </c>
      <c r="AC11" s="21">
        <f t="shared" si="7"/>
        <v>393.29999999999995</v>
      </c>
      <c r="AD11" s="73">
        <f t="shared" si="4"/>
        <v>273.60000000000002</v>
      </c>
      <c r="AE11" s="21">
        <f t="shared" si="4"/>
        <v>564.29999999999995</v>
      </c>
      <c r="AF11" s="21">
        <f t="shared" si="4"/>
        <v>273.60000000000002</v>
      </c>
      <c r="AG11" s="21">
        <f t="shared" si="4"/>
        <v>342</v>
      </c>
      <c r="AH11" s="21">
        <f t="shared" si="4"/>
        <v>342</v>
      </c>
      <c r="AI11" s="38">
        <f t="shared" si="5"/>
        <v>0.36430639823496969</v>
      </c>
      <c r="AJ11" s="21">
        <f t="shared" si="6"/>
        <v>5283.9000000000005</v>
      </c>
    </row>
    <row r="12" spans="1:36" ht="14.6" x14ac:dyDescent="0.4">
      <c r="H12" s="39"/>
    </row>
    <row r="13" spans="1:36" ht="15.75" customHeight="1" x14ac:dyDescent="0.4">
      <c r="A13" s="222" t="s">
        <v>105</v>
      </c>
      <c r="B13" s="239"/>
      <c r="C13" s="239"/>
      <c r="D13" s="239"/>
      <c r="E13" s="135" t="s">
        <v>3</v>
      </c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25" t="s">
        <v>4</v>
      </c>
      <c r="U13" s="125"/>
      <c r="V13" s="125"/>
      <c r="W13" s="125"/>
      <c r="X13" s="125"/>
      <c r="Y13" s="125"/>
      <c r="Z13" s="125"/>
      <c r="AA13" s="125"/>
      <c r="AB13" s="125"/>
      <c r="AC13" s="125"/>
      <c r="AD13" s="149"/>
      <c r="AE13" s="150"/>
      <c r="AF13" s="150"/>
      <c r="AG13" s="150"/>
      <c r="AH13" s="151"/>
      <c r="AI13" s="219" t="s">
        <v>5</v>
      </c>
      <c r="AJ13" s="242"/>
    </row>
    <row r="14" spans="1:36" ht="15" customHeight="1" x14ac:dyDescent="0.4">
      <c r="A14" s="240"/>
      <c r="B14" s="241"/>
      <c r="C14" s="241"/>
      <c r="D14" s="241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27">
        <f t="shared" ref="T14:AB14" si="8">MROUND(SUM(T16:T24),1)</f>
        <v>670</v>
      </c>
      <c r="U14" s="2">
        <f t="shared" si="8"/>
        <v>864</v>
      </c>
      <c r="V14" s="2">
        <f t="shared" si="8"/>
        <v>687</v>
      </c>
      <c r="W14" s="2">
        <f t="shared" si="8"/>
        <v>1687</v>
      </c>
      <c r="X14" s="2">
        <f t="shared" si="8"/>
        <v>721</v>
      </c>
      <c r="Y14" s="2">
        <f t="shared" si="8"/>
        <v>1041</v>
      </c>
      <c r="Z14" s="2">
        <f t="shared" si="8"/>
        <v>670</v>
      </c>
      <c r="AA14" s="2">
        <f t="shared" si="8"/>
        <v>1687</v>
      </c>
      <c r="AB14" s="2">
        <f t="shared" si="8"/>
        <v>687</v>
      </c>
      <c r="AC14" s="2">
        <f>MROUND(SUM(AC16:AC24),1)</f>
        <v>915</v>
      </c>
      <c r="AD14" s="127">
        <f t="shared" ref="AD14:AH14" si="9">MROUND(SUM(AD16:AD24),1)</f>
        <v>670</v>
      </c>
      <c r="AE14" s="152">
        <f t="shared" si="9"/>
        <v>2265</v>
      </c>
      <c r="AF14" s="152">
        <f t="shared" si="9"/>
        <v>670</v>
      </c>
      <c r="AG14" s="152">
        <f t="shared" si="9"/>
        <v>864</v>
      </c>
      <c r="AH14" s="153">
        <f t="shared" si="9"/>
        <v>1442</v>
      </c>
      <c r="AI14" s="221">
        <f>SUM(T14:AH14)</f>
        <v>15540</v>
      </c>
      <c r="AJ14" s="220"/>
    </row>
    <row r="15" spans="1:36" ht="14.6" x14ac:dyDescent="0.4">
      <c r="A15" s="3" t="s">
        <v>6</v>
      </c>
      <c r="B15" s="3" t="s">
        <v>7</v>
      </c>
      <c r="C15" s="184" t="s">
        <v>8</v>
      </c>
      <c r="D15" s="4" t="s">
        <v>9</v>
      </c>
      <c r="E15" s="128" t="s">
        <v>10</v>
      </c>
      <c r="F15" s="128" t="s">
        <v>11</v>
      </c>
      <c r="G15" s="128" t="s">
        <v>12</v>
      </c>
      <c r="H15" s="128" t="s">
        <v>13</v>
      </c>
      <c r="I15" s="128" t="s">
        <v>14</v>
      </c>
      <c r="J15" s="128" t="s">
        <v>15</v>
      </c>
      <c r="K15" s="128" t="s">
        <v>16</v>
      </c>
      <c r="L15" s="128" t="s">
        <v>17</v>
      </c>
      <c r="M15" s="128" t="s">
        <v>18</v>
      </c>
      <c r="N15" s="128" t="s">
        <v>19</v>
      </c>
      <c r="O15" s="128">
        <v>11</v>
      </c>
      <c r="P15" s="128">
        <v>12</v>
      </c>
      <c r="Q15" s="128">
        <v>13</v>
      </c>
      <c r="R15" s="128">
        <v>14</v>
      </c>
      <c r="S15" s="128">
        <v>15</v>
      </c>
      <c r="T15" s="5">
        <v>10000</v>
      </c>
      <c r="U15" s="5">
        <v>20000</v>
      </c>
      <c r="V15" s="5">
        <v>30000</v>
      </c>
      <c r="W15" s="5">
        <v>40000</v>
      </c>
      <c r="X15" s="5">
        <v>50000</v>
      </c>
      <c r="Y15" s="5">
        <v>60000</v>
      </c>
      <c r="Z15" s="5">
        <v>70000</v>
      </c>
      <c r="AA15" s="5">
        <v>80000</v>
      </c>
      <c r="AB15" s="5">
        <v>90000</v>
      </c>
      <c r="AC15" s="5">
        <v>100000</v>
      </c>
      <c r="AD15" s="148">
        <f>AC15+10000</f>
        <v>110000</v>
      </c>
      <c r="AE15" s="5">
        <f t="shared" ref="AE15:AH15" si="10">AD15+10000</f>
        <v>120000</v>
      </c>
      <c r="AF15" s="5">
        <f t="shared" si="10"/>
        <v>130000</v>
      </c>
      <c r="AG15" s="5">
        <f t="shared" si="10"/>
        <v>140000</v>
      </c>
      <c r="AH15" s="5">
        <f t="shared" si="10"/>
        <v>150000</v>
      </c>
      <c r="AI15" s="52">
        <f>SUM(AI16:AI24)</f>
        <v>1.0714157187652269</v>
      </c>
      <c r="AJ15" s="3" t="s">
        <v>21</v>
      </c>
    </row>
    <row r="16" spans="1:36" ht="14.6" x14ac:dyDescent="0.4">
      <c r="A16" s="7">
        <v>1</v>
      </c>
      <c r="B16" s="8" t="s">
        <v>22</v>
      </c>
      <c r="C16" s="185" t="s">
        <v>23</v>
      </c>
      <c r="D16" s="9">
        <f>VLOOKUP(C16,'[1]PREÇO ATUAL'!$A:$D,4,0)</f>
        <v>79.900000000000006</v>
      </c>
      <c r="E16" s="10">
        <v>1</v>
      </c>
      <c r="F16" s="10">
        <v>1</v>
      </c>
      <c r="G16" s="10">
        <v>1</v>
      </c>
      <c r="H16" s="10">
        <v>1</v>
      </c>
      <c r="I16" s="11">
        <v>1</v>
      </c>
      <c r="J16" s="11">
        <v>1</v>
      </c>
      <c r="K16" s="11">
        <v>1</v>
      </c>
      <c r="L16" s="11">
        <v>1</v>
      </c>
      <c r="M16" s="11">
        <v>1</v>
      </c>
      <c r="N16" s="10">
        <v>1</v>
      </c>
      <c r="O16" s="10">
        <v>1</v>
      </c>
      <c r="P16" s="10">
        <v>1</v>
      </c>
      <c r="Q16" s="10">
        <v>1</v>
      </c>
      <c r="R16" s="10">
        <v>1</v>
      </c>
      <c r="S16" s="10">
        <v>1</v>
      </c>
      <c r="T16" s="13">
        <f t="shared" ref="T16:AC23" si="11">$D16*E16</f>
        <v>79.900000000000006</v>
      </c>
      <c r="U16" s="13">
        <f t="shared" si="11"/>
        <v>79.900000000000006</v>
      </c>
      <c r="V16" s="13">
        <f t="shared" si="11"/>
        <v>79.900000000000006</v>
      </c>
      <c r="W16" s="13">
        <f t="shared" si="11"/>
        <v>79.900000000000006</v>
      </c>
      <c r="X16" s="13">
        <f t="shared" si="11"/>
        <v>79.900000000000006</v>
      </c>
      <c r="Y16" s="13">
        <f t="shared" si="11"/>
        <v>79.900000000000006</v>
      </c>
      <c r="Z16" s="13">
        <f t="shared" si="11"/>
        <v>79.900000000000006</v>
      </c>
      <c r="AA16" s="13">
        <f t="shared" si="11"/>
        <v>79.900000000000006</v>
      </c>
      <c r="AB16" s="13">
        <f t="shared" si="11"/>
        <v>79.900000000000006</v>
      </c>
      <c r="AC16" s="13">
        <f t="shared" si="11"/>
        <v>79.900000000000006</v>
      </c>
      <c r="AD16" s="72">
        <f t="shared" ref="AD16:AD24" si="12">$D16*O16</f>
        <v>79.900000000000006</v>
      </c>
      <c r="AE16" s="13">
        <f t="shared" ref="AE16:AE24" si="13">$D16*P16</f>
        <v>79.900000000000006</v>
      </c>
      <c r="AF16" s="13">
        <f t="shared" ref="AF16:AF24" si="14">$D16*Q16</f>
        <v>79.900000000000006</v>
      </c>
      <c r="AG16" s="13">
        <f t="shared" ref="AG16:AG24" si="15">$D16*R16</f>
        <v>79.900000000000006</v>
      </c>
      <c r="AH16" s="13">
        <f t="shared" ref="AH16:AH24" si="16">$D16*S16</f>
        <v>79.900000000000006</v>
      </c>
      <c r="AI16" s="37">
        <f t="shared" ref="AI16:AI24" si="17">AJ16/$AI$2</f>
        <v>8.2632377275234412E-2</v>
      </c>
      <c r="AJ16" s="13">
        <f>SUM(T16:AH16)</f>
        <v>1198.5</v>
      </c>
    </row>
    <row r="17" spans="1:36" ht="14.6" x14ac:dyDescent="0.4">
      <c r="A17" s="15">
        <v>2</v>
      </c>
      <c r="B17" s="16" t="s">
        <v>24</v>
      </c>
      <c r="C17" s="186" t="s">
        <v>25</v>
      </c>
      <c r="D17" s="17">
        <f>VLOOKUP(C17,'[1]PREÇO ATUAL'!$A:$D,4,0)</f>
        <v>35.9</v>
      </c>
      <c r="E17" s="18"/>
      <c r="F17" s="18">
        <v>1</v>
      </c>
      <c r="G17" s="18"/>
      <c r="H17" s="18">
        <v>1</v>
      </c>
      <c r="I17" s="19"/>
      <c r="J17" s="19">
        <v>1</v>
      </c>
      <c r="K17" s="19"/>
      <c r="L17" s="19">
        <v>1</v>
      </c>
      <c r="M17" s="19"/>
      <c r="N17" s="18">
        <v>1</v>
      </c>
      <c r="O17" s="155"/>
      <c r="P17" s="18">
        <v>1</v>
      </c>
      <c r="Q17" s="19"/>
      <c r="R17" s="19">
        <v>1</v>
      </c>
      <c r="S17" s="19"/>
      <c r="T17" s="21">
        <f t="shared" si="11"/>
        <v>0</v>
      </c>
      <c r="U17" s="21">
        <f t="shared" si="11"/>
        <v>35.9</v>
      </c>
      <c r="V17" s="21">
        <f t="shared" si="11"/>
        <v>0</v>
      </c>
      <c r="W17" s="21">
        <f t="shared" si="11"/>
        <v>35.9</v>
      </c>
      <c r="X17" s="21">
        <f t="shared" si="11"/>
        <v>0</v>
      </c>
      <c r="Y17" s="21">
        <f t="shared" si="11"/>
        <v>35.9</v>
      </c>
      <c r="Z17" s="21">
        <f t="shared" si="11"/>
        <v>0</v>
      </c>
      <c r="AA17" s="21">
        <f t="shared" si="11"/>
        <v>35.9</v>
      </c>
      <c r="AB17" s="21">
        <f t="shared" si="11"/>
        <v>0</v>
      </c>
      <c r="AC17" s="21">
        <f t="shared" si="11"/>
        <v>35.9</v>
      </c>
      <c r="AD17" s="73">
        <f t="shared" si="12"/>
        <v>0</v>
      </c>
      <c r="AE17" s="21">
        <f t="shared" si="13"/>
        <v>35.9</v>
      </c>
      <c r="AF17" s="21">
        <f t="shared" si="14"/>
        <v>0</v>
      </c>
      <c r="AG17" s="21">
        <f t="shared" si="15"/>
        <v>35.9</v>
      </c>
      <c r="AH17" s="21">
        <f t="shared" si="16"/>
        <v>0</v>
      </c>
      <c r="AI17" s="38">
        <f t="shared" si="17"/>
        <v>1.7326254826254828E-2</v>
      </c>
      <c r="AJ17" s="21">
        <f t="shared" ref="AJ17" si="18">SUM(T17:AH17)</f>
        <v>251.3</v>
      </c>
    </row>
    <row r="18" spans="1:36" ht="14.6" x14ac:dyDescent="0.4">
      <c r="A18" s="7">
        <v>3</v>
      </c>
      <c r="B18" s="8" t="s">
        <v>26</v>
      </c>
      <c r="C18" s="185" t="s">
        <v>27</v>
      </c>
      <c r="D18" s="9">
        <f>VLOOKUP(C18,'[1]PREÇO ATUAL'!$A:$D,4,0)</f>
        <v>89.9</v>
      </c>
      <c r="E18" s="10"/>
      <c r="F18" s="10">
        <v>1</v>
      </c>
      <c r="G18" s="10"/>
      <c r="H18" s="10">
        <v>1</v>
      </c>
      <c r="I18" s="11"/>
      <c r="J18" s="11">
        <v>1</v>
      </c>
      <c r="K18" s="11"/>
      <c r="L18" s="11">
        <v>1</v>
      </c>
      <c r="M18" s="11"/>
      <c r="N18" s="10">
        <v>1</v>
      </c>
      <c r="O18" s="154"/>
      <c r="P18" s="10">
        <v>1</v>
      </c>
      <c r="Q18" s="11"/>
      <c r="R18" s="11">
        <v>1</v>
      </c>
      <c r="S18" s="11"/>
      <c r="T18" s="13">
        <f t="shared" si="11"/>
        <v>0</v>
      </c>
      <c r="U18" s="13">
        <f t="shared" si="11"/>
        <v>89.9</v>
      </c>
      <c r="V18" s="13">
        <f t="shared" si="11"/>
        <v>0</v>
      </c>
      <c r="W18" s="13">
        <f t="shared" si="11"/>
        <v>89.9</v>
      </c>
      <c r="X18" s="13">
        <f t="shared" si="11"/>
        <v>0</v>
      </c>
      <c r="Y18" s="13">
        <f t="shared" si="11"/>
        <v>89.9</v>
      </c>
      <c r="Z18" s="13">
        <f t="shared" si="11"/>
        <v>0</v>
      </c>
      <c r="AA18" s="13">
        <f t="shared" si="11"/>
        <v>89.9</v>
      </c>
      <c r="AB18" s="13">
        <f t="shared" si="11"/>
        <v>0</v>
      </c>
      <c r="AC18" s="13">
        <f t="shared" si="11"/>
        <v>89.9</v>
      </c>
      <c r="AD18" s="72">
        <f t="shared" si="12"/>
        <v>0</v>
      </c>
      <c r="AE18" s="13">
        <f t="shared" si="13"/>
        <v>89.9</v>
      </c>
      <c r="AF18" s="13">
        <f t="shared" si="14"/>
        <v>0</v>
      </c>
      <c r="AG18" s="13">
        <f t="shared" si="15"/>
        <v>89.9</v>
      </c>
      <c r="AH18" s="13">
        <f t="shared" si="16"/>
        <v>0</v>
      </c>
      <c r="AI18" s="37">
        <f t="shared" si="17"/>
        <v>4.3388030888030886E-2</v>
      </c>
      <c r="AJ18" s="13">
        <f>SUM(T18:AH18)</f>
        <v>629.29999999999995</v>
      </c>
    </row>
    <row r="19" spans="1:36" ht="14.6" x14ac:dyDescent="0.4">
      <c r="A19" s="15">
        <v>4</v>
      </c>
      <c r="B19" s="16" t="s">
        <v>28</v>
      </c>
      <c r="C19" s="186" t="s">
        <v>29</v>
      </c>
      <c r="D19" s="17">
        <f>VLOOKUP(C19,'[1]PREÇO ATUAL'!$A:$D,4,0)</f>
        <v>175.9</v>
      </c>
      <c r="E19" s="18"/>
      <c r="F19" s="18"/>
      <c r="G19" s="18"/>
      <c r="H19" s="18">
        <v>4</v>
      </c>
      <c r="I19" s="19"/>
      <c r="J19" s="19"/>
      <c r="K19" s="19"/>
      <c r="L19" s="19">
        <v>4</v>
      </c>
      <c r="M19" s="19"/>
      <c r="N19" s="18"/>
      <c r="O19" s="155"/>
      <c r="P19" s="18">
        <v>4</v>
      </c>
      <c r="Q19" s="19"/>
      <c r="R19" s="19"/>
      <c r="S19" s="19">
        <v>4</v>
      </c>
      <c r="T19" s="21">
        <f t="shared" si="11"/>
        <v>0</v>
      </c>
      <c r="U19" s="21">
        <f t="shared" si="11"/>
        <v>0</v>
      </c>
      <c r="V19" s="21">
        <f t="shared" si="11"/>
        <v>0</v>
      </c>
      <c r="W19" s="21">
        <f t="shared" si="11"/>
        <v>703.6</v>
      </c>
      <c r="X19" s="21">
        <f t="shared" si="11"/>
        <v>0</v>
      </c>
      <c r="Y19" s="21">
        <f t="shared" si="11"/>
        <v>0</v>
      </c>
      <c r="Z19" s="21">
        <f t="shared" si="11"/>
        <v>0</v>
      </c>
      <c r="AA19" s="21">
        <f t="shared" si="11"/>
        <v>703.6</v>
      </c>
      <c r="AB19" s="21">
        <f t="shared" si="11"/>
        <v>0</v>
      </c>
      <c r="AC19" s="21">
        <f t="shared" si="11"/>
        <v>0</v>
      </c>
      <c r="AD19" s="73">
        <f t="shared" si="12"/>
        <v>0</v>
      </c>
      <c r="AE19" s="21">
        <f t="shared" si="13"/>
        <v>703.6</v>
      </c>
      <c r="AF19" s="21">
        <f t="shared" si="14"/>
        <v>0</v>
      </c>
      <c r="AG19" s="21">
        <f t="shared" si="15"/>
        <v>0</v>
      </c>
      <c r="AH19" s="21">
        <f t="shared" si="16"/>
        <v>703.6</v>
      </c>
      <c r="AI19" s="38">
        <f t="shared" si="17"/>
        <v>0.19404302261445119</v>
      </c>
      <c r="AJ19" s="21">
        <f>SUM(T19:AH19)</f>
        <v>2814.4</v>
      </c>
    </row>
    <row r="20" spans="1:36" ht="14.6" x14ac:dyDescent="0.4">
      <c r="A20" s="7">
        <v>5</v>
      </c>
      <c r="B20" s="8" t="s">
        <v>30</v>
      </c>
      <c r="C20" s="185" t="s">
        <v>31</v>
      </c>
      <c r="D20" s="9">
        <f>VLOOKUP(C20,'[1]PREÇO ATUAL'!$A:$D,4,0)</f>
        <v>143.22999999999999</v>
      </c>
      <c r="E20" s="10"/>
      <c r="F20" s="10"/>
      <c r="G20" s="10"/>
      <c r="H20" s="10"/>
      <c r="I20" s="11"/>
      <c r="J20" s="11">
        <v>1</v>
      </c>
      <c r="K20" s="11"/>
      <c r="L20" s="11"/>
      <c r="M20" s="11"/>
      <c r="N20" s="10"/>
      <c r="O20" s="154"/>
      <c r="P20" s="10">
        <v>1</v>
      </c>
      <c r="Q20" s="11"/>
      <c r="R20" s="11"/>
      <c r="S20" s="11"/>
      <c r="T20" s="13">
        <f t="shared" si="11"/>
        <v>0</v>
      </c>
      <c r="U20" s="13">
        <f t="shared" si="11"/>
        <v>0</v>
      </c>
      <c r="V20" s="13">
        <f t="shared" si="11"/>
        <v>0</v>
      </c>
      <c r="W20" s="13">
        <f t="shared" si="11"/>
        <v>0</v>
      </c>
      <c r="X20" s="13">
        <f t="shared" si="11"/>
        <v>0</v>
      </c>
      <c r="Y20" s="13">
        <f t="shared" si="11"/>
        <v>143.22999999999999</v>
      </c>
      <c r="Z20" s="13">
        <f t="shared" si="11"/>
        <v>0</v>
      </c>
      <c r="AA20" s="13">
        <f t="shared" si="11"/>
        <v>0</v>
      </c>
      <c r="AB20" s="13">
        <f t="shared" si="11"/>
        <v>0</v>
      </c>
      <c r="AC20" s="13">
        <f t="shared" si="11"/>
        <v>0</v>
      </c>
      <c r="AD20" s="72">
        <f t="shared" si="12"/>
        <v>0</v>
      </c>
      <c r="AE20" s="13">
        <f t="shared" si="13"/>
        <v>143.22999999999999</v>
      </c>
      <c r="AF20" s="13">
        <f t="shared" si="14"/>
        <v>0</v>
      </c>
      <c r="AG20" s="13">
        <f t="shared" si="15"/>
        <v>0</v>
      </c>
      <c r="AH20" s="13">
        <f t="shared" si="16"/>
        <v>0</v>
      </c>
      <c r="AI20" s="37">
        <f t="shared" si="17"/>
        <v>1.9750413678985106E-2</v>
      </c>
      <c r="AJ20" s="13">
        <f>SUM(T20:AH20)</f>
        <v>286.45999999999998</v>
      </c>
    </row>
    <row r="21" spans="1:36" ht="32.25" customHeight="1" x14ac:dyDescent="0.4">
      <c r="A21" s="15">
        <v>6</v>
      </c>
      <c r="B21" s="143" t="s">
        <v>106</v>
      </c>
      <c r="C21" s="186" t="s">
        <v>33</v>
      </c>
      <c r="D21" s="17">
        <f>VLOOKUP(C21,'[1]PREÇO ATUAL'!$A:$D,4,0)</f>
        <v>165.97812000000002</v>
      </c>
      <c r="E21" s="28"/>
      <c r="F21" s="28"/>
      <c r="G21" s="28"/>
      <c r="H21" s="28"/>
      <c r="I21" s="29"/>
      <c r="J21" s="29"/>
      <c r="K21" s="29"/>
      <c r="L21" s="29"/>
      <c r="M21" s="29"/>
      <c r="N21" s="28"/>
      <c r="O21" s="160"/>
      <c r="P21" s="68">
        <v>2</v>
      </c>
      <c r="Q21" s="29"/>
      <c r="R21" s="29"/>
      <c r="S21" s="29"/>
      <c r="T21" s="21">
        <f t="shared" si="11"/>
        <v>0</v>
      </c>
      <c r="U21" s="21">
        <f t="shared" si="11"/>
        <v>0</v>
      </c>
      <c r="V21" s="21">
        <f t="shared" si="11"/>
        <v>0</v>
      </c>
      <c r="W21" s="21">
        <f t="shared" si="11"/>
        <v>0</v>
      </c>
      <c r="X21" s="21">
        <f t="shared" si="11"/>
        <v>0</v>
      </c>
      <c r="Y21" s="21">
        <f t="shared" si="11"/>
        <v>0</v>
      </c>
      <c r="Z21" s="21">
        <f t="shared" si="11"/>
        <v>0</v>
      </c>
      <c r="AA21" s="21">
        <f t="shared" si="11"/>
        <v>0</v>
      </c>
      <c r="AB21" s="21">
        <f t="shared" si="11"/>
        <v>0</v>
      </c>
      <c r="AC21" s="21">
        <f t="shared" si="11"/>
        <v>0</v>
      </c>
      <c r="AD21" s="73">
        <f t="shared" ref="AD21" si="19">$D21*O21</f>
        <v>0</v>
      </c>
      <c r="AE21" s="21">
        <f t="shared" ref="AE21" si="20">$D21*P21</f>
        <v>331.95624000000004</v>
      </c>
      <c r="AF21" s="21">
        <f t="shared" ref="AF21" si="21">$D21*Q21</f>
        <v>0</v>
      </c>
      <c r="AG21" s="21">
        <f t="shared" ref="AG21" si="22">$D21*R21</f>
        <v>0</v>
      </c>
      <c r="AH21" s="21">
        <f t="shared" ref="AH21" si="23">$D21*S21</f>
        <v>0</v>
      </c>
      <c r="AI21" s="38">
        <f t="shared" ref="AI21" si="24">AJ21/$AI$2</f>
        <v>2.2887220077220081E-2</v>
      </c>
      <c r="AJ21" s="21">
        <f>SUM(T21:AH21)</f>
        <v>331.95624000000004</v>
      </c>
    </row>
    <row r="22" spans="1:36" ht="14.6" x14ac:dyDescent="0.4">
      <c r="A22" s="7">
        <v>7</v>
      </c>
      <c r="B22" s="8" t="s">
        <v>34</v>
      </c>
      <c r="C22" s="185" t="s">
        <v>35</v>
      </c>
      <c r="D22" s="9">
        <f>VLOOKUP(C22,'[1]PREÇO ATUAL'!$A:$D,4,0)</f>
        <v>33.622493083850472</v>
      </c>
      <c r="E22" s="45"/>
      <c r="F22" s="45"/>
      <c r="G22" s="45"/>
      <c r="H22" s="45"/>
      <c r="I22" s="46"/>
      <c r="J22" s="46"/>
      <c r="K22" s="46"/>
      <c r="L22" s="46"/>
      <c r="M22" s="46"/>
      <c r="N22" s="45"/>
      <c r="O22" s="157"/>
      <c r="P22" s="45"/>
      <c r="Q22" s="46"/>
      <c r="R22" s="46"/>
      <c r="S22" s="46"/>
      <c r="T22" s="13">
        <f t="shared" si="11"/>
        <v>0</v>
      </c>
      <c r="U22" s="13">
        <f t="shared" si="11"/>
        <v>0</v>
      </c>
      <c r="V22" s="13">
        <f t="shared" si="11"/>
        <v>0</v>
      </c>
      <c r="W22" s="13">
        <f t="shared" si="11"/>
        <v>0</v>
      </c>
      <c r="X22" s="13">
        <f t="shared" si="11"/>
        <v>0</v>
      </c>
      <c r="Y22" s="13">
        <f t="shared" si="11"/>
        <v>0</v>
      </c>
      <c r="Z22" s="13">
        <f t="shared" si="11"/>
        <v>0</v>
      </c>
      <c r="AA22" s="13">
        <f t="shared" si="11"/>
        <v>0</v>
      </c>
      <c r="AB22" s="13">
        <f t="shared" si="11"/>
        <v>0</v>
      </c>
      <c r="AC22" s="13">
        <f t="shared" si="11"/>
        <v>0</v>
      </c>
      <c r="AD22" s="72">
        <f t="shared" si="12"/>
        <v>0</v>
      </c>
      <c r="AE22" s="13">
        <f t="shared" si="13"/>
        <v>0</v>
      </c>
      <c r="AF22" s="13">
        <f t="shared" si="14"/>
        <v>0</v>
      </c>
      <c r="AG22" s="13">
        <f t="shared" si="15"/>
        <v>0</v>
      </c>
      <c r="AH22" s="13">
        <f t="shared" si="16"/>
        <v>0</v>
      </c>
      <c r="AI22" s="37">
        <f t="shared" si="17"/>
        <v>0</v>
      </c>
      <c r="AJ22" s="13">
        <f t="shared" ref="AJ22:AJ24" si="25">SUM(T22:AH22)</f>
        <v>0</v>
      </c>
    </row>
    <row r="23" spans="1:36" ht="14.6" x14ac:dyDescent="0.4">
      <c r="A23" s="15">
        <v>8</v>
      </c>
      <c r="B23" s="16" t="s">
        <v>36</v>
      </c>
      <c r="C23" s="186" t="s">
        <v>37</v>
      </c>
      <c r="D23" s="17">
        <f>VLOOKUP(C23,'[1]PREÇO ATUAL'!$A:$D,4,0)</f>
        <v>94.126931447834295</v>
      </c>
      <c r="E23" s="28">
        <v>3.36</v>
      </c>
      <c r="F23" s="28">
        <v>3.36</v>
      </c>
      <c r="G23" s="28">
        <v>3.36</v>
      </c>
      <c r="H23" s="28">
        <v>3.36</v>
      </c>
      <c r="I23" s="29">
        <v>3.36</v>
      </c>
      <c r="J23" s="29">
        <v>3.36</v>
      </c>
      <c r="K23" s="29">
        <v>3.36</v>
      </c>
      <c r="L23" s="29">
        <v>3.36</v>
      </c>
      <c r="M23" s="29">
        <v>3.36</v>
      </c>
      <c r="N23" s="28">
        <v>3.36</v>
      </c>
      <c r="O23" s="160">
        <v>3.36</v>
      </c>
      <c r="P23" s="28">
        <v>3.36</v>
      </c>
      <c r="Q23" s="29">
        <v>3.36</v>
      </c>
      <c r="R23" s="29">
        <v>3.36</v>
      </c>
      <c r="S23" s="29">
        <v>3.36</v>
      </c>
      <c r="T23" s="21">
        <f t="shared" si="11"/>
        <v>316.26648966472322</v>
      </c>
      <c r="U23" s="21">
        <f t="shared" si="11"/>
        <v>316.26648966472322</v>
      </c>
      <c r="V23" s="21">
        <f t="shared" si="11"/>
        <v>316.26648966472322</v>
      </c>
      <c r="W23" s="21">
        <f t="shared" si="11"/>
        <v>316.26648966472322</v>
      </c>
      <c r="X23" s="21">
        <f t="shared" si="11"/>
        <v>316.26648966472322</v>
      </c>
      <c r="Y23" s="21">
        <f t="shared" si="11"/>
        <v>316.26648966472322</v>
      </c>
      <c r="Z23" s="21">
        <f t="shared" si="11"/>
        <v>316.26648966472322</v>
      </c>
      <c r="AA23" s="21">
        <f t="shared" si="11"/>
        <v>316.26648966472322</v>
      </c>
      <c r="AB23" s="21">
        <f t="shared" si="11"/>
        <v>316.26648966472322</v>
      </c>
      <c r="AC23" s="21">
        <f t="shared" si="11"/>
        <v>316.26648966472322</v>
      </c>
      <c r="AD23" s="73">
        <f t="shared" si="12"/>
        <v>316.26648966472322</v>
      </c>
      <c r="AE23" s="21">
        <f t="shared" si="13"/>
        <v>316.26648966472322</v>
      </c>
      <c r="AF23" s="21">
        <f t="shared" si="14"/>
        <v>316.26648966472322</v>
      </c>
      <c r="AG23" s="21">
        <f t="shared" si="15"/>
        <v>316.26648966472322</v>
      </c>
      <c r="AH23" s="21">
        <f t="shared" si="16"/>
        <v>316.26648966472322</v>
      </c>
      <c r="AI23" s="38">
        <f t="shared" si="17"/>
        <v>0.32708200117008057</v>
      </c>
      <c r="AJ23" s="21">
        <f t="shared" si="25"/>
        <v>4743.9973449708486</v>
      </c>
    </row>
    <row r="24" spans="1:36" ht="14.6" x14ac:dyDescent="0.4">
      <c r="A24" s="7">
        <v>9</v>
      </c>
      <c r="B24" s="8" t="s">
        <v>38</v>
      </c>
      <c r="C24" s="185" t="s">
        <v>39</v>
      </c>
      <c r="D24" s="9">
        <f>VLOOKUP(C24,'[1]PREÇO ATUAL'!$A:$D,4,0)</f>
        <v>342</v>
      </c>
      <c r="E24" s="45">
        <v>0.8</v>
      </c>
      <c r="F24" s="45">
        <v>1</v>
      </c>
      <c r="G24" s="45">
        <v>0.85</v>
      </c>
      <c r="H24" s="45">
        <v>1.35</v>
      </c>
      <c r="I24" s="46">
        <v>0.95</v>
      </c>
      <c r="J24" s="46">
        <v>1.1000000000000001</v>
      </c>
      <c r="K24" s="46">
        <v>0.8</v>
      </c>
      <c r="L24" s="46">
        <v>1.35</v>
      </c>
      <c r="M24" s="46">
        <v>0.85</v>
      </c>
      <c r="N24" s="45">
        <v>1.1499999999999999</v>
      </c>
      <c r="O24" s="157">
        <v>0.8</v>
      </c>
      <c r="P24" s="45">
        <v>1.65</v>
      </c>
      <c r="Q24" s="46">
        <v>0.8</v>
      </c>
      <c r="R24" s="46">
        <v>1</v>
      </c>
      <c r="S24" s="46">
        <v>1</v>
      </c>
      <c r="T24" s="13">
        <f>D24*E24</f>
        <v>273.60000000000002</v>
      </c>
      <c r="U24" s="13">
        <f t="shared" ref="U24:AC24" si="26">$D24*F24</f>
        <v>342</v>
      </c>
      <c r="V24" s="13">
        <f t="shared" si="26"/>
        <v>290.7</v>
      </c>
      <c r="W24" s="13">
        <f t="shared" si="26"/>
        <v>461.70000000000005</v>
      </c>
      <c r="X24" s="13">
        <f t="shared" si="26"/>
        <v>324.89999999999998</v>
      </c>
      <c r="Y24" s="13">
        <f t="shared" si="26"/>
        <v>376.20000000000005</v>
      </c>
      <c r="Z24" s="13">
        <f t="shared" si="26"/>
        <v>273.60000000000002</v>
      </c>
      <c r="AA24" s="13">
        <f t="shared" si="26"/>
        <v>461.70000000000005</v>
      </c>
      <c r="AB24" s="13">
        <f t="shared" si="26"/>
        <v>290.7</v>
      </c>
      <c r="AC24" s="13">
        <f t="shared" si="26"/>
        <v>393.29999999999995</v>
      </c>
      <c r="AD24" s="72">
        <f t="shared" si="12"/>
        <v>273.60000000000002</v>
      </c>
      <c r="AE24" s="13">
        <f t="shared" si="13"/>
        <v>564.29999999999995</v>
      </c>
      <c r="AF24" s="13">
        <f t="shared" si="14"/>
        <v>273.60000000000002</v>
      </c>
      <c r="AG24" s="13">
        <f t="shared" si="15"/>
        <v>342</v>
      </c>
      <c r="AH24" s="13">
        <f t="shared" si="16"/>
        <v>342</v>
      </c>
      <c r="AI24" s="37">
        <f t="shared" si="17"/>
        <v>0.36430639823496969</v>
      </c>
      <c r="AJ24" s="13">
        <f t="shared" si="25"/>
        <v>5283.9000000000005</v>
      </c>
    </row>
    <row r="25" spans="1:36" ht="15.75" customHeight="1" x14ac:dyDescent="0.4"/>
    <row r="26" spans="1:36" ht="15.75" customHeight="1" x14ac:dyDescent="0.4"/>
    <row r="27" spans="1:36" ht="15.75" customHeight="1" x14ac:dyDescent="0.4"/>
    <row r="28" spans="1:36" ht="15.75" customHeight="1" x14ac:dyDescent="0.4"/>
    <row r="29" spans="1:36" ht="15.75" customHeight="1" x14ac:dyDescent="0.4"/>
    <row r="30" spans="1:36" ht="15.75" customHeight="1" x14ac:dyDescent="0.4"/>
    <row r="31" spans="1:36" ht="15.75" customHeight="1" x14ac:dyDescent="0.4"/>
    <row r="32" spans="1:36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</sheetData>
  <mergeCells count="6">
    <mergeCell ref="A1:D2"/>
    <mergeCell ref="AI1:AJ1"/>
    <mergeCell ref="AI2:AJ2"/>
    <mergeCell ref="A13:D14"/>
    <mergeCell ref="AI13:AJ13"/>
    <mergeCell ref="AI14:AJ14"/>
  </mergeCells>
  <pageMargins left="0.511811024" right="0.511811024" top="0.78740157499999996" bottom="0.78740157499999996" header="0" footer="0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14">
    <tabColor rgb="FF00FF00"/>
  </sheetPr>
  <dimension ref="A1:AJ974"/>
  <sheetViews>
    <sheetView showGridLines="0" workbookViewId="0">
      <pane xSplit="4" topLeftCell="E1" activePane="topRight" state="frozen"/>
      <selection activeCell="B23" sqref="B23"/>
      <selection pane="topRight" activeCell="E9" sqref="E9"/>
    </sheetView>
  </sheetViews>
  <sheetFormatPr defaultColWidth="14.3828125" defaultRowHeight="15" customHeight="1" x14ac:dyDescent="0.4"/>
  <cols>
    <col min="1" max="1" width="3.69140625" customWidth="1"/>
    <col min="2" max="2" width="61.3046875" customWidth="1"/>
    <col min="3" max="3" width="16.84375" customWidth="1"/>
    <col min="4" max="4" width="8.69140625" customWidth="1"/>
    <col min="5" max="5" width="6.53515625" customWidth="1"/>
    <col min="6" max="13" width="5.3828125" customWidth="1"/>
    <col min="14" max="19" width="5.53515625" customWidth="1"/>
    <col min="20" max="21" width="14.53515625" customWidth="1"/>
    <col min="22" max="22" width="15.69140625" bestFit="1" customWidth="1"/>
    <col min="23" max="23" width="17.15234375" customWidth="1"/>
    <col min="24" max="24" width="15.69140625" customWidth="1"/>
    <col min="25" max="25" width="16.84375" customWidth="1"/>
    <col min="26" max="26" width="15.69140625" customWidth="1"/>
    <col min="27" max="27" width="17.15234375" customWidth="1"/>
    <col min="28" max="28" width="15.69140625" customWidth="1"/>
    <col min="29" max="30" width="14.53515625" customWidth="1"/>
    <col min="31" max="31" width="15.69140625" bestFit="1" customWidth="1"/>
    <col min="32" max="33" width="14.53515625" customWidth="1"/>
    <col min="34" max="34" width="15.69140625" bestFit="1" customWidth="1"/>
    <col min="35" max="35" width="9.15234375" customWidth="1"/>
    <col min="36" max="36" width="15.53515625" customWidth="1"/>
  </cols>
  <sheetData>
    <row r="1" spans="1:36" ht="14.6" x14ac:dyDescent="0.4">
      <c r="A1" s="222" t="s">
        <v>107</v>
      </c>
      <c r="B1" s="223"/>
      <c r="C1" s="223"/>
      <c r="D1" s="223"/>
      <c r="E1" s="226" t="s">
        <v>3</v>
      </c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32"/>
      <c r="T1" s="230" t="s">
        <v>4</v>
      </c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231"/>
      <c r="AH1" s="231"/>
      <c r="AI1" s="219" t="s">
        <v>5</v>
      </c>
      <c r="AJ1" s="220"/>
    </row>
    <row r="2" spans="1:36" ht="14.6" x14ac:dyDescent="0.4">
      <c r="A2" s="224"/>
      <c r="B2" s="225"/>
      <c r="C2" s="225"/>
      <c r="D2" s="225"/>
      <c r="E2" s="228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33"/>
      <c r="T2" s="2">
        <f>MROUND(SUM(T4:T14),1)</f>
        <v>594</v>
      </c>
      <c r="U2" s="2">
        <f t="shared" ref="U2:AA2" si="0">MROUND(SUM(U4:U14),1)</f>
        <v>785</v>
      </c>
      <c r="V2" s="2">
        <f t="shared" si="0"/>
        <v>1193</v>
      </c>
      <c r="W2" s="2">
        <f t="shared" si="0"/>
        <v>990</v>
      </c>
      <c r="X2" s="2">
        <f t="shared" si="0"/>
        <v>645</v>
      </c>
      <c r="Y2" s="2">
        <f t="shared" si="0"/>
        <v>2440</v>
      </c>
      <c r="Z2" s="2">
        <f t="shared" si="0"/>
        <v>594</v>
      </c>
      <c r="AA2" s="2">
        <f t="shared" si="0"/>
        <v>836</v>
      </c>
      <c r="AB2" s="2">
        <f>MROUND(SUM(AB4:AB14),1)</f>
        <v>1193</v>
      </c>
      <c r="AC2" s="2">
        <f>MROUND(SUM(AC4:AC14),1)</f>
        <v>990</v>
      </c>
      <c r="AD2" s="2">
        <f t="shared" ref="AD2:AH2" si="1">MROUND(SUM(AD4:AD14),1)</f>
        <v>594</v>
      </c>
      <c r="AE2" s="2">
        <f t="shared" si="1"/>
        <v>2909</v>
      </c>
      <c r="AF2" s="2">
        <f t="shared" si="1"/>
        <v>594</v>
      </c>
      <c r="AG2" s="2">
        <f t="shared" si="1"/>
        <v>785</v>
      </c>
      <c r="AH2" s="2">
        <f t="shared" si="1"/>
        <v>1244</v>
      </c>
      <c r="AI2" s="221">
        <f>SUM(T2:AH2)</f>
        <v>16386</v>
      </c>
      <c r="AJ2" s="220"/>
    </row>
    <row r="3" spans="1:36" ht="14.6" x14ac:dyDescent="0.4">
      <c r="A3" s="3" t="s">
        <v>6</v>
      </c>
      <c r="B3" s="3" t="s">
        <v>7</v>
      </c>
      <c r="C3" s="3" t="s">
        <v>8</v>
      </c>
      <c r="D3" s="4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18</v>
      </c>
      <c r="N3" s="5" t="s">
        <v>19</v>
      </c>
      <c r="O3" s="5">
        <v>11</v>
      </c>
      <c r="P3" s="5">
        <v>12</v>
      </c>
      <c r="Q3" s="5">
        <v>13</v>
      </c>
      <c r="R3" s="5">
        <v>14</v>
      </c>
      <c r="S3" s="5">
        <v>15</v>
      </c>
      <c r="T3" s="5">
        <v>10000</v>
      </c>
      <c r="U3" s="5">
        <v>20000</v>
      </c>
      <c r="V3" s="5">
        <v>30000</v>
      </c>
      <c r="W3" s="5">
        <v>40000</v>
      </c>
      <c r="X3" s="5">
        <v>50000</v>
      </c>
      <c r="Y3" s="5">
        <v>60000</v>
      </c>
      <c r="Z3" s="5">
        <v>70000</v>
      </c>
      <c r="AA3" s="5">
        <v>80000</v>
      </c>
      <c r="AB3" s="5">
        <v>90000</v>
      </c>
      <c r="AC3" s="5">
        <v>100000</v>
      </c>
      <c r="AD3" s="148">
        <f>AC3+10000</f>
        <v>110000</v>
      </c>
      <c r="AE3" s="5">
        <f t="shared" ref="AE3:AH3" si="2">AD3+10000</f>
        <v>120000</v>
      </c>
      <c r="AF3" s="5">
        <f t="shared" si="2"/>
        <v>130000</v>
      </c>
      <c r="AG3" s="5">
        <f t="shared" si="2"/>
        <v>140000</v>
      </c>
      <c r="AH3" s="5">
        <f t="shared" si="2"/>
        <v>150000</v>
      </c>
      <c r="AI3" s="52">
        <f>SUM(AI4:AI14)</f>
        <v>0.62618027479093952</v>
      </c>
      <c r="AJ3" s="3" t="s">
        <v>21</v>
      </c>
    </row>
    <row r="4" spans="1:36" ht="14.6" x14ac:dyDescent="0.4">
      <c r="A4" s="7">
        <v>1</v>
      </c>
      <c r="B4" s="8" t="s">
        <v>22</v>
      </c>
      <c r="C4" s="185" t="s">
        <v>71</v>
      </c>
      <c r="D4" s="9">
        <f>VLOOKUP(C4,'[1]PREÇO ATUAL'!$A:$D,4,0)</f>
        <v>71.2</v>
      </c>
      <c r="E4" s="10">
        <v>1</v>
      </c>
      <c r="F4" s="10">
        <v>1</v>
      </c>
      <c r="G4" s="10">
        <v>1</v>
      </c>
      <c r="H4" s="10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0">
        <v>1</v>
      </c>
      <c r="O4" s="10">
        <v>1</v>
      </c>
      <c r="P4" s="10">
        <v>1</v>
      </c>
      <c r="Q4" s="10">
        <v>1</v>
      </c>
      <c r="R4" s="10">
        <v>1</v>
      </c>
      <c r="S4" s="10">
        <v>1</v>
      </c>
      <c r="T4" s="13">
        <f t="shared" ref="T4:AC4" si="3">$D4*E4</f>
        <v>71.2</v>
      </c>
      <c r="U4" s="13">
        <f t="shared" si="3"/>
        <v>71.2</v>
      </c>
      <c r="V4" s="13">
        <f t="shared" si="3"/>
        <v>71.2</v>
      </c>
      <c r="W4" s="13">
        <f t="shared" si="3"/>
        <v>71.2</v>
      </c>
      <c r="X4" s="13">
        <f t="shared" si="3"/>
        <v>71.2</v>
      </c>
      <c r="Y4" s="13">
        <f t="shared" si="3"/>
        <v>71.2</v>
      </c>
      <c r="Z4" s="13">
        <f t="shared" si="3"/>
        <v>71.2</v>
      </c>
      <c r="AA4" s="13">
        <f t="shared" si="3"/>
        <v>71.2</v>
      </c>
      <c r="AB4" s="13">
        <f t="shared" si="3"/>
        <v>71.2</v>
      </c>
      <c r="AC4" s="26">
        <f t="shared" si="3"/>
        <v>71.2</v>
      </c>
      <c r="AD4" s="72">
        <f t="shared" ref="AD4:AH13" si="4">$D4*O4</f>
        <v>71.2</v>
      </c>
      <c r="AE4" s="13">
        <f t="shared" si="4"/>
        <v>71.2</v>
      </c>
      <c r="AF4" s="13">
        <f t="shared" si="4"/>
        <v>71.2</v>
      </c>
      <c r="AG4" s="13">
        <f t="shared" si="4"/>
        <v>71.2</v>
      </c>
      <c r="AH4" s="13">
        <f t="shared" si="4"/>
        <v>71.2</v>
      </c>
      <c r="AI4" s="37">
        <f t="shared" ref="AI4:AI14" si="5">AJ4/$AI$2</f>
        <v>4.3451727084096184E-2</v>
      </c>
      <c r="AJ4" s="13">
        <f t="shared" ref="AJ4:AJ14" si="6">SUM(T4:AC4)</f>
        <v>712.00000000000011</v>
      </c>
    </row>
    <row r="5" spans="1:36" ht="14.6" x14ac:dyDescent="0.4">
      <c r="A5" s="15">
        <v>2</v>
      </c>
      <c r="B5" s="16" t="s">
        <v>24</v>
      </c>
      <c r="C5" s="186" t="s">
        <v>25</v>
      </c>
      <c r="D5" s="17">
        <f>VLOOKUP(C5,'[1]PREÇO ATUAL'!$A:$D,4,0)</f>
        <v>35.9</v>
      </c>
      <c r="E5" s="18"/>
      <c r="F5" s="18">
        <v>1</v>
      </c>
      <c r="G5" s="18"/>
      <c r="H5" s="18">
        <v>1</v>
      </c>
      <c r="I5" s="19"/>
      <c r="J5" s="19">
        <v>1</v>
      </c>
      <c r="K5" s="19"/>
      <c r="L5" s="19">
        <v>1</v>
      </c>
      <c r="M5" s="19"/>
      <c r="N5" s="18">
        <v>1</v>
      </c>
      <c r="O5" s="155"/>
      <c r="P5" s="19">
        <v>1</v>
      </c>
      <c r="Q5" s="19"/>
      <c r="R5" s="19">
        <v>1</v>
      </c>
      <c r="S5" s="19"/>
      <c r="T5" s="21">
        <f t="shared" ref="T5:AC5" si="7">$D5*E5</f>
        <v>0</v>
      </c>
      <c r="U5" s="21">
        <f t="shared" si="7"/>
        <v>35.9</v>
      </c>
      <c r="V5" s="21">
        <f t="shared" si="7"/>
        <v>0</v>
      </c>
      <c r="W5" s="21">
        <f t="shared" si="7"/>
        <v>35.9</v>
      </c>
      <c r="X5" s="21">
        <f t="shared" si="7"/>
        <v>0</v>
      </c>
      <c r="Y5" s="21">
        <f t="shared" si="7"/>
        <v>35.9</v>
      </c>
      <c r="Z5" s="21">
        <f t="shared" si="7"/>
        <v>0</v>
      </c>
      <c r="AA5" s="21">
        <f t="shared" si="7"/>
        <v>35.9</v>
      </c>
      <c r="AB5" s="21">
        <f t="shared" si="7"/>
        <v>0</v>
      </c>
      <c r="AC5" s="27">
        <f t="shared" si="7"/>
        <v>35.9</v>
      </c>
      <c r="AD5" s="73">
        <f t="shared" si="4"/>
        <v>0</v>
      </c>
      <c r="AE5" s="21">
        <f t="shared" si="4"/>
        <v>35.9</v>
      </c>
      <c r="AF5" s="21">
        <f t="shared" si="4"/>
        <v>0</v>
      </c>
      <c r="AG5" s="21">
        <f t="shared" si="4"/>
        <v>35.9</v>
      </c>
      <c r="AH5" s="21">
        <f t="shared" si="4"/>
        <v>0</v>
      </c>
      <c r="AI5" s="38">
        <f t="shared" si="5"/>
        <v>1.0954473330892224E-2</v>
      </c>
      <c r="AJ5" s="21">
        <f t="shared" si="6"/>
        <v>179.5</v>
      </c>
    </row>
    <row r="6" spans="1:36" ht="14.6" x14ac:dyDescent="0.4">
      <c r="A6" s="7">
        <v>3</v>
      </c>
      <c r="B6" s="8" t="s">
        <v>26</v>
      </c>
      <c r="C6" s="185" t="s">
        <v>74</v>
      </c>
      <c r="D6" s="9">
        <f>VLOOKUP(C6,'[1]PREÇO ATUAL'!$A:$D,4,0)</f>
        <v>86.9</v>
      </c>
      <c r="E6" s="10"/>
      <c r="F6" s="10">
        <v>1</v>
      </c>
      <c r="G6" s="10"/>
      <c r="H6" s="10">
        <v>1</v>
      </c>
      <c r="I6" s="11"/>
      <c r="J6" s="11">
        <v>1</v>
      </c>
      <c r="K6" s="11"/>
      <c r="L6" s="11">
        <v>1</v>
      </c>
      <c r="M6" s="11"/>
      <c r="N6" s="10">
        <v>1</v>
      </c>
      <c r="O6" s="154"/>
      <c r="P6" s="11">
        <v>1</v>
      </c>
      <c r="Q6" s="11"/>
      <c r="R6" s="11">
        <v>1</v>
      </c>
      <c r="S6" s="11"/>
      <c r="T6" s="13">
        <f t="shared" ref="T6:AC6" si="8">$D6*E6</f>
        <v>0</v>
      </c>
      <c r="U6" s="13">
        <f t="shared" si="8"/>
        <v>86.9</v>
      </c>
      <c r="V6" s="13">
        <f t="shared" si="8"/>
        <v>0</v>
      </c>
      <c r="W6" s="13">
        <f t="shared" si="8"/>
        <v>86.9</v>
      </c>
      <c r="X6" s="13">
        <f t="shared" si="8"/>
        <v>0</v>
      </c>
      <c r="Y6" s="13">
        <f t="shared" si="8"/>
        <v>86.9</v>
      </c>
      <c r="Z6" s="13">
        <f t="shared" si="8"/>
        <v>0</v>
      </c>
      <c r="AA6" s="13">
        <f t="shared" si="8"/>
        <v>86.9</v>
      </c>
      <c r="AB6" s="13">
        <f t="shared" si="8"/>
        <v>0</v>
      </c>
      <c r="AC6" s="26">
        <f t="shared" si="8"/>
        <v>86.9</v>
      </c>
      <c r="AD6" s="72">
        <f t="shared" si="4"/>
        <v>0</v>
      </c>
      <c r="AE6" s="13">
        <f t="shared" si="4"/>
        <v>86.9</v>
      </c>
      <c r="AF6" s="13">
        <f t="shared" si="4"/>
        <v>0</v>
      </c>
      <c r="AG6" s="13">
        <f t="shared" si="4"/>
        <v>86.9</v>
      </c>
      <c r="AH6" s="13">
        <f t="shared" si="4"/>
        <v>0</v>
      </c>
      <c r="AI6" s="37">
        <f t="shared" si="5"/>
        <v>2.6516538508482852E-2</v>
      </c>
      <c r="AJ6" s="13">
        <f t="shared" si="6"/>
        <v>434.5</v>
      </c>
    </row>
    <row r="7" spans="1:36" ht="14.6" x14ac:dyDescent="0.4">
      <c r="A7" s="15">
        <v>4</v>
      </c>
      <c r="B7" s="16" t="s">
        <v>28</v>
      </c>
      <c r="C7" s="186" t="s">
        <v>95</v>
      </c>
      <c r="D7" s="17">
        <f>VLOOKUP(C7,'[1]PREÇO ATUAL'!$A:$D,4,0)</f>
        <v>42.9</v>
      </c>
      <c r="E7" s="18"/>
      <c r="F7" s="18"/>
      <c r="G7" s="18">
        <v>4</v>
      </c>
      <c r="H7" s="18"/>
      <c r="I7" s="19"/>
      <c r="J7" s="19">
        <v>4</v>
      </c>
      <c r="K7" s="19"/>
      <c r="L7" s="19"/>
      <c r="M7" s="19">
        <v>4</v>
      </c>
      <c r="N7" s="18"/>
      <c r="O7" s="155"/>
      <c r="P7" s="19">
        <v>4</v>
      </c>
      <c r="Q7" s="19"/>
      <c r="R7" s="19"/>
      <c r="S7" s="19">
        <v>4</v>
      </c>
      <c r="T7" s="21">
        <f t="shared" ref="T7:AC7" si="9">$D7*E7</f>
        <v>0</v>
      </c>
      <c r="U7" s="21">
        <f t="shared" si="9"/>
        <v>0</v>
      </c>
      <c r="V7" s="21">
        <f t="shared" si="9"/>
        <v>171.6</v>
      </c>
      <c r="W7" s="21">
        <f t="shared" si="9"/>
        <v>0</v>
      </c>
      <c r="X7" s="21">
        <f t="shared" si="9"/>
        <v>0</v>
      </c>
      <c r="Y7" s="21">
        <f t="shared" si="9"/>
        <v>171.6</v>
      </c>
      <c r="Z7" s="21">
        <f t="shared" si="9"/>
        <v>0</v>
      </c>
      <c r="AA7" s="21">
        <f t="shared" si="9"/>
        <v>0</v>
      </c>
      <c r="AB7" s="21">
        <f t="shared" si="9"/>
        <v>171.6</v>
      </c>
      <c r="AC7" s="27">
        <f t="shared" si="9"/>
        <v>0</v>
      </c>
      <c r="AD7" s="73">
        <f t="shared" si="4"/>
        <v>0</v>
      </c>
      <c r="AE7" s="21">
        <f t="shared" si="4"/>
        <v>171.6</v>
      </c>
      <c r="AF7" s="21">
        <f t="shared" si="4"/>
        <v>0</v>
      </c>
      <c r="AG7" s="21">
        <f t="shared" si="4"/>
        <v>0</v>
      </c>
      <c r="AH7" s="21">
        <f t="shared" si="4"/>
        <v>171.6</v>
      </c>
      <c r="AI7" s="38">
        <f t="shared" si="5"/>
        <v>3.1417063346759429E-2</v>
      </c>
      <c r="AJ7" s="21">
        <f t="shared" si="6"/>
        <v>514.79999999999995</v>
      </c>
    </row>
    <row r="8" spans="1:36" ht="15.75" customHeight="1" x14ac:dyDescent="0.4">
      <c r="A8" s="7">
        <v>5</v>
      </c>
      <c r="B8" s="8" t="s">
        <v>108</v>
      </c>
      <c r="C8" s="185" t="s">
        <v>92</v>
      </c>
      <c r="D8" s="9">
        <f>VLOOKUP(C8,'[1]PREÇO ATUAL'!$A:$D,4,0)</f>
        <v>110.87</v>
      </c>
      <c r="E8" s="10"/>
      <c r="F8" s="10"/>
      <c r="G8" s="10"/>
      <c r="H8" s="10"/>
      <c r="I8" s="11"/>
      <c r="J8" s="11">
        <v>1</v>
      </c>
      <c r="K8" s="11"/>
      <c r="L8" s="11"/>
      <c r="M8" s="11"/>
      <c r="N8" s="10"/>
      <c r="O8" s="154"/>
      <c r="P8" s="11">
        <v>1</v>
      </c>
      <c r="Q8" s="11"/>
      <c r="R8" s="11"/>
      <c r="S8" s="11"/>
      <c r="T8" s="13">
        <f t="shared" ref="T8:AC8" si="10">$D8*E8</f>
        <v>0</v>
      </c>
      <c r="U8" s="13">
        <f t="shared" si="10"/>
        <v>0</v>
      </c>
      <c r="V8" s="13">
        <f t="shared" si="10"/>
        <v>0</v>
      </c>
      <c r="W8" s="13">
        <f t="shared" si="10"/>
        <v>0</v>
      </c>
      <c r="X8" s="13">
        <f t="shared" si="10"/>
        <v>0</v>
      </c>
      <c r="Y8" s="13">
        <f t="shared" si="10"/>
        <v>110.87</v>
      </c>
      <c r="Z8" s="13">
        <f t="shared" si="10"/>
        <v>0</v>
      </c>
      <c r="AA8" s="13">
        <f t="shared" si="10"/>
        <v>0</v>
      </c>
      <c r="AB8" s="13">
        <f t="shared" si="10"/>
        <v>0</v>
      </c>
      <c r="AC8" s="26">
        <f t="shared" si="10"/>
        <v>0</v>
      </c>
      <c r="AD8" s="72">
        <f t="shared" si="4"/>
        <v>0</v>
      </c>
      <c r="AE8" s="13">
        <f t="shared" si="4"/>
        <v>110.87</v>
      </c>
      <c r="AF8" s="13">
        <f t="shared" si="4"/>
        <v>0</v>
      </c>
      <c r="AG8" s="13">
        <f t="shared" si="4"/>
        <v>0</v>
      </c>
      <c r="AH8" s="13">
        <f t="shared" si="4"/>
        <v>0</v>
      </c>
      <c r="AI8" s="37">
        <f t="shared" si="5"/>
        <v>6.766141828390089E-3</v>
      </c>
      <c r="AJ8" s="13">
        <f t="shared" si="6"/>
        <v>110.87</v>
      </c>
    </row>
    <row r="9" spans="1:36" ht="15.75" customHeight="1" x14ac:dyDescent="0.4">
      <c r="A9" s="15">
        <v>6</v>
      </c>
      <c r="B9" s="16" t="s">
        <v>109</v>
      </c>
      <c r="C9" s="186" t="s">
        <v>110</v>
      </c>
      <c r="D9" s="17">
        <f>VLOOKUP(C9,'[1]PREÇO ATUAL'!$A:$D,4,0)</f>
        <v>149.54</v>
      </c>
      <c r="E9" s="24"/>
      <c r="F9" s="24"/>
      <c r="G9" s="24"/>
      <c r="H9" s="24"/>
      <c r="I9" s="17"/>
      <c r="J9" s="43">
        <v>1</v>
      </c>
      <c r="K9" s="17"/>
      <c r="L9" s="17"/>
      <c r="M9" s="17"/>
      <c r="N9" s="24"/>
      <c r="O9" s="156"/>
      <c r="P9" s="43">
        <v>1</v>
      </c>
      <c r="Q9" s="17"/>
      <c r="R9" s="17"/>
      <c r="S9" s="17"/>
      <c r="T9" s="21">
        <f t="shared" ref="T9:AC9" si="11">$D9*E9</f>
        <v>0</v>
      </c>
      <c r="U9" s="21">
        <f t="shared" si="11"/>
        <v>0</v>
      </c>
      <c r="V9" s="21">
        <f t="shared" si="11"/>
        <v>0</v>
      </c>
      <c r="W9" s="21">
        <f t="shared" si="11"/>
        <v>0</v>
      </c>
      <c r="X9" s="21">
        <f t="shared" si="11"/>
        <v>0</v>
      </c>
      <c r="Y9" s="21">
        <f t="shared" si="11"/>
        <v>149.54</v>
      </c>
      <c r="Z9" s="21">
        <f t="shared" si="11"/>
        <v>0</v>
      </c>
      <c r="AA9" s="21">
        <f t="shared" si="11"/>
        <v>0</v>
      </c>
      <c r="AB9" s="21">
        <f t="shared" si="11"/>
        <v>0</v>
      </c>
      <c r="AC9" s="27">
        <f t="shared" si="11"/>
        <v>0</v>
      </c>
      <c r="AD9" s="73">
        <f t="shared" si="4"/>
        <v>0</v>
      </c>
      <c r="AE9" s="21">
        <f t="shared" si="4"/>
        <v>149.54</v>
      </c>
      <c r="AF9" s="21">
        <f t="shared" si="4"/>
        <v>0</v>
      </c>
      <c r="AG9" s="21">
        <f t="shared" si="4"/>
        <v>0</v>
      </c>
      <c r="AH9" s="21">
        <f t="shared" si="4"/>
        <v>0</v>
      </c>
      <c r="AI9" s="38">
        <f t="shared" si="5"/>
        <v>9.1260832417917725E-3</v>
      </c>
      <c r="AJ9" s="21">
        <f t="shared" si="6"/>
        <v>149.54</v>
      </c>
    </row>
    <row r="10" spans="1:36" ht="15.75" customHeight="1" x14ac:dyDescent="0.4">
      <c r="A10" s="7">
        <v>7</v>
      </c>
      <c r="B10" s="8" t="s">
        <v>111</v>
      </c>
      <c r="C10" s="185" t="s">
        <v>69</v>
      </c>
      <c r="D10" s="9">
        <f>VLOOKUP(C10,'[1]PREÇO ATUAL'!$A:$D,4,0)</f>
        <v>145.9</v>
      </c>
      <c r="E10" s="10"/>
      <c r="F10" s="10"/>
      <c r="G10" s="10"/>
      <c r="H10" s="10"/>
      <c r="I10" s="11"/>
      <c r="J10" s="11">
        <v>1</v>
      </c>
      <c r="K10" s="11"/>
      <c r="L10" s="11"/>
      <c r="M10" s="11"/>
      <c r="N10" s="10"/>
      <c r="O10" s="154"/>
      <c r="P10" s="11">
        <v>1</v>
      </c>
      <c r="Q10" s="11"/>
      <c r="R10" s="11"/>
      <c r="S10" s="11"/>
      <c r="T10" s="13">
        <f t="shared" ref="T10:AC11" si="12">$D10*E10</f>
        <v>0</v>
      </c>
      <c r="U10" s="13">
        <f t="shared" si="12"/>
        <v>0</v>
      </c>
      <c r="V10" s="13">
        <f t="shared" si="12"/>
        <v>0</v>
      </c>
      <c r="W10" s="13">
        <f t="shared" si="12"/>
        <v>0</v>
      </c>
      <c r="X10" s="13">
        <f t="shared" si="12"/>
        <v>0</v>
      </c>
      <c r="Y10" s="13">
        <f t="shared" si="12"/>
        <v>145.9</v>
      </c>
      <c r="Z10" s="13">
        <f t="shared" si="12"/>
        <v>0</v>
      </c>
      <c r="AA10" s="13">
        <f t="shared" si="12"/>
        <v>0</v>
      </c>
      <c r="AB10" s="13">
        <f t="shared" si="12"/>
        <v>0</v>
      </c>
      <c r="AC10" s="26">
        <f t="shared" si="12"/>
        <v>0</v>
      </c>
      <c r="AD10" s="72">
        <f t="shared" si="4"/>
        <v>0</v>
      </c>
      <c r="AE10" s="13">
        <f t="shared" si="4"/>
        <v>145.9</v>
      </c>
      <c r="AF10" s="13">
        <f t="shared" si="4"/>
        <v>0</v>
      </c>
      <c r="AG10" s="13">
        <f t="shared" si="4"/>
        <v>0</v>
      </c>
      <c r="AH10" s="13">
        <f t="shared" si="4"/>
        <v>0</v>
      </c>
      <c r="AI10" s="37">
        <f t="shared" si="5"/>
        <v>8.9039423898449894E-3</v>
      </c>
      <c r="AJ10" s="13">
        <f t="shared" si="6"/>
        <v>145.9</v>
      </c>
    </row>
    <row r="11" spans="1:36" ht="24.9" x14ac:dyDescent="0.4">
      <c r="A11" s="15">
        <v>8</v>
      </c>
      <c r="B11" s="143" t="s">
        <v>106</v>
      </c>
      <c r="C11" s="186" t="s">
        <v>33</v>
      </c>
      <c r="D11" s="17">
        <f>VLOOKUP(C11,'[1]PREÇO ATUAL'!$A:$D,4,0)</f>
        <v>165.97812000000002</v>
      </c>
      <c r="E11" s="24"/>
      <c r="F11" s="24"/>
      <c r="G11" s="24"/>
      <c r="H11" s="24"/>
      <c r="I11" s="17"/>
      <c r="J11" s="43"/>
      <c r="K11" s="17"/>
      <c r="L11" s="17"/>
      <c r="M11" s="17"/>
      <c r="N11" s="24"/>
      <c r="O11" s="156"/>
      <c r="P11" s="42">
        <v>2</v>
      </c>
      <c r="Q11" s="17"/>
      <c r="R11" s="17"/>
      <c r="S11" s="17"/>
      <c r="T11" s="21">
        <f t="shared" si="12"/>
        <v>0</v>
      </c>
      <c r="U11" s="21">
        <f>$D11*F11</f>
        <v>0</v>
      </c>
      <c r="V11" s="21">
        <f t="shared" si="12"/>
        <v>0</v>
      </c>
      <c r="W11" s="21">
        <f>$D11*H11</f>
        <v>0</v>
      </c>
      <c r="X11" s="21">
        <f t="shared" si="12"/>
        <v>0</v>
      </c>
      <c r="Y11" s="21">
        <f t="shared" si="12"/>
        <v>0</v>
      </c>
      <c r="Z11" s="21">
        <f t="shared" si="12"/>
        <v>0</v>
      </c>
      <c r="AA11" s="21">
        <f t="shared" si="12"/>
        <v>0</v>
      </c>
      <c r="AB11" s="21">
        <f t="shared" si="12"/>
        <v>0</v>
      </c>
      <c r="AC11" s="27">
        <f t="shared" si="12"/>
        <v>0</v>
      </c>
      <c r="AD11" s="73">
        <f t="shared" si="4"/>
        <v>0</v>
      </c>
      <c r="AE11" s="21">
        <f t="shared" si="4"/>
        <v>331.95624000000004</v>
      </c>
      <c r="AF11" s="21">
        <f t="shared" si="4"/>
        <v>0</v>
      </c>
      <c r="AG11" s="21">
        <f t="shared" si="4"/>
        <v>0</v>
      </c>
      <c r="AH11" s="21">
        <f t="shared" si="4"/>
        <v>0</v>
      </c>
      <c r="AI11" s="38">
        <f t="shared" ref="AI11" si="13">AJ11/$AI$2</f>
        <v>0</v>
      </c>
      <c r="AJ11" s="21">
        <f t="shared" ref="AJ11" si="14">SUM(T11:AC11)</f>
        <v>0</v>
      </c>
    </row>
    <row r="12" spans="1:36" ht="15.75" customHeight="1" x14ac:dyDescent="0.4">
      <c r="A12" s="7">
        <v>9</v>
      </c>
      <c r="B12" s="8" t="s">
        <v>34</v>
      </c>
      <c r="C12" s="185" t="s">
        <v>35</v>
      </c>
      <c r="D12" s="9">
        <f>VLOOKUP(C12,'[1]PREÇO ATUAL'!$A:$D,4,0)</f>
        <v>33.622493083850472</v>
      </c>
      <c r="E12" s="10"/>
      <c r="F12" s="10"/>
      <c r="G12" s="10"/>
      <c r="H12" s="10"/>
      <c r="I12" s="11"/>
      <c r="J12" s="11"/>
      <c r="K12" s="11"/>
      <c r="L12" s="11"/>
      <c r="M12" s="11"/>
      <c r="N12" s="10"/>
      <c r="O12" s="154"/>
      <c r="P12" s="11"/>
      <c r="Q12" s="11"/>
      <c r="R12" s="11"/>
      <c r="S12" s="11"/>
      <c r="T12" s="13">
        <v>0</v>
      </c>
      <c r="U12" s="13">
        <f t="shared" ref="U12:AC12" si="15">$D12*F12</f>
        <v>0</v>
      </c>
      <c r="V12" s="13">
        <f t="shared" si="15"/>
        <v>0</v>
      </c>
      <c r="W12" s="13">
        <f t="shared" si="15"/>
        <v>0</v>
      </c>
      <c r="X12" s="13">
        <f t="shared" si="15"/>
        <v>0</v>
      </c>
      <c r="Y12" s="13">
        <f t="shared" si="15"/>
        <v>0</v>
      </c>
      <c r="Z12" s="13">
        <f t="shared" si="15"/>
        <v>0</v>
      </c>
      <c r="AA12" s="13">
        <f t="shared" si="15"/>
        <v>0</v>
      </c>
      <c r="AB12" s="13">
        <f t="shared" si="15"/>
        <v>0</v>
      </c>
      <c r="AC12" s="26">
        <f t="shared" si="15"/>
        <v>0</v>
      </c>
      <c r="AD12" s="72">
        <f t="shared" si="4"/>
        <v>0</v>
      </c>
      <c r="AE12" s="13">
        <f t="shared" si="4"/>
        <v>0</v>
      </c>
      <c r="AF12" s="13">
        <f t="shared" si="4"/>
        <v>0</v>
      </c>
      <c r="AG12" s="13">
        <f t="shared" si="4"/>
        <v>0</v>
      </c>
      <c r="AH12" s="13">
        <f t="shared" si="4"/>
        <v>0</v>
      </c>
      <c r="AI12" s="37">
        <f t="shared" si="5"/>
        <v>0</v>
      </c>
      <c r="AJ12" s="13">
        <f t="shared" si="6"/>
        <v>0</v>
      </c>
    </row>
    <row r="13" spans="1:36" ht="15.75" customHeight="1" x14ac:dyDescent="0.4">
      <c r="A13" s="15">
        <v>10</v>
      </c>
      <c r="B13" s="16" t="s">
        <v>63</v>
      </c>
      <c r="C13" s="186" t="s">
        <v>64</v>
      </c>
      <c r="D13" s="17">
        <f>VLOOKUP(C13,'[1]PREÇO ATUAL'!$A:$D,4,0)</f>
        <v>98.56222158238279</v>
      </c>
      <c r="E13" s="24">
        <v>2.7</v>
      </c>
      <c r="F13" s="24">
        <v>2.7</v>
      </c>
      <c r="G13" s="24">
        <v>2.7</v>
      </c>
      <c r="H13" s="24">
        <v>2.7</v>
      </c>
      <c r="I13" s="17">
        <v>2.7</v>
      </c>
      <c r="J13" s="43">
        <v>2.7</v>
      </c>
      <c r="K13" s="17">
        <v>2.7</v>
      </c>
      <c r="L13" s="17">
        <v>2.7</v>
      </c>
      <c r="M13" s="17">
        <v>2.7</v>
      </c>
      <c r="N13" s="24">
        <v>2.7</v>
      </c>
      <c r="O13" s="156">
        <v>2.7</v>
      </c>
      <c r="P13" s="17">
        <v>2.7</v>
      </c>
      <c r="Q13" s="17">
        <v>2.7</v>
      </c>
      <c r="R13" s="17">
        <v>2.7</v>
      </c>
      <c r="S13" s="17">
        <v>2.7</v>
      </c>
      <c r="T13" s="21">
        <f t="shared" ref="T13:AC13" si="16">$D13*E13</f>
        <v>266.11799827243357</v>
      </c>
      <c r="U13" s="21">
        <f t="shared" si="16"/>
        <v>266.11799827243357</v>
      </c>
      <c r="V13" s="21">
        <f t="shared" si="16"/>
        <v>266.11799827243357</v>
      </c>
      <c r="W13" s="21">
        <f t="shared" si="16"/>
        <v>266.11799827243357</v>
      </c>
      <c r="X13" s="21">
        <f t="shared" si="16"/>
        <v>266.11799827243357</v>
      </c>
      <c r="Y13" s="21">
        <f t="shared" si="16"/>
        <v>266.11799827243357</v>
      </c>
      <c r="Z13" s="21">
        <f t="shared" si="16"/>
        <v>266.11799827243357</v>
      </c>
      <c r="AA13" s="21">
        <f t="shared" si="16"/>
        <v>266.11799827243357</v>
      </c>
      <c r="AB13" s="21">
        <f t="shared" si="16"/>
        <v>266.11799827243357</v>
      </c>
      <c r="AC13" s="27">
        <f t="shared" si="16"/>
        <v>266.11799827243357</v>
      </c>
      <c r="AD13" s="73">
        <f t="shared" si="4"/>
        <v>266.11799827243357</v>
      </c>
      <c r="AE13" s="21">
        <f t="shared" si="4"/>
        <v>266.11799827243357</v>
      </c>
      <c r="AF13" s="21">
        <f t="shared" si="4"/>
        <v>266.11799827243357</v>
      </c>
      <c r="AG13" s="21">
        <f t="shared" si="4"/>
        <v>266.11799827243357</v>
      </c>
      <c r="AH13" s="21">
        <f t="shared" si="4"/>
        <v>266.11799827243357</v>
      </c>
      <c r="AI13" s="38">
        <f t="shared" si="5"/>
        <v>0.16240571113904159</v>
      </c>
      <c r="AJ13" s="21">
        <f t="shared" si="6"/>
        <v>2661.1799827243353</v>
      </c>
    </row>
    <row r="14" spans="1:36" ht="15.75" customHeight="1" x14ac:dyDescent="0.4">
      <c r="A14" s="7">
        <v>11</v>
      </c>
      <c r="B14" s="8" t="s">
        <v>38</v>
      </c>
      <c r="C14" s="185" t="s">
        <v>39</v>
      </c>
      <c r="D14" s="9">
        <f>VLOOKUP(C14,'[1]PREÇO ATUAL'!$A:$D,4,0)</f>
        <v>342</v>
      </c>
      <c r="E14" s="45">
        <v>0.75</v>
      </c>
      <c r="F14" s="45">
        <v>0.95</v>
      </c>
      <c r="G14" s="45">
        <v>2</v>
      </c>
      <c r="H14" s="45">
        <v>1.55</v>
      </c>
      <c r="I14" s="46">
        <v>0.9</v>
      </c>
      <c r="J14" s="46">
        <v>4.0999999999999996</v>
      </c>
      <c r="K14" s="46">
        <v>0.75</v>
      </c>
      <c r="L14" s="46">
        <v>1.1000000000000001</v>
      </c>
      <c r="M14" s="46">
        <v>2</v>
      </c>
      <c r="N14" s="45">
        <v>1.55</v>
      </c>
      <c r="O14" s="157">
        <v>0.75</v>
      </c>
      <c r="P14" s="46">
        <v>4.5</v>
      </c>
      <c r="Q14" s="46">
        <v>0.75</v>
      </c>
      <c r="R14" s="46">
        <v>0.95</v>
      </c>
      <c r="S14" s="46">
        <v>2.15</v>
      </c>
      <c r="T14" s="13">
        <f>D14*E14</f>
        <v>256.5</v>
      </c>
      <c r="U14" s="13">
        <f t="shared" ref="U14:AC14" si="17">$D$14*F14</f>
        <v>324.89999999999998</v>
      </c>
      <c r="V14" s="13">
        <f t="shared" si="17"/>
        <v>684</v>
      </c>
      <c r="W14" s="13">
        <f t="shared" si="17"/>
        <v>530.1</v>
      </c>
      <c r="X14" s="13">
        <f t="shared" si="17"/>
        <v>307.8</v>
      </c>
      <c r="Y14" s="13">
        <f t="shared" si="17"/>
        <v>1402.1999999999998</v>
      </c>
      <c r="Z14" s="13">
        <f t="shared" si="17"/>
        <v>256.5</v>
      </c>
      <c r="AA14" s="13">
        <f t="shared" si="17"/>
        <v>376.20000000000005</v>
      </c>
      <c r="AB14" s="13">
        <f t="shared" si="17"/>
        <v>684</v>
      </c>
      <c r="AC14" s="26">
        <f t="shared" si="17"/>
        <v>530.1</v>
      </c>
      <c r="AD14" s="72">
        <f t="shared" ref="AD14" si="18">$D$14*O14</f>
        <v>256.5</v>
      </c>
      <c r="AE14" s="13">
        <f t="shared" ref="AE14" si="19">$D$14*P14</f>
        <v>1539</v>
      </c>
      <c r="AF14" s="13">
        <f t="shared" ref="AF14" si="20">$D$14*Q14</f>
        <v>256.5</v>
      </c>
      <c r="AG14" s="13">
        <f t="shared" ref="AG14" si="21">$D$14*R14</f>
        <v>324.89999999999998</v>
      </c>
      <c r="AH14" s="13">
        <f t="shared" ref="AH14" si="22">$D$14*S14</f>
        <v>735.3</v>
      </c>
      <c r="AI14" s="37">
        <f t="shared" si="5"/>
        <v>0.32663859392164046</v>
      </c>
      <c r="AJ14" s="13">
        <f t="shared" si="6"/>
        <v>5352.3</v>
      </c>
    </row>
    <row r="15" spans="1:36" ht="15.75" customHeight="1" x14ac:dyDescent="0.4">
      <c r="H15" s="54"/>
      <c r="L15" s="54"/>
    </row>
    <row r="16" spans="1:36" ht="14.6" x14ac:dyDescent="0.4"/>
    <row r="17" ht="14.6" x14ac:dyDescent="0.4"/>
    <row r="18" ht="14.6" x14ac:dyDescent="0.4"/>
    <row r="19" ht="14.6" x14ac:dyDescent="0.4"/>
    <row r="20" ht="14.6" x14ac:dyDescent="0.4"/>
    <row r="21" ht="14.6" x14ac:dyDescent="0.4"/>
    <row r="22" ht="14.6" x14ac:dyDescent="0.4"/>
    <row r="23" ht="15.75" customHeight="1" x14ac:dyDescent="0.4"/>
    <row r="24" ht="15.75" customHeight="1" x14ac:dyDescent="0.4"/>
    <row r="25" ht="15.75" customHeight="1" x14ac:dyDescent="0.4"/>
    <row r="26" ht="14.6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</sheetData>
  <mergeCells count="5">
    <mergeCell ref="A1:D2"/>
    <mergeCell ref="AI1:AJ1"/>
    <mergeCell ref="AI2:AJ2"/>
    <mergeCell ref="E1:S2"/>
    <mergeCell ref="T1:AH1"/>
  </mergeCells>
  <pageMargins left="0.511811024" right="0.511811024" top="0.78740157499999996" bottom="0.78740157499999996" header="0" footer="0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5">
    <tabColor rgb="FF00FF00"/>
  </sheetPr>
  <dimension ref="A1:AJ963"/>
  <sheetViews>
    <sheetView showGridLines="0" workbookViewId="0">
      <pane xSplit="4" topLeftCell="E1" activePane="topRight" state="frozen"/>
      <selection activeCell="B23" sqref="B23"/>
      <selection pane="topRight" activeCell="D18" sqref="D18"/>
    </sheetView>
  </sheetViews>
  <sheetFormatPr defaultColWidth="14.3828125" defaultRowHeight="15" customHeight="1" x14ac:dyDescent="0.4"/>
  <cols>
    <col min="1" max="1" width="3.3046875" customWidth="1"/>
    <col min="2" max="2" width="60.3046875" customWidth="1"/>
    <col min="3" max="3" width="16.84375" customWidth="1"/>
    <col min="4" max="4" width="8.69140625" customWidth="1"/>
    <col min="5" max="7" width="10" customWidth="1"/>
    <col min="8" max="19" width="5.3046875" customWidth="1"/>
    <col min="20" max="22" width="15" customWidth="1"/>
    <col min="23" max="23" width="17.15234375" customWidth="1"/>
    <col min="24" max="24" width="15" customWidth="1"/>
    <col min="25" max="25" width="17.15234375" customWidth="1"/>
    <col min="26" max="26" width="15" customWidth="1"/>
    <col min="27" max="27" width="17.15234375" customWidth="1"/>
    <col min="28" max="30" width="15" customWidth="1"/>
    <col min="31" max="31" width="15.69140625" bestFit="1" customWidth="1"/>
    <col min="32" max="34" width="15" customWidth="1"/>
    <col min="35" max="35" width="8.3828125" customWidth="1"/>
    <col min="36" max="36" width="15.53515625" customWidth="1"/>
  </cols>
  <sheetData>
    <row r="1" spans="1:36" ht="15.75" customHeight="1" x14ac:dyDescent="0.4">
      <c r="A1" s="214" t="s">
        <v>112</v>
      </c>
      <c r="B1" s="214"/>
      <c r="C1" s="214"/>
      <c r="D1" s="216"/>
      <c r="E1" s="243" t="s">
        <v>3</v>
      </c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32"/>
      <c r="T1" s="125" t="s">
        <v>4</v>
      </c>
      <c r="U1" s="125"/>
      <c r="V1" s="125"/>
      <c r="W1" s="125"/>
      <c r="X1" s="125"/>
      <c r="Y1" s="125"/>
      <c r="Z1" s="125"/>
      <c r="AA1" s="125"/>
      <c r="AB1" s="125"/>
      <c r="AC1" s="125"/>
      <c r="AD1" s="147"/>
      <c r="AE1" s="147"/>
      <c r="AF1" s="147"/>
      <c r="AG1" s="147"/>
      <c r="AH1" s="147"/>
      <c r="AI1" s="219" t="s">
        <v>5</v>
      </c>
      <c r="AJ1" s="220"/>
    </row>
    <row r="2" spans="1:36" ht="15" customHeight="1" x14ac:dyDescent="0.4">
      <c r="A2" s="214"/>
      <c r="B2" s="214"/>
      <c r="C2" s="214"/>
      <c r="D2" s="217"/>
      <c r="E2" s="244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33"/>
      <c r="T2" s="2">
        <f>MROUND(SUM(T4:T12),1)</f>
        <v>610</v>
      </c>
      <c r="U2" s="2">
        <f t="shared" ref="U2:AH2" si="0">MROUND(SUM(U4:U12),1)</f>
        <v>855</v>
      </c>
      <c r="V2" s="2">
        <f t="shared" si="0"/>
        <v>627</v>
      </c>
      <c r="W2" s="2">
        <f t="shared" si="0"/>
        <v>1708</v>
      </c>
      <c r="X2" s="2">
        <f t="shared" si="0"/>
        <v>661</v>
      </c>
      <c r="Y2" s="2">
        <f t="shared" si="0"/>
        <v>1084</v>
      </c>
      <c r="Z2" s="2">
        <f t="shared" si="0"/>
        <v>610</v>
      </c>
      <c r="AA2" s="2">
        <f t="shared" si="0"/>
        <v>1708</v>
      </c>
      <c r="AB2" s="2">
        <f t="shared" si="0"/>
        <v>627</v>
      </c>
      <c r="AC2" s="2">
        <f t="shared" si="0"/>
        <v>906</v>
      </c>
      <c r="AD2" s="2">
        <f>MROUND(SUM(AD4:AD12),1)</f>
        <v>610</v>
      </c>
      <c r="AE2" s="2">
        <f t="shared" si="0"/>
        <v>1961</v>
      </c>
      <c r="AF2" s="2">
        <f t="shared" si="0"/>
        <v>610</v>
      </c>
      <c r="AG2" s="2">
        <f t="shared" si="0"/>
        <v>855</v>
      </c>
      <c r="AH2" s="2">
        <f t="shared" si="0"/>
        <v>678</v>
      </c>
      <c r="AI2" s="221">
        <f>SUM(T2:AH2)</f>
        <v>14110</v>
      </c>
      <c r="AJ2" s="220"/>
    </row>
    <row r="3" spans="1:36" ht="14.6" x14ac:dyDescent="0.4">
      <c r="A3" s="204" t="s">
        <v>6</v>
      </c>
      <c r="B3" s="3" t="s">
        <v>7</v>
      </c>
      <c r="C3" s="3" t="s">
        <v>8</v>
      </c>
      <c r="D3" s="3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18</v>
      </c>
      <c r="N3" s="5" t="s">
        <v>19</v>
      </c>
      <c r="O3" s="5">
        <v>11</v>
      </c>
      <c r="P3" s="5">
        <v>12</v>
      </c>
      <c r="Q3" s="5">
        <v>13</v>
      </c>
      <c r="R3" s="5">
        <v>14</v>
      </c>
      <c r="S3" s="5">
        <v>15</v>
      </c>
      <c r="T3" s="5">
        <v>10000</v>
      </c>
      <c r="U3" s="5">
        <v>20000</v>
      </c>
      <c r="V3" s="5">
        <v>30000</v>
      </c>
      <c r="W3" s="5">
        <v>40000</v>
      </c>
      <c r="X3" s="5">
        <v>50000</v>
      </c>
      <c r="Y3" s="5">
        <v>60000</v>
      </c>
      <c r="Z3" s="5">
        <v>70000</v>
      </c>
      <c r="AA3" s="5">
        <v>80000</v>
      </c>
      <c r="AB3" s="5">
        <v>90000</v>
      </c>
      <c r="AC3" s="5">
        <v>100000</v>
      </c>
      <c r="AD3" s="148">
        <f>AC3+10000</f>
        <v>110000</v>
      </c>
      <c r="AE3" s="148">
        <f t="shared" ref="AE3:AH3" si="1">AD3+10000</f>
        <v>120000</v>
      </c>
      <c r="AF3" s="148">
        <f t="shared" si="1"/>
        <v>130000</v>
      </c>
      <c r="AG3" s="148">
        <f t="shared" si="1"/>
        <v>140000</v>
      </c>
      <c r="AH3" s="148">
        <f t="shared" si="1"/>
        <v>150000</v>
      </c>
      <c r="AI3" s="6" t="s">
        <v>20</v>
      </c>
      <c r="AJ3" s="3" t="s">
        <v>21</v>
      </c>
    </row>
    <row r="4" spans="1:36" ht="14.6" x14ac:dyDescent="0.4">
      <c r="A4" s="7">
        <v>1</v>
      </c>
      <c r="B4" s="8" t="s">
        <v>22</v>
      </c>
      <c r="C4" s="185" t="s">
        <v>23</v>
      </c>
      <c r="D4" s="9">
        <f>VLOOKUP(C4,'[1]PREÇO ATUAL'!$A:$D,4,0)</f>
        <v>79.900000000000006</v>
      </c>
      <c r="E4" s="10">
        <v>1</v>
      </c>
      <c r="F4" s="10">
        <v>1</v>
      </c>
      <c r="G4" s="10">
        <v>1</v>
      </c>
      <c r="H4" s="10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0">
        <v>1</v>
      </c>
      <c r="O4" s="10">
        <v>1</v>
      </c>
      <c r="P4" s="10">
        <v>1</v>
      </c>
      <c r="Q4" s="10">
        <v>1</v>
      </c>
      <c r="R4" s="10">
        <v>1</v>
      </c>
      <c r="S4" s="10">
        <v>1</v>
      </c>
      <c r="T4" s="13">
        <f t="shared" ref="T4:AC4" si="2">$D4*E4</f>
        <v>79.900000000000006</v>
      </c>
      <c r="U4" s="13">
        <f t="shared" si="2"/>
        <v>79.900000000000006</v>
      </c>
      <c r="V4" s="13">
        <f t="shared" si="2"/>
        <v>79.900000000000006</v>
      </c>
      <c r="W4" s="13">
        <f t="shared" si="2"/>
        <v>79.900000000000006</v>
      </c>
      <c r="X4" s="13">
        <f t="shared" si="2"/>
        <v>79.900000000000006</v>
      </c>
      <c r="Y4" s="13">
        <f t="shared" si="2"/>
        <v>79.900000000000006</v>
      </c>
      <c r="Z4" s="13">
        <f t="shared" si="2"/>
        <v>79.900000000000006</v>
      </c>
      <c r="AA4" s="13">
        <f t="shared" si="2"/>
        <v>79.900000000000006</v>
      </c>
      <c r="AB4" s="13">
        <f t="shared" si="2"/>
        <v>79.900000000000006</v>
      </c>
      <c r="AC4" s="13">
        <f t="shared" si="2"/>
        <v>79.900000000000006</v>
      </c>
      <c r="AD4" s="13">
        <f t="shared" ref="AD4:AH12" si="3">$D4*O4</f>
        <v>79.900000000000006</v>
      </c>
      <c r="AE4" s="13">
        <f t="shared" si="3"/>
        <v>79.900000000000006</v>
      </c>
      <c r="AF4" s="13">
        <f t="shared" si="3"/>
        <v>79.900000000000006</v>
      </c>
      <c r="AG4" s="13">
        <f t="shared" si="3"/>
        <v>79.900000000000006</v>
      </c>
      <c r="AH4" s="13">
        <f t="shared" si="3"/>
        <v>79.900000000000006</v>
      </c>
      <c r="AI4" s="14">
        <f t="shared" ref="AI4:AI12" si="4">AJ4/$AI$2</f>
        <v>8.4939759036144577E-2</v>
      </c>
      <c r="AJ4" s="13">
        <f>SUM(T4:AH4)</f>
        <v>1198.5</v>
      </c>
    </row>
    <row r="5" spans="1:36" ht="14.6" x14ac:dyDescent="0.4">
      <c r="A5" s="15">
        <v>2</v>
      </c>
      <c r="B5" s="16" t="s">
        <v>24</v>
      </c>
      <c r="C5" s="186" t="s">
        <v>25</v>
      </c>
      <c r="D5" s="17">
        <f>VLOOKUP(C5,'[1]PREÇO ATUAL'!$A:$D,4,0)</f>
        <v>35.9</v>
      </c>
      <c r="E5" s="18"/>
      <c r="F5" s="18">
        <v>1</v>
      </c>
      <c r="G5" s="18"/>
      <c r="H5" s="18">
        <v>1</v>
      </c>
      <c r="I5" s="19"/>
      <c r="J5" s="19">
        <v>1</v>
      </c>
      <c r="K5" s="19"/>
      <c r="L5" s="19">
        <v>1</v>
      </c>
      <c r="M5" s="19"/>
      <c r="N5" s="18">
        <v>1</v>
      </c>
      <c r="O5" s="155"/>
      <c r="P5" s="19">
        <v>1</v>
      </c>
      <c r="Q5" s="19"/>
      <c r="R5" s="19">
        <v>1</v>
      </c>
      <c r="S5" s="19"/>
      <c r="T5" s="21">
        <f t="shared" ref="T5:AC5" si="5">$D5*E5</f>
        <v>0</v>
      </c>
      <c r="U5" s="21">
        <f t="shared" si="5"/>
        <v>35.9</v>
      </c>
      <c r="V5" s="21">
        <f t="shared" si="5"/>
        <v>0</v>
      </c>
      <c r="W5" s="21">
        <f t="shared" si="5"/>
        <v>35.9</v>
      </c>
      <c r="X5" s="21">
        <f t="shared" si="5"/>
        <v>0</v>
      </c>
      <c r="Y5" s="21">
        <f t="shared" si="5"/>
        <v>35.9</v>
      </c>
      <c r="Z5" s="21">
        <f t="shared" si="5"/>
        <v>0</v>
      </c>
      <c r="AA5" s="21">
        <f t="shared" si="5"/>
        <v>35.9</v>
      </c>
      <c r="AB5" s="21">
        <f t="shared" si="5"/>
        <v>0</v>
      </c>
      <c r="AC5" s="21">
        <f t="shared" si="5"/>
        <v>35.9</v>
      </c>
      <c r="AD5" s="21">
        <f t="shared" si="3"/>
        <v>0</v>
      </c>
      <c r="AE5" s="21">
        <f t="shared" si="3"/>
        <v>35.9</v>
      </c>
      <c r="AF5" s="21">
        <f t="shared" si="3"/>
        <v>0</v>
      </c>
      <c r="AG5" s="21">
        <f t="shared" si="3"/>
        <v>35.9</v>
      </c>
      <c r="AH5" s="21">
        <f t="shared" si="3"/>
        <v>0</v>
      </c>
      <c r="AI5" s="22">
        <f t="shared" si="4"/>
        <v>1.7810063784549964E-2</v>
      </c>
      <c r="AJ5" s="21">
        <f t="shared" ref="AJ5:AJ12" si="6">SUM(T5:AH5)</f>
        <v>251.3</v>
      </c>
    </row>
    <row r="6" spans="1:36" ht="14.6" x14ac:dyDescent="0.4">
      <c r="A6" s="7">
        <v>3</v>
      </c>
      <c r="B6" s="8" t="s">
        <v>26</v>
      </c>
      <c r="C6" s="185" t="s">
        <v>27</v>
      </c>
      <c r="D6" s="9">
        <f>VLOOKUP(C6,'[1]PREÇO ATUAL'!$A:$D,4,0)</f>
        <v>89.9</v>
      </c>
      <c r="E6" s="10"/>
      <c r="F6" s="10">
        <v>1</v>
      </c>
      <c r="G6" s="10"/>
      <c r="H6" s="10">
        <v>1</v>
      </c>
      <c r="I6" s="11"/>
      <c r="J6" s="11">
        <v>1</v>
      </c>
      <c r="K6" s="11"/>
      <c r="L6" s="11">
        <v>1</v>
      </c>
      <c r="M6" s="11"/>
      <c r="N6" s="10">
        <v>1</v>
      </c>
      <c r="O6" s="154"/>
      <c r="P6" s="11">
        <v>1</v>
      </c>
      <c r="Q6" s="11"/>
      <c r="R6" s="11">
        <v>1</v>
      </c>
      <c r="S6" s="11"/>
      <c r="T6" s="13">
        <f t="shared" ref="T6:AC6" si="7">$D6*E6</f>
        <v>0</v>
      </c>
      <c r="U6" s="13">
        <f t="shared" si="7"/>
        <v>89.9</v>
      </c>
      <c r="V6" s="13">
        <f t="shared" si="7"/>
        <v>0</v>
      </c>
      <c r="W6" s="13">
        <f t="shared" si="7"/>
        <v>89.9</v>
      </c>
      <c r="X6" s="13">
        <f t="shared" si="7"/>
        <v>0</v>
      </c>
      <c r="Y6" s="13">
        <f t="shared" si="7"/>
        <v>89.9</v>
      </c>
      <c r="Z6" s="13">
        <f t="shared" si="7"/>
        <v>0</v>
      </c>
      <c r="AA6" s="13">
        <f t="shared" si="7"/>
        <v>89.9</v>
      </c>
      <c r="AB6" s="13">
        <f t="shared" si="7"/>
        <v>0</v>
      </c>
      <c r="AC6" s="13">
        <f t="shared" si="7"/>
        <v>89.9</v>
      </c>
      <c r="AD6" s="13">
        <f t="shared" si="3"/>
        <v>0</v>
      </c>
      <c r="AE6" s="13">
        <f t="shared" si="3"/>
        <v>89.9</v>
      </c>
      <c r="AF6" s="13">
        <f t="shared" si="3"/>
        <v>0</v>
      </c>
      <c r="AG6" s="13">
        <f t="shared" si="3"/>
        <v>89.9</v>
      </c>
      <c r="AH6" s="13">
        <f t="shared" si="3"/>
        <v>0</v>
      </c>
      <c r="AI6" s="14">
        <f t="shared" si="4"/>
        <v>4.4599574769666903E-2</v>
      </c>
      <c r="AJ6" s="13">
        <f t="shared" si="6"/>
        <v>629.29999999999995</v>
      </c>
    </row>
    <row r="7" spans="1:36" ht="14.6" x14ac:dyDescent="0.4">
      <c r="A7" s="15">
        <v>4</v>
      </c>
      <c r="B7" s="16" t="s">
        <v>28</v>
      </c>
      <c r="C7" s="186" t="s">
        <v>29</v>
      </c>
      <c r="D7" s="17">
        <f>VLOOKUP(C7,'[1]PREÇO ATUAL'!$A:$D,4,0)</f>
        <v>175.9</v>
      </c>
      <c r="E7" s="18"/>
      <c r="F7" s="18"/>
      <c r="G7" s="18"/>
      <c r="H7" s="18">
        <v>3</v>
      </c>
      <c r="I7" s="19"/>
      <c r="J7" s="19"/>
      <c r="K7" s="19"/>
      <c r="L7" s="19">
        <v>3</v>
      </c>
      <c r="M7" s="19"/>
      <c r="N7" s="18"/>
      <c r="O7" s="155"/>
      <c r="P7" s="19">
        <v>3</v>
      </c>
      <c r="Q7" s="19"/>
      <c r="R7" s="19"/>
      <c r="S7" s="19"/>
      <c r="T7" s="21">
        <f t="shared" ref="T7:AC7" si="8">$D7*E7</f>
        <v>0</v>
      </c>
      <c r="U7" s="21">
        <f t="shared" si="8"/>
        <v>0</v>
      </c>
      <c r="V7" s="21">
        <f t="shared" si="8"/>
        <v>0</v>
      </c>
      <c r="W7" s="21">
        <f t="shared" si="8"/>
        <v>527.70000000000005</v>
      </c>
      <c r="X7" s="21">
        <f t="shared" si="8"/>
        <v>0</v>
      </c>
      <c r="Y7" s="21">
        <f t="shared" si="8"/>
        <v>0</v>
      </c>
      <c r="Z7" s="21">
        <f t="shared" si="8"/>
        <v>0</v>
      </c>
      <c r="AA7" s="21">
        <f t="shared" si="8"/>
        <v>527.70000000000005</v>
      </c>
      <c r="AB7" s="21">
        <f t="shared" si="8"/>
        <v>0</v>
      </c>
      <c r="AC7" s="21">
        <f t="shared" si="8"/>
        <v>0</v>
      </c>
      <c r="AD7" s="21">
        <f t="shared" si="3"/>
        <v>0</v>
      </c>
      <c r="AE7" s="21">
        <f t="shared" si="3"/>
        <v>527.70000000000005</v>
      </c>
      <c r="AF7" s="21">
        <f t="shared" si="3"/>
        <v>0</v>
      </c>
      <c r="AG7" s="21">
        <f t="shared" si="3"/>
        <v>0</v>
      </c>
      <c r="AH7" s="21">
        <f t="shared" si="3"/>
        <v>0</v>
      </c>
      <c r="AI7" s="22">
        <f t="shared" si="4"/>
        <v>0.11219702338766833</v>
      </c>
      <c r="AJ7" s="21">
        <f t="shared" si="6"/>
        <v>1583.1000000000001</v>
      </c>
    </row>
    <row r="8" spans="1:36" ht="14.6" x14ac:dyDescent="0.4">
      <c r="A8" s="7">
        <v>5</v>
      </c>
      <c r="B8" s="8" t="s">
        <v>30</v>
      </c>
      <c r="C8" s="185" t="s">
        <v>31</v>
      </c>
      <c r="D8" s="9">
        <f>VLOOKUP(C8,'[1]PREÇO ATUAL'!$A:$D,4,0)</f>
        <v>143.22999999999999</v>
      </c>
      <c r="E8" s="10"/>
      <c r="F8" s="10"/>
      <c r="G8" s="10"/>
      <c r="H8" s="10"/>
      <c r="I8" s="11"/>
      <c r="J8" s="11">
        <v>1</v>
      </c>
      <c r="K8" s="11"/>
      <c r="L8" s="11"/>
      <c r="M8" s="11"/>
      <c r="N8" s="10"/>
      <c r="O8" s="154"/>
      <c r="P8" s="11">
        <v>1</v>
      </c>
      <c r="Q8" s="11"/>
      <c r="R8" s="11"/>
      <c r="S8" s="11"/>
      <c r="T8" s="13">
        <f t="shared" ref="T8:AC9" si="9">$D8*E8</f>
        <v>0</v>
      </c>
      <c r="U8" s="13">
        <f t="shared" si="9"/>
        <v>0</v>
      </c>
      <c r="V8" s="13">
        <f t="shared" si="9"/>
        <v>0</v>
      </c>
      <c r="W8" s="13">
        <f t="shared" si="9"/>
        <v>0</v>
      </c>
      <c r="X8" s="13">
        <f t="shared" si="9"/>
        <v>0</v>
      </c>
      <c r="Y8" s="13">
        <f t="shared" si="9"/>
        <v>143.22999999999999</v>
      </c>
      <c r="Z8" s="13">
        <f t="shared" si="9"/>
        <v>0</v>
      </c>
      <c r="AA8" s="13">
        <f t="shared" si="9"/>
        <v>0</v>
      </c>
      <c r="AB8" s="13">
        <f t="shared" si="9"/>
        <v>0</v>
      </c>
      <c r="AC8" s="13">
        <f t="shared" si="9"/>
        <v>0</v>
      </c>
      <c r="AD8" s="13">
        <f t="shared" si="3"/>
        <v>0</v>
      </c>
      <c r="AE8" s="13">
        <f t="shared" si="3"/>
        <v>143.22999999999999</v>
      </c>
      <c r="AF8" s="13">
        <f t="shared" si="3"/>
        <v>0</v>
      </c>
      <c r="AG8" s="13">
        <f t="shared" si="3"/>
        <v>0</v>
      </c>
      <c r="AH8" s="13">
        <f t="shared" si="3"/>
        <v>0</v>
      </c>
      <c r="AI8" s="14">
        <f t="shared" si="4"/>
        <v>2.0301913536498937E-2</v>
      </c>
      <c r="AJ8" s="13">
        <f t="shared" si="6"/>
        <v>286.45999999999998</v>
      </c>
    </row>
    <row r="9" spans="1:36" ht="29.25" customHeight="1" x14ac:dyDescent="0.4">
      <c r="A9" s="15">
        <v>6</v>
      </c>
      <c r="B9" s="143" t="s">
        <v>106</v>
      </c>
      <c r="C9" s="186" t="s">
        <v>33</v>
      </c>
      <c r="D9" s="17">
        <f>VLOOKUP(C9,'[1]PREÇO ATUAL'!$A:$D,4,0)</f>
        <v>165.97812000000002</v>
      </c>
      <c r="E9" s="18"/>
      <c r="F9" s="18"/>
      <c r="G9" s="18"/>
      <c r="H9" s="18"/>
      <c r="I9" s="19"/>
      <c r="J9" s="19"/>
      <c r="K9" s="19"/>
      <c r="L9" s="19"/>
      <c r="M9" s="19"/>
      <c r="N9" s="18"/>
      <c r="O9" s="155"/>
      <c r="P9" s="158">
        <v>2</v>
      </c>
      <c r="Q9" s="19"/>
      <c r="R9" s="19"/>
      <c r="S9" s="19"/>
      <c r="T9" s="21">
        <f t="shared" si="9"/>
        <v>0</v>
      </c>
      <c r="U9" s="21">
        <f t="shared" si="9"/>
        <v>0</v>
      </c>
      <c r="V9" s="21">
        <f t="shared" si="9"/>
        <v>0</v>
      </c>
      <c r="W9" s="21">
        <f t="shared" si="9"/>
        <v>0</v>
      </c>
      <c r="X9" s="21">
        <f t="shared" si="9"/>
        <v>0</v>
      </c>
      <c r="Y9" s="21">
        <f t="shared" si="9"/>
        <v>0</v>
      </c>
      <c r="Z9" s="21">
        <f t="shared" si="9"/>
        <v>0</v>
      </c>
      <c r="AA9" s="21">
        <f t="shared" si="9"/>
        <v>0</v>
      </c>
      <c r="AB9" s="21">
        <f t="shared" si="9"/>
        <v>0</v>
      </c>
      <c r="AC9" s="21">
        <f t="shared" si="9"/>
        <v>0</v>
      </c>
      <c r="AD9" s="21">
        <f t="shared" si="3"/>
        <v>0</v>
      </c>
      <c r="AE9" s="21">
        <f t="shared" si="3"/>
        <v>331.95624000000004</v>
      </c>
      <c r="AF9" s="21">
        <f t="shared" si="3"/>
        <v>0</v>
      </c>
      <c r="AG9" s="21">
        <f t="shared" si="3"/>
        <v>0</v>
      </c>
      <c r="AH9" s="21">
        <f t="shared" si="3"/>
        <v>0</v>
      </c>
      <c r="AI9" s="22">
        <f t="shared" ref="AI9" si="10">AJ9/$AI$2</f>
        <v>2.3526310418143164E-2</v>
      </c>
      <c r="AJ9" s="21">
        <f>SUM(T9:AH9)</f>
        <v>331.95624000000004</v>
      </c>
    </row>
    <row r="10" spans="1:36" ht="14.6" x14ac:dyDescent="0.4">
      <c r="A10" s="7">
        <v>7</v>
      </c>
      <c r="B10" s="8" t="s">
        <v>34</v>
      </c>
      <c r="C10" s="185" t="s">
        <v>35</v>
      </c>
      <c r="D10" s="9">
        <f>VLOOKUP(C10,'[1]PREÇO ATUAL'!$A:$D,4,0)</f>
        <v>33.622493083850472</v>
      </c>
      <c r="E10" s="10"/>
      <c r="F10" s="10"/>
      <c r="G10" s="10"/>
      <c r="H10" s="10"/>
      <c r="I10" s="11"/>
      <c r="J10" s="11"/>
      <c r="K10" s="11"/>
      <c r="L10" s="11"/>
      <c r="M10" s="11"/>
      <c r="N10" s="10"/>
      <c r="O10" s="154"/>
      <c r="P10" s="11"/>
      <c r="Q10" s="11"/>
      <c r="R10" s="11"/>
      <c r="S10" s="11"/>
      <c r="T10" s="13">
        <f t="shared" ref="T10:AC10" si="11">$D10*E10</f>
        <v>0</v>
      </c>
      <c r="U10" s="13">
        <f t="shared" si="11"/>
        <v>0</v>
      </c>
      <c r="V10" s="13">
        <f t="shared" si="11"/>
        <v>0</v>
      </c>
      <c r="W10" s="13">
        <f t="shared" si="11"/>
        <v>0</v>
      </c>
      <c r="X10" s="13">
        <f t="shared" si="11"/>
        <v>0</v>
      </c>
      <c r="Y10" s="13">
        <f t="shared" si="11"/>
        <v>0</v>
      </c>
      <c r="Z10" s="13">
        <f t="shared" si="11"/>
        <v>0</v>
      </c>
      <c r="AA10" s="13">
        <f t="shared" si="11"/>
        <v>0</v>
      </c>
      <c r="AB10" s="13">
        <f t="shared" si="11"/>
        <v>0</v>
      </c>
      <c r="AC10" s="13">
        <f t="shared" si="11"/>
        <v>0</v>
      </c>
      <c r="AD10" s="13">
        <f t="shared" si="3"/>
        <v>0</v>
      </c>
      <c r="AE10" s="13">
        <f t="shared" si="3"/>
        <v>0</v>
      </c>
      <c r="AF10" s="13">
        <f t="shared" si="3"/>
        <v>0</v>
      </c>
      <c r="AG10" s="13">
        <f t="shared" si="3"/>
        <v>0</v>
      </c>
      <c r="AH10" s="13">
        <f t="shared" si="3"/>
        <v>0</v>
      </c>
      <c r="AI10" s="14">
        <f t="shared" si="4"/>
        <v>0</v>
      </c>
      <c r="AJ10" s="13">
        <f t="shared" si="6"/>
        <v>0</v>
      </c>
    </row>
    <row r="11" spans="1:36" ht="14.6" x14ac:dyDescent="0.4">
      <c r="A11" s="15">
        <v>8</v>
      </c>
      <c r="B11" s="16" t="s">
        <v>36</v>
      </c>
      <c r="C11" s="186" t="s">
        <v>37</v>
      </c>
      <c r="D11" s="17">
        <f>VLOOKUP(C11,'[1]PREÇO ATUAL'!$A:$D,4,0)</f>
        <v>94.126931447834295</v>
      </c>
      <c r="E11" s="28">
        <v>2.54</v>
      </c>
      <c r="F11" s="28">
        <v>2.54</v>
      </c>
      <c r="G11" s="28">
        <v>2.54</v>
      </c>
      <c r="H11" s="28">
        <v>2.54</v>
      </c>
      <c r="I11" s="29">
        <v>2.54</v>
      </c>
      <c r="J11" s="29">
        <v>2.54</v>
      </c>
      <c r="K11" s="29">
        <v>2.54</v>
      </c>
      <c r="L11" s="29">
        <v>2.54</v>
      </c>
      <c r="M11" s="29">
        <v>2.54</v>
      </c>
      <c r="N11" s="28">
        <v>2.54</v>
      </c>
      <c r="O11" s="160">
        <v>2.54</v>
      </c>
      <c r="P11" s="29">
        <v>2.54</v>
      </c>
      <c r="Q11" s="29">
        <v>2.54</v>
      </c>
      <c r="R11" s="29">
        <v>2.54</v>
      </c>
      <c r="S11" s="29">
        <v>2.54</v>
      </c>
      <c r="T11" s="21">
        <f t="shared" ref="T11:AC11" si="12">$D11*E11</f>
        <v>239.0824058774991</v>
      </c>
      <c r="U11" s="21">
        <f t="shared" si="12"/>
        <v>239.0824058774991</v>
      </c>
      <c r="V11" s="21">
        <f t="shared" si="12"/>
        <v>239.0824058774991</v>
      </c>
      <c r="W11" s="21">
        <f t="shared" si="12"/>
        <v>239.0824058774991</v>
      </c>
      <c r="X11" s="21">
        <f t="shared" si="12"/>
        <v>239.0824058774991</v>
      </c>
      <c r="Y11" s="21">
        <f t="shared" si="12"/>
        <v>239.0824058774991</v>
      </c>
      <c r="Z11" s="21">
        <f t="shared" si="12"/>
        <v>239.0824058774991</v>
      </c>
      <c r="AA11" s="21">
        <f t="shared" si="12"/>
        <v>239.0824058774991</v>
      </c>
      <c r="AB11" s="21">
        <f t="shared" si="12"/>
        <v>239.0824058774991</v>
      </c>
      <c r="AC11" s="21">
        <f t="shared" si="12"/>
        <v>239.0824058774991</v>
      </c>
      <c r="AD11" s="21">
        <f t="shared" si="3"/>
        <v>239.0824058774991</v>
      </c>
      <c r="AE11" s="21">
        <f t="shared" si="3"/>
        <v>239.0824058774991</v>
      </c>
      <c r="AF11" s="21">
        <f t="shared" si="3"/>
        <v>239.0824058774991</v>
      </c>
      <c r="AG11" s="21">
        <f t="shared" si="3"/>
        <v>239.0824058774991</v>
      </c>
      <c r="AH11" s="21">
        <f t="shared" si="3"/>
        <v>239.0824058774991</v>
      </c>
      <c r="AI11" s="22">
        <f t="shared" si="4"/>
        <v>0.25416272772235915</v>
      </c>
      <c r="AJ11" s="21">
        <f t="shared" si="6"/>
        <v>3586.2360881624872</v>
      </c>
    </row>
    <row r="12" spans="1:36" ht="14.6" x14ac:dyDescent="0.4">
      <c r="A12" s="7">
        <v>9</v>
      </c>
      <c r="B12" s="8" t="s">
        <v>38</v>
      </c>
      <c r="C12" s="185" t="s">
        <v>39</v>
      </c>
      <c r="D12" s="9">
        <f>VLOOKUP(C12,'[1]PREÇO ATUAL'!$A:$D,4,0)</f>
        <v>342</v>
      </c>
      <c r="E12" s="45">
        <v>0.85</v>
      </c>
      <c r="F12" s="45">
        <v>1.2</v>
      </c>
      <c r="G12" s="45">
        <v>0.9</v>
      </c>
      <c r="H12" s="45">
        <v>2.15</v>
      </c>
      <c r="I12" s="46">
        <v>1</v>
      </c>
      <c r="J12" s="46">
        <v>1.45</v>
      </c>
      <c r="K12" s="46">
        <v>0.85</v>
      </c>
      <c r="L12" s="46">
        <v>2.15</v>
      </c>
      <c r="M12" s="46">
        <v>0.9</v>
      </c>
      <c r="N12" s="45">
        <v>1.35</v>
      </c>
      <c r="O12" s="157">
        <v>0.85</v>
      </c>
      <c r="P12" s="46">
        <v>1.5</v>
      </c>
      <c r="Q12" s="46">
        <v>0.85</v>
      </c>
      <c r="R12" s="46">
        <v>1.2</v>
      </c>
      <c r="S12" s="46">
        <v>1.05</v>
      </c>
      <c r="T12" s="13">
        <f>D12*E12</f>
        <v>290.7</v>
      </c>
      <c r="U12" s="13">
        <f t="shared" ref="U12:AC12" si="13">$D12*F12</f>
        <v>410.4</v>
      </c>
      <c r="V12" s="13">
        <f t="shared" si="13"/>
        <v>307.8</v>
      </c>
      <c r="W12" s="13">
        <f t="shared" si="13"/>
        <v>735.3</v>
      </c>
      <c r="X12" s="13">
        <f t="shared" si="13"/>
        <v>342</v>
      </c>
      <c r="Y12" s="13">
        <f t="shared" si="13"/>
        <v>495.9</v>
      </c>
      <c r="Z12" s="13">
        <f t="shared" si="13"/>
        <v>290.7</v>
      </c>
      <c r="AA12" s="13">
        <f t="shared" si="13"/>
        <v>735.3</v>
      </c>
      <c r="AB12" s="13">
        <f t="shared" si="13"/>
        <v>307.8</v>
      </c>
      <c r="AC12" s="13">
        <f t="shared" si="13"/>
        <v>461.70000000000005</v>
      </c>
      <c r="AD12" s="13">
        <f t="shared" si="3"/>
        <v>290.7</v>
      </c>
      <c r="AE12" s="13">
        <f t="shared" si="3"/>
        <v>513</v>
      </c>
      <c r="AF12" s="13">
        <f t="shared" si="3"/>
        <v>290.7</v>
      </c>
      <c r="AG12" s="13">
        <f t="shared" si="3"/>
        <v>410.4</v>
      </c>
      <c r="AH12" s="13">
        <f t="shared" si="3"/>
        <v>359.1</v>
      </c>
      <c r="AI12" s="14">
        <f t="shared" si="4"/>
        <v>0.44234585400425225</v>
      </c>
      <c r="AJ12" s="13">
        <f t="shared" si="6"/>
        <v>6241.4999999999991</v>
      </c>
    </row>
    <row r="13" spans="1:36" ht="14.6" x14ac:dyDescent="0.4">
      <c r="H13" s="39"/>
    </row>
    <row r="14" spans="1:36" ht="15.75" customHeight="1" x14ac:dyDescent="0.4"/>
    <row r="15" spans="1:36" ht="15.75" customHeight="1" x14ac:dyDescent="0.4"/>
    <row r="16" spans="1:36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</sheetData>
  <mergeCells count="3">
    <mergeCell ref="AI1:AJ1"/>
    <mergeCell ref="AI2:AJ2"/>
    <mergeCell ref="E1:S2"/>
  </mergeCells>
  <pageMargins left="0.511811024" right="0.511811024" top="0.78740157499999996" bottom="0.78740157499999996" header="0" footer="0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16">
    <tabColor rgb="FF00FF00"/>
  </sheetPr>
  <dimension ref="A1:AJ962"/>
  <sheetViews>
    <sheetView showGridLines="0" workbookViewId="0">
      <pane xSplit="4" topLeftCell="E1" activePane="topRight" state="frozen"/>
      <selection activeCell="B23" sqref="B23"/>
      <selection pane="topRight" activeCell="F30" sqref="F30"/>
    </sheetView>
  </sheetViews>
  <sheetFormatPr defaultColWidth="14.3828125" defaultRowHeight="15" customHeight="1" x14ac:dyDescent="0.4"/>
  <cols>
    <col min="1" max="1" width="3.3046875" customWidth="1"/>
    <col min="2" max="2" width="60.3828125" customWidth="1"/>
    <col min="3" max="3" width="16.84375" customWidth="1"/>
    <col min="4" max="4" width="8.69140625" customWidth="1"/>
    <col min="5" max="5" width="6.53515625" customWidth="1"/>
    <col min="6" max="13" width="5.3828125" customWidth="1"/>
    <col min="14" max="19" width="5.53515625" customWidth="1"/>
    <col min="20" max="22" width="15" customWidth="1"/>
    <col min="23" max="23" width="17.15234375" customWidth="1"/>
    <col min="24" max="24" width="15" customWidth="1"/>
    <col min="25" max="25" width="17.15234375" customWidth="1"/>
    <col min="26" max="26" width="15" customWidth="1"/>
    <col min="27" max="27" width="17.15234375" customWidth="1"/>
    <col min="28" max="30" width="15" customWidth="1"/>
    <col min="31" max="31" width="15.69140625" bestFit="1" customWidth="1"/>
    <col min="32" max="34" width="15" customWidth="1"/>
    <col min="35" max="35" width="8.3828125" customWidth="1"/>
    <col min="36" max="36" width="15.53515625" customWidth="1"/>
  </cols>
  <sheetData>
    <row r="1" spans="1:36" ht="14.6" x14ac:dyDescent="0.4">
      <c r="A1" s="222" t="s">
        <v>113</v>
      </c>
      <c r="B1" s="239"/>
      <c r="C1" s="239"/>
      <c r="D1" s="245"/>
      <c r="E1" s="226" t="s">
        <v>3</v>
      </c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32"/>
      <c r="T1" s="230" t="s">
        <v>4</v>
      </c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231"/>
      <c r="AH1" s="231"/>
      <c r="AI1" s="219" t="s">
        <v>5</v>
      </c>
      <c r="AJ1" s="220"/>
    </row>
    <row r="2" spans="1:36" ht="14.6" x14ac:dyDescent="0.4">
      <c r="A2" s="240"/>
      <c r="B2" s="241"/>
      <c r="C2" s="241"/>
      <c r="D2" s="246"/>
      <c r="E2" s="228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33"/>
      <c r="T2" s="2">
        <f t="shared" ref="T2:AH2" si="0">MROUND(SUM(T4:T11),1)</f>
        <v>687</v>
      </c>
      <c r="U2" s="2">
        <f t="shared" si="0"/>
        <v>932</v>
      </c>
      <c r="V2" s="2">
        <f t="shared" si="0"/>
        <v>704</v>
      </c>
      <c r="W2" s="2">
        <f t="shared" si="0"/>
        <v>1961</v>
      </c>
      <c r="X2" s="2">
        <f t="shared" si="0"/>
        <v>738</v>
      </c>
      <c r="Y2" s="2">
        <f t="shared" si="0"/>
        <v>1161</v>
      </c>
      <c r="Z2" s="2">
        <f t="shared" si="0"/>
        <v>687</v>
      </c>
      <c r="AA2" s="2">
        <f t="shared" si="0"/>
        <v>1961</v>
      </c>
      <c r="AB2" s="2">
        <f t="shared" si="0"/>
        <v>704</v>
      </c>
      <c r="AC2" s="2">
        <f t="shared" si="0"/>
        <v>984</v>
      </c>
      <c r="AD2" s="2">
        <f t="shared" si="0"/>
        <v>687</v>
      </c>
      <c r="AE2" s="2">
        <f t="shared" si="0"/>
        <v>1882</v>
      </c>
      <c r="AF2" s="2">
        <f t="shared" si="0"/>
        <v>687</v>
      </c>
      <c r="AG2" s="2">
        <f t="shared" si="0"/>
        <v>932</v>
      </c>
      <c r="AH2" s="2">
        <f t="shared" si="0"/>
        <v>755</v>
      </c>
      <c r="AI2" s="221">
        <f>SUM(T2:AH2)</f>
        <v>15462</v>
      </c>
      <c r="AJ2" s="220"/>
    </row>
    <row r="3" spans="1:36" ht="14.6" x14ac:dyDescent="0.4">
      <c r="A3" s="3" t="s">
        <v>6</v>
      </c>
      <c r="B3" s="3" t="s">
        <v>7</v>
      </c>
      <c r="C3" s="184" t="s">
        <v>8</v>
      </c>
      <c r="D3" s="4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18</v>
      </c>
      <c r="N3" s="5" t="s">
        <v>19</v>
      </c>
      <c r="O3" s="5">
        <v>11</v>
      </c>
      <c r="P3" s="5">
        <v>12</v>
      </c>
      <c r="Q3" s="5">
        <v>13</v>
      </c>
      <c r="R3" s="5">
        <v>14</v>
      </c>
      <c r="S3" s="5">
        <v>15</v>
      </c>
      <c r="T3" s="5">
        <v>10000</v>
      </c>
      <c r="U3" s="5">
        <v>20000</v>
      </c>
      <c r="V3" s="5">
        <v>30000</v>
      </c>
      <c r="W3" s="5">
        <v>40000</v>
      </c>
      <c r="X3" s="5">
        <v>50000</v>
      </c>
      <c r="Y3" s="5">
        <v>60000</v>
      </c>
      <c r="Z3" s="5">
        <v>70000</v>
      </c>
      <c r="AA3" s="5">
        <v>80000</v>
      </c>
      <c r="AB3" s="5">
        <v>90000</v>
      </c>
      <c r="AC3" s="5">
        <v>100000</v>
      </c>
      <c r="AD3" s="148">
        <f>AC3+10000</f>
        <v>110000</v>
      </c>
      <c r="AE3" s="148">
        <f t="shared" ref="AE3:AH3" si="1">AD3+10000</f>
        <v>120000</v>
      </c>
      <c r="AF3" s="148">
        <f t="shared" si="1"/>
        <v>130000</v>
      </c>
      <c r="AG3" s="148">
        <f t="shared" si="1"/>
        <v>140000</v>
      </c>
      <c r="AH3" s="148">
        <f t="shared" si="1"/>
        <v>150000</v>
      </c>
      <c r="AI3" s="6" t="s">
        <v>20</v>
      </c>
      <c r="AJ3" s="3" t="s">
        <v>21</v>
      </c>
    </row>
    <row r="4" spans="1:36" ht="14.6" x14ac:dyDescent="0.4">
      <c r="A4" s="7">
        <v>1</v>
      </c>
      <c r="B4" s="8" t="s">
        <v>22</v>
      </c>
      <c r="C4" s="185" t="s">
        <v>23</v>
      </c>
      <c r="D4" s="9">
        <f>VLOOKUP(C4,'[1]PREÇO ATUAL'!$A:$D,4,0)</f>
        <v>79.900000000000006</v>
      </c>
      <c r="E4" s="10">
        <v>1</v>
      </c>
      <c r="F4" s="10">
        <v>1</v>
      </c>
      <c r="G4" s="10">
        <v>1</v>
      </c>
      <c r="H4" s="10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0">
        <v>1</v>
      </c>
      <c r="O4" s="154">
        <v>1</v>
      </c>
      <c r="P4" s="154">
        <v>1</v>
      </c>
      <c r="Q4" s="154">
        <v>1</v>
      </c>
      <c r="R4" s="154">
        <v>1</v>
      </c>
      <c r="S4" s="154">
        <v>1</v>
      </c>
      <c r="T4" s="13">
        <f t="shared" ref="T4:AC4" si="2">$D4*E4</f>
        <v>79.900000000000006</v>
      </c>
      <c r="U4" s="13">
        <f t="shared" si="2"/>
        <v>79.900000000000006</v>
      </c>
      <c r="V4" s="13">
        <f t="shared" si="2"/>
        <v>79.900000000000006</v>
      </c>
      <c r="W4" s="13">
        <f t="shared" si="2"/>
        <v>79.900000000000006</v>
      </c>
      <c r="X4" s="13">
        <f t="shared" si="2"/>
        <v>79.900000000000006</v>
      </c>
      <c r="Y4" s="13">
        <f t="shared" si="2"/>
        <v>79.900000000000006</v>
      </c>
      <c r="Z4" s="13">
        <f t="shared" si="2"/>
        <v>79.900000000000006</v>
      </c>
      <c r="AA4" s="13">
        <f t="shared" si="2"/>
        <v>79.900000000000006</v>
      </c>
      <c r="AB4" s="13">
        <f t="shared" si="2"/>
        <v>79.900000000000006</v>
      </c>
      <c r="AC4" s="13">
        <f t="shared" si="2"/>
        <v>79.900000000000006</v>
      </c>
      <c r="AD4" s="13">
        <f t="shared" ref="AD4:AH8" si="3">$D4*O4</f>
        <v>79.900000000000006</v>
      </c>
      <c r="AE4" s="13">
        <f t="shared" si="3"/>
        <v>79.900000000000006</v>
      </c>
      <c r="AF4" s="13">
        <f t="shared" si="3"/>
        <v>79.900000000000006</v>
      </c>
      <c r="AG4" s="13">
        <f t="shared" si="3"/>
        <v>79.900000000000006</v>
      </c>
      <c r="AH4" s="13">
        <f t="shared" si="3"/>
        <v>79.900000000000006</v>
      </c>
      <c r="AI4" s="14">
        <f t="shared" ref="AI4:AI11" si="4">AJ4/$AI$2</f>
        <v>7.7512611563833919E-2</v>
      </c>
      <c r="AJ4" s="13">
        <f>SUM(T4:AH4)</f>
        <v>1198.5</v>
      </c>
    </row>
    <row r="5" spans="1:36" ht="14.6" x14ac:dyDescent="0.4">
      <c r="A5" s="15">
        <v>2</v>
      </c>
      <c r="B5" s="16" t="s">
        <v>24</v>
      </c>
      <c r="C5" s="186" t="s">
        <v>25</v>
      </c>
      <c r="D5" s="17">
        <f>VLOOKUP(C5,'[1]PREÇO ATUAL'!$A:$D,4,0)</f>
        <v>35.9</v>
      </c>
      <c r="E5" s="18"/>
      <c r="F5" s="18">
        <v>1</v>
      </c>
      <c r="G5" s="18"/>
      <c r="H5" s="18">
        <v>1</v>
      </c>
      <c r="I5" s="19"/>
      <c r="J5" s="19">
        <v>1</v>
      </c>
      <c r="K5" s="19"/>
      <c r="L5" s="19">
        <v>1</v>
      </c>
      <c r="M5" s="19"/>
      <c r="N5" s="18">
        <v>1</v>
      </c>
      <c r="O5" s="155"/>
      <c r="P5" s="19">
        <v>1</v>
      </c>
      <c r="Q5" s="19"/>
      <c r="R5" s="19">
        <v>1</v>
      </c>
      <c r="S5" s="19"/>
      <c r="T5" s="21">
        <f t="shared" ref="T5:AC5" si="5">$D5*E5</f>
        <v>0</v>
      </c>
      <c r="U5" s="21">
        <f t="shared" si="5"/>
        <v>35.9</v>
      </c>
      <c r="V5" s="21">
        <f t="shared" si="5"/>
        <v>0</v>
      </c>
      <c r="W5" s="21">
        <f t="shared" si="5"/>
        <v>35.9</v>
      </c>
      <c r="X5" s="21">
        <f t="shared" si="5"/>
        <v>0</v>
      </c>
      <c r="Y5" s="21">
        <f t="shared" si="5"/>
        <v>35.9</v>
      </c>
      <c r="Z5" s="21">
        <f t="shared" si="5"/>
        <v>0</v>
      </c>
      <c r="AA5" s="21">
        <f t="shared" si="5"/>
        <v>35.9</v>
      </c>
      <c r="AB5" s="21">
        <f t="shared" si="5"/>
        <v>0</v>
      </c>
      <c r="AC5" s="21">
        <f t="shared" si="5"/>
        <v>35.9</v>
      </c>
      <c r="AD5" s="21">
        <f t="shared" si="3"/>
        <v>0</v>
      </c>
      <c r="AE5" s="21">
        <f t="shared" si="3"/>
        <v>35.9</v>
      </c>
      <c r="AF5" s="21">
        <f t="shared" si="3"/>
        <v>0</v>
      </c>
      <c r="AG5" s="21">
        <f t="shared" si="3"/>
        <v>35.9</v>
      </c>
      <c r="AH5" s="21">
        <f t="shared" si="3"/>
        <v>0</v>
      </c>
      <c r="AI5" s="22">
        <f t="shared" si="4"/>
        <v>1.625274867416893E-2</v>
      </c>
      <c r="AJ5" s="21">
        <f t="shared" ref="AJ5:AJ11" si="6">SUM(T5:AH5)</f>
        <v>251.3</v>
      </c>
    </row>
    <row r="6" spans="1:36" ht="14.6" x14ac:dyDescent="0.4">
      <c r="A6" s="7">
        <v>3</v>
      </c>
      <c r="B6" s="8" t="s">
        <v>26</v>
      </c>
      <c r="C6" s="185" t="s">
        <v>27</v>
      </c>
      <c r="D6" s="9">
        <f>VLOOKUP(C6,'[1]PREÇO ATUAL'!$A:$D,4,0)</f>
        <v>89.9</v>
      </c>
      <c r="E6" s="10"/>
      <c r="F6" s="10">
        <v>1</v>
      </c>
      <c r="G6" s="10"/>
      <c r="H6" s="10">
        <v>1</v>
      </c>
      <c r="I6" s="11"/>
      <c r="J6" s="11">
        <v>1</v>
      </c>
      <c r="K6" s="11"/>
      <c r="L6" s="11">
        <v>1</v>
      </c>
      <c r="M6" s="11"/>
      <c r="N6" s="10">
        <v>1</v>
      </c>
      <c r="O6" s="154"/>
      <c r="P6" s="11">
        <v>1</v>
      </c>
      <c r="Q6" s="11"/>
      <c r="R6" s="11">
        <v>1</v>
      </c>
      <c r="S6" s="11"/>
      <c r="T6" s="13">
        <f t="shared" ref="T6:AC6" si="7">$D6*E6</f>
        <v>0</v>
      </c>
      <c r="U6" s="13">
        <f t="shared" si="7"/>
        <v>89.9</v>
      </c>
      <c r="V6" s="13">
        <f t="shared" si="7"/>
        <v>0</v>
      </c>
      <c r="W6" s="13">
        <f t="shared" si="7"/>
        <v>89.9</v>
      </c>
      <c r="X6" s="13">
        <f t="shared" si="7"/>
        <v>0</v>
      </c>
      <c r="Y6" s="13">
        <f t="shared" si="7"/>
        <v>89.9</v>
      </c>
      <c r="Z6" s="13">
        <f t="shared" si="7"/>
        <v>0</v>
      </c>
      <c r="AA6" s="13">
        <f t="shared" si="7"/>
        <v>89.9</v>
      </c>
      <c r="AB6" s="13">
        <f t="shared" si="7"/>
        <v>0</v>
      </c>
      <c r="AC6" s="13">
        <f t="shared" si="7"/>
        <v>89.9</v>
      </c>
      <c r="AD6" s="13">
        <f t="shared" si="3"/>
        <v>0</v>
      </c>
      <c r="AE6" s="13">
        <f t="shared" si="3"/>
        <v>89.9</v>
      </c>
      <c r="AF6" s="13">
        <f t="shared" si="3"/>
        <v>0</v>
      </c>
      <c r="AG6" s="13">
        <f t="shared" si="3"/>
        <v>89.9</v>
      </c>
      <c r="AH6" s="13">
        <f t="shared" si="3"/>
        <v>0</v>
      </c>
      <c r="AI6" s="14">
        <f t="shared" si="4"/>
        <v>4.069978010606648E-2</v>
      </c>
      <c r="AJ6" s="13">
        <f t="shared" si="6"/>
        <v>629.29999999999995</v>
      </c>
    </row>
    <row r="7" spans="1:36" ht="15.75" customHeight="1" x14ac:dyDescent="0.4">
      <c r="A7" s="15">
        <v>4</v>
      </c>
      <c r="B7" s="16" t="s">
        <v>28</v>
      </c>
      <c r="C7" s="186" t="s">
        <v>29</v>
      </c>
      <c r="D7" s="17">
        <f>VLOOKUP(C7,'[1]PREÇO ATUAL'!$A:$D,4,0)</f>
        <v>175.9</v>
      </c>
      <c r="E7" s="18"/>
      <c r="F7" s="18"/>
      <c r="G7" s="18"/>
      <c r="H7" s="18">
        <v>4</v>
      </c>
      <c r="I7" s="19"/>
      <c r="J7" s="19"/>
      <c r="K7" s="19"/>
      <c r="L7" s="19">
        <v>4</v>
      </c>
      <c r="M7" s="19"/>
      <c r="N7" s="18"/>
      <c r="O7" s="155"/>
      <c r="P7" s="19">
        <v>4</v>
      </c>
      <c r="Q7" s="19"/>
      <c r="R7" s="19"/>
      <c r="S7" s="19"/>
      <c r="T7" s="21">
        <f t="shared" ref="T7:AC7" si="8">$D7*E7</f>
        <v>0</v>
      </c>
      <c r="U7" s="21">
        <f t="shared" si="8"/>
        <v>0</v>
      </c>
      <c r="V7" s="21">
        <f t="shared" si="8"/>
        <v>0</v>
      </c>
      <c r="W7" s="21">
        <f t="shared" si="8"/>
        <v>703.6</v>
      </c>
      <c r="X7" s="21">
        <f t="shared" si="8"/>
        <v>0</v>
      </c>
      <c r="Y7" s="21">
        <f t="shared" si="8"/>
        <v>0</v>
      </c>
      <c r="Z7" s="21">
        <f t="shared" si="8"/>
        <v>0</v>
      </c>
      <c r="AA7" s="21">
        <f t="shared" si="8"/>
        <v>703.6</v>
      </c>
      <c r="AB7" s="21">
        <f t="shared" si="8"/>
        <v>0</v>
      </c>
      <c r="AC7" s="21">
        <f t="shared" si="8"/>
        <v>0</v>
      </c>
      <c r="AD7" s="21">
        <f t="shared" si="3"/>
        <v>0</v>
      </c>
      <c r="AE7" s="21">
        <f t="shared" si="3"/>
        <v>703.6</v>
      </c>
      <c r="AF7" s="21">
        <f t="shared" si="3"/>
        <v>0</v>
      </c>
      <c r="AG7" s="21">
        <f t="shared" si="3"/>
        <v>0</v>
      </c>
      <c r="AH7" s="21">
        <f t="shared" si="3"/>
        <v>0</v>
      </c>
      <c r="AI7" s="22">
        <f t="shared" si="4"/>
        <v>0.13651532790065971</v>
      </c>
      <c r="AJ7" s="21">
        <f t="shared" si="6"/>
        <v>2110.8000000000002</v>
      </c>
    </row>
    <row r="8" spans="1:36" ht="15.75" customHeight="1" x14ac:dyDescent="0.4">
      <c r="A8" s="7">
        <v>5</v>
      </c>
      <c r="B8" s="8" t="s">
        <v>30</v>
      </c>
      <c r="C8" s="185" t="s">
        <v>31</v>
      </c>
      <c r="D8" s="9">
        <f>VLOOKUP(C8,'[1]PREÇO ATUAL'!$A:$D,4,0)</f>
        <v>143.22999999999999</v>
      </c>
      <c r="E8" s="10"/>
      <c r="F8" s="10"/>
      <c r="G8" s="10"/>
      <c r="H8" s="10"/>
      <c r="I8" s="11"/>
      <c r="J8" s="11">
        <v>1</v>
      </c>
      <c r="K8" s="11"/>
      <c r="L8" s="11"/>
      <c r="M8" s="11"/>
      <c r="N8" s="10"/>
      <c r="O8" s="154"/>
      <c r="P8" s="11">
        <v>1</v>
      </c>
      <c r="Q8" s="11"/>
      <c r="R8" s="11"/>
      <c r="S8" s="11"/>
      <c r="T8" s="13">
        <f t="shared" ref="T8:AC8" si="9">$D8*E8</f>
        <v>0</v>
      </c>
      <c r="U8" s="13">
        <f t="shared" si="9"/>
        <v>0</v>
      </c>
      <c r="V8" s="13">
        <f t="shared" si="9"/>
        <v>0</v>
      </c>
      <c r="W8" s="13">
        <f t="shared" si="9"/>
        <v>0</v>
      </c>
      <c r="X8" s="13">
        <f t="shared" si="9"/>
        <v>0</v>
      </c>
      <c r="Y8" s="13">
        <f t="shared" si="9"/>
        <v>143.22999999999999</v>
      </c>
      <c r="Z8" s="13">
        <f t="shared" si="9"/>
        <v>0</v>
      </c>
      <c r="AA8" s="13">
        <f t="shared" si="9"/>
        <v>0</v>
      </c>
      <c r="AB8" s="13">
        <f t="shared" si="9"/>
        <v>0</v>
      </c>
      <c r="AC8" s="13">
        <f t="shared" si="9"/>
        <v>0</v>
      </c>
      <c r="AD8" s="13">
        <f t="shared" si="3"/>
        <v>0</v>
      </c>
      <c r="AE8" s="13">
        <f t="shared" si="3"/>
        <v>143.22999999999999</v>
      </c>
      <c r="AF8" s="13">
        <f t="shared" si="3"/>
        <v>0</v>
      </c>
      <c r="AG8" s="13">
        <f t="shared" si="3"/>
        <v>0</v>
      </c>
      <c r="AH8" s="13">
        <f t="shared" si="3"/>
        <v>0</v>
      </c>
      <c r="AI8" s="14">
        <f t="shared" si="4"/>
        <v>1.852671064545337E-2</v>
      </c>
      <c r="AJ8" s="13">
        <f t="shared" si="6"/>
        <v>286.45999999999998</v>
      </c>
    </row>
    <row r="9" spans="1:36" ht="15.75" customHeight="1" x14ac:dyDescent="0.4">
      <c r="A9" s="15">
        <v>6</v>
      </c>
      <c r="B9" s="16" t="s">
        <v>34</v>
      </c>
      <c r="C9" s="186" t="s">
        <v>35</v>
      </c>
      <c r="D9" s="17">
        <f>VLOOKUP(C9,'[1]PREÇO ATUAL'!$A:$D,4,0)</f>
        <v>33.622493083850472</v>
      </c>
      <c r="E9" s="18"/>
      <c r="F9" s="18"/>
      <c r="G9" s="18"/>
      <c r="H9" s="18"/>
      <c r="I9" s="19"/>
      <c r="J9" s="19"/>
      <c r="K9" s="19"/>
      <c r="L9" s="19"/>
      <c r="M9" s="19"/>
      <c r="N9" s="18"/>
      <c r="O9" s="155"/>
      <c r="P9" s="19"/>
      <c r="Q9" s="19"/>
      <c r="R9" s="19"/>
      <c r="S9" s="19"/>
      <c r="T9" s="21">
        <f t="shared" ref="T9:AC9" si="10">$D9*E9</f>
        <v>0</v>
      </c>
      <c r="U9" s="21">
        <f t="shared" si="10"/>
        <v>0</v>
      </c>
      <c r="V9" s="21">
        <f t="shared" si="10"/>
        <v>0</v>
      </c>
      <c r="W9" s="21">
        <f t="shared" si="10"/>
        <v>0</v>
      </c>
      <c r="X9" s="21">
        <f t="shared" si="10"/>
        <v>0</v>
      </c>
      <c r="Y9" s="21">
        <f t="shared" si="10"/>
        <v>0</v>
      </c>
      <c r="Z9" s="21">
        <f t="shared" si="10"/>
        <v>0</v>
      </c>
      <c r="AA9" s="21">
        <f t="shared" si="10"/>
        <v>0</v>
      </c>
      <c r="AB9" s="21">
        <f t="shared" si="10"/>
        <v>0</v>
      </c>
      <c r="AC9" s="21">
        <f t="shared" si="10"/>
        <v>0</v>
      </c>
      <c r="AD9" s="21">
        <f t="shared" ref="AD9:AD11" si="11">$D9*O9</f>
        <v>0</v>
      </c>
      <c r="AE9" s="21">
        <f t="shared" ref="AE9:AE11" si="12">$D9*P9</f>
        <v>0</v>
      </c>
      <c r="AF9" s="21">
        <f t="shared" ref="AF9:AF11" si="13">$D9*Q9</f>
        <v>0</v>
      </c>
      <c r="AG9" s="21">
        <f t="shared" ref="AG9:AG11" si="14">$D9*R9</f>
        <v>0</v>
      </c>
      <c r="AH9" s="21">
        <f t="shared" ref="AH9:AH11" si="15">$D9*S9</f>
        <v>0</v>
      </c>
      <c r="AI9" s="22">
        <f t="shared" si="4"/>
        <v>0</v>
      </c>
      <c r="AJ9" s="21">
        <f t="shared" si="6"/>
        <v>0</v>
      </c>
    </row>
    <row r="10" spans="1:36" ht="15.75" customHeight="1" x14ac:dyDescent="0.4">
      <c r="A10" s="7">
        <v>7</v>
      </c>
      <c r="B10" s="8" t="s">
        <v>36</v>
      </c>
      <c r="C10" s="185" t="s">
        <v>37</v>
      </c>
      <c r="D10" s="9">
        <f>VLOOKUP(C10,'[1]PREÇO ATUAL'!$A:$D,4,0)</f>
        <v>94.126931447834295</v>
      </c>
      <c r="E10" s="45">
        <v>3.36</v>
      </c>
      <c r="F10" s="45">
        <v>3.36</v>
      </c>
      <c r="G10" s="45">
        <v>3.36</v>
      </c>
      <c r="H10" s="45">
        <v>3.36</v>
      </c>
      <c r="I10" s="46">
        <v>3.36</v>
      </c>
      <c r="J10" s="46">
        <v>3.36</v>
      </c>
      <c r="K10" s="46">
        <v>3.36</v>
      </c>
      <c r="L10" s="46">
        <v>3.36</v>
      </c>
      <c r="M10" s="46">
        <v>3.36</v>
      </c>
      <c r="N10" s="45">
        <v>3.36</v>
      </c>
      <c r="O10" s="157">
        <v>3.36</v>
      </c>
      <c r="P10" s="46">
        <v>3.36</v>
      </c>
      <c r="Q10" s="46">
        <v>3.36</v>
      </c>
      <c r="R10" s="46">
        <v>3.36</v>
      </c>
      <c r="S10" s="46">
        <v>3.36</v>
      </c>
      <c r="T10" s="13">
        <f t="shared" ref="T10:AC10" si="16">$D10*E10</f>
        <v>316.26648966472322</v>
      </c>
      <c r="U10" s="13">
        <f t="shared" si="16"/>
        <v>316.26648966472322</v>
      </c>
      <c r="V10" s="13">
        <f t="shared" si="16"/>
        <v>316.26648966472322</v>
      </c>
      <c r="W10" s="13">
        <f t="shared" si="16"/>
        <v>316.26648966472322</v>
      </c>
      <c r="X10" s="13">
        <f t="shared" si="16"/>
        <v>316.26648966472322</v>
      </c>
      <c r="Y10" s="13">
        <f t="shared" si="16"/>
        <v>316.26648966472322</v>
      </c>
      <c r="Z10" s="13">
        <f t="shared" si="16"/>
        <v>316.26648966472322</v>
      </c>
      <c r="AA10" s="13">
        <f t="shared" si="16"/>
        <v>316.26648966472322</v>
      </c>
      <c r="AB10" s="13">
        <f t="shared" si="16"/>
        <v>316.26648966472322</v>
      </c>
      <c r="AC10" s="13">
        <f t="shared" si="16"/>
        <v>316.26648966472322</v>
      </c>
      <c r="AD10" s="13">
        <f t="shared" si="11"/>
        <v>316.26648966472322</v>
      </c>
      <c r="AE10" s="13">
        <f t="shared" si="12"/>
        <v>316.26648966472322</v>
      </c>
      <c r="AF10" s="13">
        <f t="shared" si="13"/>
        <v>316.26648966472322</v>
      </c>
      <c r="AG10" s="13">
        <f t="shared" si="14"/>
        <v>316.26648966472322</v>
      </c>
      <c r="AH10" s="13">
        <f t="shared" si="15"/>
        <v>316.26648966472322</v>
      </c>
      <c r="AI10" s="14">
        <f t="shared" si="4"/>
        <v>0.30681654022576954</v>
      </c>
      <c r="AJ10" s="13">
        <f t="shared" si="6"/>
        <v>4743.9973449708486</v>
      </c>
    </row>
    <row r="11" spans="1:36" ht="15.75" customHeight="1" x14ac:dyDescent="0.4">
      <c r="A11" s="15">
        <v>8</v>
      </c>
      <c r="B11" s="16" t="s">
        <v>38</v>
      </c>
      <c r="C11" s="186" t="s">
        <v>39</v>
      </c>
      <c r="D11" s="17">
        <f>VLOOKUP(C11,'[1]PREÇO ATUAL'!$A:$D,4,0)</f>
        <v>342</v>
      </c>
      <c r="E11" s="28">
        <v>0.85</v>
      </c>
      <c r="F11" s="28">
        <v>1.2</v>
      </c>
      <c r="G11" s="28">
        <v>0.9</v>
      </c>
      <c r="H11" s="28">
        <v>2.15</v>
      </c>
      <c r="I11" s="29">
        <v>1</v>
      </c>
      <c r="J11" s="29">
        <v>1.45</v>
      </c>
      <c r="K11" s="29">
        <v>0.85</v>
      </c>
      <c r="L11" s="29">
        <v>2.15</v>
      </c>
      <c r="M11" s="29">
        <v>0.9</v>
      </c>
      <c r="N11" s="28">
        <v>1.35</v>
      </c>
      <c r="O11" s="160">
        <v>0.85</v>
      </c>
      <c r="P11" s="29">
        <v>1.5</v>
      </c>
      <c r="Q11" s="29">
        <v>0.85</v>
      </c>
      <c r="R11" s="29">
        <v>1.2</v>
      </c>
      <c r="S11" s="29">
        <v>1.05</v>
      </c>
      <c r="T11" s="21">
        <f>D11*E11</f>
        <v>290.7</v>
      </c>
      <c r="U11" s="21">
        <f t="shared" ref="U11:AC11" si="17">$D11*F11</f>
        <v>410.4</v>
      </c>
      <c r="V11" s="21">
        <f t="shared" si="17"/>
        <v>307.8</v>
      </c>
      <c r="W11" s="21">
        <f t="shared" si="17"/>
        <v>735.3</v>
      </c>
      <c r="X11" s="21">
        <f t="shared" si="17"/>
        <v>342</v>
      </c>
      <c r="Y11" s="21">
        <f t="shared" si="17"/>
        <v>495.9</v>
      </c>
      <c r="Z11" s="21">
        <f t="shared" si="17"/>
        <v>290.7</v>
      </c>
      <c r="AA11" s="21">
        <f t="shared" si="17"/>
        <v>735.3</v>
      </c>
      <c r="AB11" s="21">
        <f t="shared" si="17"/>
        <v>307.8</v>
      </c>
      <c r="AC11" s="21">
        <f t="shared" si="17"/>
        <v>461.70000000000005</v>
      </c>
      <c r="AD11" s="21">
        <f t="shared" si="11"/>
        <v>290.7</v>
      </c>
      <c r="AE11" s="21">
        <f t="shared" si="12"/>
        <v>513</v>
      </c>
      <c r="AF11" s="21">
        <f t="shared" si="13"/>
        <v>290.7</v>
      </c>
      <c r="AG11" s="21">
        <f t="shared" si="14"/>
        <v>410.4</v>
      </c>
      <c r="AH11" s="21">
        <f t="shared" si="15"/>
        <v>359.1</v>
      </c>
      <c r="AI11" s="22">
        <f t="shared" si="4"/>
        <v>0.40366705471478459</v>
      </c>
      <c r="AJ11" s="21">
        <f t="shared" si="6"/>
        <v>6241.4999999999991</v>
      </c>
    </row>
    <row r="12" spans="1:36" ht="15.75" customHeight="1" x14ac:dyDescent="0.4"/>
    <row r="13" spans="1:36" ht="14.6" x14ac:dyDescent="0.4">
      <c r="A13" s="222" t="s">
        <v>113</v>
      </c>
      <c r="B13" s="239"/>
      <c r="C13" s="239"/>
      <c r="D13" s="245"/>
      <c r="E13" s="226" t="s">
        <v>3</v>
      </c>
      <c r="F13" s="227"/>
      <c r="G13" s="227"/>
      <c r="H13" s="227"/>
      <c r="I13" s="227"/>
      <c r="J13" s="227"/>
      <c r="K13" s="227"/>
      <c r="L13" s="227"/>
      <c r="M13" s="227"/>
      <c r="N13" s="227"/>
      <c r="O13" s="227"/>
      <c r="P13" s="227"/>
      <c r="Q13" s="227"/>
      <c r="R13" s="227"/>
      <c r="S13" s="232"/>
      <c r="T13" s="125" t="s">
        <v>4</v>
      </c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219" t="s">
        <v>5</v>
      </c>
      <c r="AJ13" s="220"/>
    </row>
    <row r="14" spans="1:36" ht="14.6" x14ac:dyDescent="0.4">
      <c r="A14" s="240"/>
      <c r="B14" s="241"/>
      <c r="C14" s="241"/>
      <c r="D14" s="246"/>
      <c r="E14" s="228"/>
      <c r="F14" s="229"/>
      <c r="G14" s="229"/>
      <c r="H14" s="229"/>
      <c r="I14" s="229"/>
      <c r="J14" s="229"/>
      <c r="K14" s="229"/>
      <c r="L14" s="229"/>
      <c r="M14" s="229"/>
      <c r="N14" s="229"/>
      <c r="O14" s="229"/>
      <c r="P14" s="229"/>
      <c r="Q14" s="229"/>
      <c r="R14" s="229"/>
      <c r="S14" s="233"/>
      <c r="T14" s="2">
        <f>MROUND(SUM(T16:T24),1)</f>
        <v>687</v>
      </c>
      <c r="U14" s="2">
        <f t="shared" ref="U14:AH14" si="18">MROUND(SUM(U16:U24),1)</f>
        <v>932</v>
      </c>
      <c r="V14" s="2">
        <f t="shared" si="18"/>
        <v>704</v>
      </c>
      <c r="W14" s="2">
        <f t="shared" si="18"/>
        <v>1961</v>
      </c>
      <c r="X14" s="2">
        <f t="shared" si="18"/>
        <v>738</v>
      </c>
      <c r="Y14" s="2">
        <f t="shared" si="18"/>
        <v>1161</v>
      </c>
      <c r="Z14" s="2">
        <f t="shared" si="18"/>
        <v>687</v>
      </c>
      <c r="AA14" s="2">
        <f t="shared" si="18"/>
        <v>1961</v>
      </c>
      <c r="AB14" s="2">
        <f t="shared" si="18"/>
        <v>704</v>
      </c>
      <c r="AC14" s="2">
        <f t="shared" si="18"/>
        <v>984</v>
      </c>
      <c r="AD14" s="2">
        <f t="shared" si="18"/>
        <v>687</v>
      </c>
      <c r="AE14" s="2">
        <f t="shared" si="18"/>
        <v>2214</v>
      </c>
      <c r="AF14" s="2">
        <f t="shared" si="18"/>
        <v>687</v>
      </c>
      <c r="AG14" s="2">
        <f t="shared" si="18"/>
        <v>932</v>
      </c>
      <c r="AH14" s="2">
        <f t="shared" si="18"/>
        <v>755</v>
      </c>
      <c r="AI14" s="221">
        <f>SUM(T14:AH14)</f>
        <v>15794</v>
      </c>
      <c r="AJ14" s="220"/>
    </row>
    <row r="15" spans="1:36" ht="14.6" x14ac:dyDescent="0.4">
      <c r="A15" s="3" t="s">
        <v>6</v>
      </c>
      <c r="B15" s="3" t="s">
        <v>7</v>
      </c>
      <c r="C15" s="184" t="s">
        <v>8</v>
      </c>
      <c r="D15" s="4" t="s">
        <v>9</v>
      </c>
      <c r="E15" s="5" t="s">
        <v>10</v>
      </c>
      <c r="F15" s="5" t="s">
        <v>11</v>
      </c>
      <c r="G15" s="5" t="s">
        <v>12</v>
      </c>
      <c r="H15" s="5" t="s">
        <v>13</v>
      </c>
      <c r="I15" s="5" t="s">
        <v>14</v>
      </c>
      <c r="J15" s="5" t="s">
        <v>15</v>
      </c>
      <c r="K15" s="5" t="s">
        <v>16</v>
      </c>
      <c r="L15" s="5" t="s">
        <v>17</v>
      </c>
      <c r="M15" s="5" t="s">
        <v>18</v>
      </c>
      <c r="N15" s="5" t="s">
        <v>19</v>
      </c>
      <c r="O15" s="5">
        <v>11</v>
      </c>
      <c r="P15" s="5">
        <v>12</v>
      </c>
      <c r="Q15" s="5">
        <v>13</v>
      </c>
      <c r="R15" s="5">
        <v>14</v>
      </c>
      <c r="S15" s="5">
        <v>15</v>
      </c>
      <c r="T15" s="5">
        <v>10000</v>
      </c>
      <c r="U15" s="5">
        <v>20000</v>
      </c>
      <c r="V15" s="5">
        <v>30000</v>
      </c>
      <c r="W15" s="5">
        <v>40000</v>
      </c>
      <c r="X15" s="5">
        <v>50000</v>
      </c>
      <c r="Y15" s="5">
        <v>60000</v>
      </c>
      <c r="Z15" s="5">
        <v>70000</v>
      </c>
      <c r="AA15" s="5">
        <v>80000</v>
      </c>
      <c r="AB15" s="5">
        <v>90000</v>
      </c>
      <c r="AC15" s="5">
        <v>100000</v>
      </c>
      <c r="AD15" s="148">
        <f>AC15+10000</f>
        <v>110000</v>
      </c>
      <c r="AE15" s="148">
        <f t="shared" ref="AE15:AH15" si="19">AD15+10000</f>
        <v>120000</v>
      </c>
      <c r="AF15" s="148">
        <f t="shared" si="19"/>
        <v>130000</v>
      </c>
      <c r="AG15" s="148">
        <f t="shared" si="19"/>
        <v>140000</v>
      </c>
      <c r="AH15" s="148">
        <f t="shared" si="19"/>
        <v>150000</v>
      </c>
      <c r="AI15" s="6" t="s">
        <v>20</v>
      </c>
      <c r="AJ15" s="3" t="s">
        <v>21</v>
      </c>
    </row>
    <row r="16" spans="1:36" ht="14.6" x14ac:dyDescent="0.4">
      <c r="A16" s="7">
        <v>1</v>
      </c>
      <c r="B16" s="8" t="s">
        <v>22</v>
      </c>
      <c r="C16" s="185" t="s">
        <v>23</v>
      </c>
      <c r="D16" s="9">
        <f>VLOOKUP(C16,'[1]PREÇO ATUAL'!$A:$D,4,0)</f>
        <v>79.900000000000006</v>
      </c>
      <c r="E16" s="10">
        <v>1</v>
      </c>
      <c r="F16" s="10">
        <v>1</v>
      </c>
      <c r="G16" s="10">
        <v>1</v>
      </c>
      <c r="H16" s="10">
        <v>1</v>
      </c>
      <c r="I16" s="11">
        <v>1</v>
      </c>
      <c r="J16" s="11">
        <v>1</v>
      </c>
      <c r="K16" s="11">
        <v>1</v>
      </c>
      <c r="L16" s="11">
        <v>1</v>
      </c>
      <c r="M16" s="11">
        <v>1</v>
      </c>
      <c r="N16" s="10">
        <v>1</v>
      </c>
      <c r="O16" s="154">
        <v>1</v>
      </c>
      <c r="P16" s="154">
        <v>1</v>
      </c>
      <c r="Q16" s="154">
        <v>1</v>
      </c>
      <c r="R16" s="154">
        <v>1</v>
      </c>
      <c r="S16" s="154">
        <v>1</v>
      </c>
      <c r="T16" s="13">
        <f t="shared" ref="T16:AC16" si="20">$D16*E16</f>
        <v>79.900000000000006</v>
      </c>
      <c r="U16" s="13">
        <f t="shared" si="20"/>
        <v>79.900000000000006</v>
      </c>
      <c r="V16" s="13">
        <f t="shared" si="20"/>
        <v>79.900000000000006</v>
      </c>
      <c r="W16" s="13">
        <f t="shared" si="20"/>
        <v>79.900000000000006</v>
      </c>
      <c r="X16" s="13">
        <f t="shared" si="20"/>
        <v>79.900000000000006</v>
      </c>
      <c r="Y16" s="13">
        <f t="shared" si="20"/>
        <v>79.900000000000006</v>
      </c>
      <c r="Z16" s="13">
        <f t="shared" si="20"/>
        <v>79.900000000000006</v>
      </c>
      <c r="AA16" s="13">
        <f t="shared" si="20"/>
        <v>79.900000000000006</v>
      </c>
      <c r="AB16" s="13">
        <f t="shared" si="20"/>
        <v>79.900000000000006</v>
      </c>
      <c r="AC16" s="13">
        <f t="shared" si="20"/>
        <v>79.900000000000006</v>
      </c>
      <c r="AD16" s="13">
        <f t="shared" ref="AD16:AD24" si="21">$D16*O16</f>
        <v>79.900000000000006</v>
      </c>
      <c r="AE16" s="13">
        <f t="shared" ref="AE16:AE24" si="22">$D16*P16</f>
        <v>79.900000000000006</v>
      </c>
      <c r="AF16" s="13">
        <f t="shared" ref="AF16:AF24" si="23">$D16*Q16</f>
        <v>79.900000000000006</v>
      </c>
      <c r="AG16" s="13">
        <f t="shared" ref="AG16:AG24" si="24">$D16*R16</f>
        <v>79.900000000000006</v>
      </c>
      <c r="AH16" s="13">
        <f t="shared" ref="AH16:AH24" si="25">$D16*S16</f>
        <v>79.900000000000006</v>
      </c>
      <c r="AI16" s="14">
        <f t="shared" ref="AI16:AI24" si="26">AJ16/$AI$2</f>
        <v>7.7512611563833919E-2</v>
      </c>
      <c r="AJ16" s="13">
        <f>SUM(T16:AH16)</f>
        <v>1198.5</v>
      </c>
    </row>
    <row r="17" spans="1:36" ht="14.6" x14ac:dyDescent="0.4">
      <c r="A17" s="15">
        <v>2</v>
      </c>
      <c r="B17" s="16" t="s">
        <v>24</v>
      </c>
      <c r="C17" s="186" t="s">
        <v>25</v>
      </c>
      <c r="D17" s="17">
        <f>VLOOKUP(C17,'[1]PREÇO ATUAL'!$A:$D,4,0)</f>
        <v>35.9</v>
      </c>
      <c r="E17" s="18"/>
      <c r="F17" s="18">
        <v>1</v>
      </c>
      <c r="G17" s="18"/>
      <c r="H17" s="18">
        <v>1</v>
      </c>
      <c r="I17" s="19"/>
      <c r="J17" s="19">
        <v>1</v>
      </c>
      <c r="K17" s="19"/>
      <c r="L17" s="19">
        <v>1</v>
      </c>
      <c r="M17" s="19"/>
      <c r="N17" s="18">
        <v>1</v>
      </c>
      <c r="O17" s="155"/>
      <c r="P17" s="19">
        <v>1</v>
      </c>
      <c r="Q17" s="19"/>
      <c r="R17" s="19">
        <v>1</v>
      </c>
      <c r="S17" s="19"/>
      <c r="T17" s="21">
        <f t="shared" ref="T17:T23" si="27">$D17*E17</f>
        <v>0</v>
      </c>
      <c r="U17" s="21">
        <f t="shared" ref="U17:U24" si="28">$D17*F17</f>
        <v>35.9</v>
      </c>
      <c r="V17" s="21">
        <f t="shared" ref="V17:V24" si="29">$D17*G17</f>
        <v>0</v>
      </c>
      <c r="W17" s="21">
        <f t="shared" ref="W17:W24" si="30">$D17*H17</f>
        <v>35.9</v>
      </c>
      <c r="X17" s="21">
        <f t="shared" ref="X17:X24" si="31">$D17*I17</f>
        <v>0</v>
      </c>
      <c r="Y17" s="21">
        <f t="shared" ref="Y17:Y24" si="32">$D17*J17</f>
        <v>35.9</v>
      </c>
      <c r="Z17" s="21">
        <f t="shared" ref="Z17:Z24" si="33">$D17*K17</f>
        <v>0</v>
      </c>
      <c r="AA17" s="21">
        <f t="shared" ref="AA17:AA24" si="34">$D17*L17</f>
        <v>35.9</v>
      </c>
      <c r="AB17" s="21">
        <f t="shared" ref="AB17:AB24" si="35">$D17*M17</f>
        <v>0</v>
      </c>
      <c r="AC17" s="21">
        <f t="shared" ref="AC17:AC24" si="36">$D17*N17</f>
        <v>35.9</v>
      </c>
      <c r="AD17" s="21">
        <f t="shared" si="21"/>
        <v>0</v>
      </c>
      <c r="AE17" s="21">
        <f t="shared" si="22"/>
        <v>35.9</v>
      </c>
      <c r="AF17" s="21">
        <f t="shared" si="23"/>
        <v>0</v>
      </c>
      <c r="AG17" s="21">
        <f t="shared" si="24"/>
        <v>35.9</v>
      </c>
      <c r="AH17" s="21">
        <f t="shared" si="25"/>
        <v>0</v>
      </c>
      <c r="AI17" s="22">
        <f t="shared" si="26"/>
        <v>1.625274867416893E-2</v>
      </c>
      <c r="AJ17" s="21">
        <f t="shared" ref="AJ17:AJ24" si="37">SUM(T17:AH17)</f>
        <v>251.3</v>
      </c>
    </row>
    <row r="18" spans="1:36" ht="14.6" x14ac:dyDescent="0.4">
      <c r="A18" s="7">
        <v>3</v>
      </c>
      <c r="B18" s="8" t="s">
        <v>26</v>
      </c>
      <c r="C18" s="185" t="s">
        <v>27</v>
      </c>
      <c r="D18" s="9">
        <f>VLOOKUP(C18,'[1]PREÇO ATUAL'!$A:$D,4,0)</f>
        <v>89.9</v>
      </c>
      <c r="E18" s="10"/>
      <c r="F18" s="10">
        <v>1</v>
      </c>
      <c r="G18" s="10"/>
      <c r="H18" s="10">
        <v>1</v>
      </c>
      <c r="I18" s="11"/>
      <c r="J18" s="11">
        <v>1</v>
      </c>
      <c r="K18" s="11"/>
      <c r="L18" s="11">
        <v>1</v>
      </c>
      <c r="M18" s="11"/>
      <c r="N18" s="10">
        <v>1</v>
      </c>
      <c r="O18" s="154"/>
      <c r="P18" s="11">
        <v>1</v>
      </c>
      <c r="Q18" s="11"/>
      <c r="R18" s="11">
        <v>1</v>
      </c>
      <c r="S18" s="11"/>
      <c r="T18" s="13">
        <f t="shared" si="27"/>
        <v>0</v>
      </c>
      <c r="U18" s="13">
        <f t="shared" si="28"/>
        <v>89.9</v>
      </c>
      <c r="V18" s="13">
        <f t="shared" si="29"/>
        <v>0</v>
      </c>
      <c r="W18" s="13">
        <f t="shared" si="30"/>
        <v>89.9</v>
      </c>
      <c r="X18" s="13">
        <f t="shared" si="31"/>
        <v>0</v>
      </c>
      <c r="Y18" s="13">
        <f t="shared" si="32"/>
        <v>89.9</v>
      </c>
      <c r="Z18" s="13">
        <f t="shared" si="33"/>
        <v>0</v>
      </c>
      <c r="AA18" s="13">
        <f t="shared" si="34"/>
        <v>89.9</v>
      </c>
      <c r="AB18" s="13">
        <f t="shared" si="35"/>
        <v>0</v>
      </c>
      <c r="AC18" s="13">
        <f t="shared" si="36"/>
        <v>89.9</v>
      </c>
      <c r="AD18" s="13">
        <f t="shared" si="21"/>
        <v>0</v>
      </c>
      <c r="AE18" s="13">
        <f t="shared" si="22"/>
        <v>89.9</v>
      </c>
      <c r="AF18" s="13">
        <f t="shared" si="23"/>
        <v>0</v>
      </c>
      <c r="AG18" s="13">
        <f t="shared" si="24"/>
        <v>89.9</v>
      </c>
      <c r="AH18" s="13">
        <f t="shared" si="25"/>
        <v>0</v>
      </c>
      <c r="AI18" s="14">
        <f t="shared" si="26"/>
        <v>4.069978010606648E-2</v>
      </c>
      <c r="AJ18" s="13">
        <f t="shared" si="37"/>
        <v>629.29999999999995</v>
      </c>
    </row>
    <row r="19" spans="1:36" ht="15.75" customHeight="1" x14ac:dyDescent="0.4">
      <c r="A19" s="15">
        <v>4</v>
      </c>
      <c r="B19" s="16" t="s">
        <v>28</v>
      </c>
      <c r="C19" s="186" t="s">
        <v>29</v>
      </c>
      <c r="D19" s="17">
        <f>VLOOKUP(C19,'[1]PREÇO ATUAL'!$A:$D,4,0)</f>
        <v>175.9</v>
      </c>
      <c r="E19" s="18"/>
      <c r="F19" s="18"/>
      <c r="G19" s="18"/>
      <c r="H19" s="18">
        <v>4</v>
      </c>
      <c r="I19" s="19"/>
      <c r="J19" s="19"/>
      <c r="K19" s="19"/>
      <c r="L19" s="19">
        <v>4</v>
      </c>
      <c r="M19" s="19"/>
      <c r="N19" s="18"/>
      <c r="O19" s="155"/>
      <c r="P19" s="19">
        <v>4</v>
      </c>
      <c r="Q19" s="19"/>
      <c r="R19" s="19"/>
      <c r="S19" s="19"/>
      <c r="T19" s="21">
        <f t="shared" si="27"/>
        <v>0</v>
      </c>
      <c r="U19" s="21">
        <f t="shared" si="28"/>
        <v>0</v>
      </c>
      <c r="V19" s="21">
        <f t="shared" si="29"/>
        <v>0</v>
      </c>
      <c r="W19" s="21">
        <f t="shared" si="30"/>
        <v>703.6</v>
      </c>
      <c r="X19" s="21">
        <f t="shared" si="31"/>
        <v>0</v>
      </c>
      <c r="Y19" s="21">
        <f t="shared" si="32"/>
        <v>0</v>
      </c>
      <c r="Z19" s="21">
        <f t="shared" si="33"/>
        <v>0</v>
      </c>
      <c r="AA19" s="21">
        <f t="shared" si="34"/>
        <v>703.6</v>
      </c>
      <c r="AB19" s="21">
        <f t="shared" si="35"/>
        <v>0</v>
      </c>
      <c r="AC19" s="21">
        <f t="shared" si="36"/>
        <v>0</v>
      </c>
      <c r="AD19" s="21">
        <f t="shared" si="21"/>
        <v>0</v>
      </c>
      <c r="AE19" s="21">
        <f t="shared" si="22"/>
        <v>703.6</v>
      </c>
      <c r="AF19" s="21">
        <f t="shared" si="23"/>
        <v>0</v>
      </c>
      <c r="AG19" s="21">
        <f t="shared" si="24"/>
        <v>0</v>
      </c>
      <c r="AH19" s="21">
        <f t="shared" si="25"/>
        <v>0</v>
      </c>
      <c r="AI19" s="22">
        <f t="shared" si="26"/>
        <v>0.13651532790065971</v>
      </c>
      <c r="AJ19" s="21">
        <f t="shared" si="37"/>
        <v>2110.8000000000002</v>
      </c>
    </row>
    <row r="20" spans="1:36" ht="15.75" customHeight="1" x14ac:dyDescent="0.4">
      <c r="A20" s="7">
        <v>5</v>
      </c>
      <c r="B20" s="8" t="s">
        <v>30</v>
      </c>
      <c r="C20" s="185" t="s">
        <v>31</v>
      </c>
      <c r="D20" s="9">
        <f>VLOOKUP(C20,'[1]PREÇO ATUAL'!$A:$D,4,0)</f>
        <v>143.22999999999999</v>
      </c>
      <c r="E20" s="10"/>
      <c r="F20" s="10"/>
      <c r="G20" s="10"/>
      <c r="H20" s="10"/>
      <c r="I20" s="11"/>
      <c r="J20" s="11">
        <v>1</v>
      </c>
      <c r="K20" s="11"/>
      <c r="L20" s="11"/>
      <c r="M20" s="11"/>
      <c r="N20" s="10"/>
      <c r="O20" s="154"/>
      <c r="P20" s="11">
        <v>1</v>
      </c>
      <c r="Q20" s="11"/>
      <c r="R20" s="11"/>
      <c r="S20" s="11"/>
      <c r="T20" s="13">
        <f t="shared" si="27"/>
        <v>0</v>
      </c>
      <c r="U20" s="13">
        <f t="shared" si="28"/>
        <v>0</v>
      </c>
      <c r="V20" s="13">
        <f t="shared" si="29"/>
        <v>0</v>
      </c>
      <c r="W20" s="13">
        <f t="shared" si="30"/>
        <v>0</v>
      </c>
      <c r="X20" s="13">
        <f t="shared" si="31"/>
        <v>0</v>
      </c>
      <c r="Y20" s="13">
        <f t="shared" si="32"/>
        <v>143.22999999999999</v>
      </c>
      <c r="Z20" s="13">
        <f t="shared" si="33"/>
        <v>0</v>
      </c>
      <c r="AA20" s="13">
        <f t="shared" si="34"/>
        <v>0</v>
      </c>
      <c r="AB20" s="13">
        <f t="shared" si="35"/>
        <v>0</v>
      </c>
      <c r="AC20" s="13">
        <f t="shared" si="36"/>
        <v>0</v>
      </c>
      <c r="AD20" s="13">
        <f t="shared" si="21"/>
        <v>0</v>
      </c>
      <c r="AE20" s="13">
        <f t="shared" si="22"/>
        <v>143.22999999999999</v>
      </c>
      <c r="AF20" s="13">
        <f t="shared" si="23"/>
        <v>0</v>
      </c>
      <c r="AG20" s="13">
        <f t="shared" si="24"/>
        <v>0</v>
      </c>
      <c r="AH20" s="13">
        <f t="shared" si="25"/>
        <v>0</v>
      </c>
      <c r="AI20" s="14">
        <f t="shared" si="26"/>
        <v>1.852671064545337E-2</v>
      </c>
      <c r="AJ20" s="13">
        <f t="shared" si="37"/>
        <v>286.45999999999998</v>
      </c>
    </row>
    <row r="21" spans="1:36" ht="29.25" customHeight="1" x14ac:dyDescent="0.4">
      <c r="A21" s="15">
        <v>6</v>
      </c>
      <c r="B21" s="143" t="s">
        <v>106</v>
      </c>
      <c r="C21" s="186" t="s">
        <v>33</v>
      </c>
      <c r="D21" s="17">
        <f>VLOOKUP(C21,'[1]PREÇO ATUAL'!$A:$D,4,0)</f>
        <v>165.97812000000002</v>
      </c>
      <c r="E21" s="68"/>
      <c r="F21" s="68"/>
      <c r="G21" s="68"/>
      <c r="H21" s="68"/>
      <c r="I21" s="158"/>
      <c r="J21" s="158"/>
      <c r="K21" s="158"/>
      <c r="L21" s="158"/>
      <c r="M21" s="158"/>
      <c r="N21" s="68"/>
      <c r="O21" s="159"/>
      <c r="P21" s="158">
        <v>2</v>
      </c>
      <c r="Q21" s="158"/>
      <c r="R21" s="158"/>
      <c r="S21" s="158"/>
      <c r="T21" s="21">
        <f t="shared" si="27"/>
        <v>0</v>
      </c>
      <c r="U21" s="21">
        <f t="shared" si="28"/>
        <v>0</v>
      </c>
      <c r="V21" s="21">
        <f t="shared" si="29"/>
        <v>0</v>
      </c>
      <c r="W21" s="21">
        <f t="shared" si="30"/>
        <v>0</v>
      </c>
      <c r="X21" s="21">
        <f t="shared" si="31"/>
        <v>0</v>
      </c>
      <c r="Y21" s="21">
        <f t="shared" si="32"/>
        <v>0</v>
      </c>
      <c r="Z21" s="21">
        <f t="shared" si="33"/>
        <v>0</v>
      </c>
      <c r="AA21" s="21">
        <f t="shared" si="34"/>
        <v>0</v>
      </c>
      <c r="AB21" s="21">
        <f t="shared" si="35"/>
        <v>0</v>
      </c>
      <c r="AC21" s="21">
        <f t="shared" si="36"/>
        <v>0</v>
      </c>
      <c r="AD21" s="21">
        <f t="shared" si="21"/>
        <v>0</v>
      </c>
      <c r="AE21" s="21">
        <f t="shared" si="22"/>
        <v>331.95624000000004</v>
      </c>
      <c r="AF21" s="21">
        <f t="shared" si="23"/>
        <v>0</v>
      </c>
      <c r="AG21" s="21">
        <f t="shared" si="24"/>
        <v>0</v>
      </c>
      <c r="AH21" s="21">
        <f t="shared" si="25"/>
        <v>0</v>
      </c>
      <c r="AI21" s="22">
        <f t="shared" si="26"/>
        <v>2.1469165696546375E-2</v>
      </c>
      <c r="AJ21" s="21">
        <f>SUM(T21:AH21)</f>
        <v>331.95624000000004</v>
      </c>
    </row>
    <row r="22" spans="1:36" ht="15.75" customHeight="1" x14ac:dyDescent="0.4">
      <c r="A22" s="7">
        <v>6</v>
      </c>
      <c r="B22" s="8" t="s">
        <v>34</v>
      </c>
      <c r="C22" s="185" t="s">
        <v>35</v>
      </c>
      <c r="D22" s="9">
        <f>VLOOKUP(C22,'[1]PREÇO ATUAL'!$A:$D,4,0)</f>
        <v>33.622493083850472</v>
      </c>
      <c r="E22" s="10"/>
      <c r="F22" s="10"/>
      <c r="G22" s="10"/>
      <c r="H22" s="10"/>
      <c r="I22" s="11"/>
      <c r="J22" s="11"/>
      <c r="K22" s="11"/>
      <c r="L22" s="11"/>
      <c r="M22" s="11"/>
      <c r="N22" s="10"/>
      <c r="O22" s="154"/>
      <c r="P22" s="11"/>
      <c r="Q22" s="11"/>
      <c r="R22" s="11"/>
      <c r="S22" s="11"/>
      <c r="T22" s="13">
        <f t="shared" si="27"/>
        <v>0</v>
      </c>
      <c r="U22" s="13">
        <f t="shared" si="28"/>
        <v>0</v>
      </c>
      <c r="V22" s="13">
        <f t="shared" si="29"/>
        <v>0</v>
      </c>
      <c r="W22" s="13">
        <f t="shared" si="30"/>
        <v>0</v>
      </c>
      <c r="X22" s="13">
        <f t="shared" si="31"/>
        <v>0</v>
      </c>
      <c r="Y22" s="13">
        <f t="shared" si="32"/>
        <v>0</v>
      </c>
      <c r="Z22" s="13">
        <f t="shared" si="33"/>
        <v>0</v>
      </c>
      <c r="AA22" s="13">
        <f t="shared" si="34"/>
        <v>0</v>
      </c>
      <c r="AB22" s="13">
        <f t="shared" si="35"/>
        <v>0</v>
      </c>
      <c r="AC22" s="13">
        <f t="shared" si="36"/>
        <v>0</v>
      </c>
      <c r="AD22" s="13">
        <f t="shared" si="21"/>
        <v>0</v>
      </c>
      <c r="AE22" s="13">
        <f t="shared" si="22"/>
        <v>0</v>
      </c>
      <c r="AF22" s="13">
        <f t="shared" si="23"/>
        <v>0</v>
      </c>
      <c r="AG22" s="13">
        <f t="shared" si="24"/>
        <v>0</v>
      </c>
      <c r="AH22" s="13">
        <f t="shared" si="25"/>
        <v>0</v>
      </c>
      <c r="AI22" s="14">
        <f t="shared" si="26"/>
        <v>0</v>
      </c>
      <c r="AJ22" s="13">
        <f t="shared" si="37"/>
        <v>0</v>
      </c>
    </row>
    <row r="23" spans="1:36" ht="15.75" customHeight="1" x14ac:dyDescent="0.4">
      <c r="A23" s="15">
        <v>7</v>
      </c>
      <c r="B23" s="16" t="s">
        <v>36</v>
      </c>
      <c r="C23" s="186" t="s">
        <v>37</v>
      </c>
      <c r="D23" s="17">
        <f>VLOOKUP(C23,'[1]PREÇO ATUAL'!$A:$D,4,0)</f>
        <v>94.126931447834295</v>
      </c>
      <c r="E23" s="28">
        <v>3.36</v>
      </c>
      <c r="F23" s="28">
        <v>3.36</v>
      </c>
      <c r="G23" s="28">
        <v>3.36</v>
      </c>
      <c r="H23" s="28">
        <v>3.36</v>
      </c>
      <c r="I23" s="29">
        <v>3.36</v>
      </c>
      <c r="J23" s="29">
        <v>3.36</v>
      </c>
      <c r="K23" s="29">
        <v>3.36</v>
      </c>
      <c r="L23" s="29">
        <v>3.36</v>
      </c>
      <c r="M23" s="29">
        <v>3.36</v>
      </c>
      <c r="N23" s="28">
        <v>3.36</v>
      </c>
      <c r="O23" s="160">
        <v>3.36</v>
      </c>
      <c r="P23" s="29">
        <v>3.36</v>
      </c>
      <c r="Q23" s="29">
        <v>3.36</v>
      </c>
      <c r="R23" s="29">
        <v>3.36</v>
      </c>
      <c r="S23" s="29">
        <v>3.36</v>
      </c>
      <c r="T23" s="21">
        <f t="shared" si="27"/>
        <v>316.26648966472322</v>
      </c>
      <c r="U23" s="21">
        <f t="shared" si="28"/>
        <v>316.26648966472322</v>
      </c>
      <c r="V23" s="21">
        <f t="shared" si="29"/>
        <v>316.26648966472322</v>
      </c>
      <c r="W23" s="21">
        <f t="shared" si="30"/>
        <v>316.26648966472322</v>
      </c>
      <c r="X23" s="21">
        <f t="shared" si="31"/>
        <v>316.26648966472322</v>
      </c>
      <c r="Y23" s="21">
        <f t="shared" si="32"/>
        <v>316.26648966472322</v>
      </c>
      <c r="Z23" s="21">
        <f t="shared" si="33"/>
        <v>316.26648966472322</v>
      </c>
      <c r="AA23" s="21">
        <f t="shared" si="34"/>
        <v>316.26648966472322</v>
      </c>
      <c r="AB23" s="21">
        <f t="shared" si="35"/>
        <v>316.26648966472322</v>
      </c>
      <c r="AC23" s="21">
        <f t="shared" si="36"/>
        <v>316.26648966472322</v>
      </c>
      <c r="AD23" s="21">
        <f t="shared" si="21"/>
        <v>316.26648966472322</v>
      </c>
      <c r="AE23" s="21">
        <f t="shared" si="22"/>
        <v>316.26648966472322</v>
      </c>
      <c r="AF23" s="21">
        <f t="shared" si="23"/>
        <v>316.26648966472322</v>
      </c>
      <c r="AG23" s="21">
        <f t="shared" si="24"/>
        <v>316.26648966472322</v>
      </c>
      <c r="AH23" s="21">
        <f t="shared" si="25"/>
        <v>316.26648966472322</v>
      </c>
      <c r="AI23" s="22">
        <f t="shared" si="26"/>
        <v>0.30681654022576954</v>
      </c>
      <c r="AJ23" s="21">
        <f t="shared" si="37"/>
        <v>4743.9973449708486</v>
      </c>
    </row>
    <row r="24" spans="1:36" ht="15.75" customHeight="1" x14ac:dyDescent="0.4">
      <c r="A24" s="7">
        <v>8</v>
      </c>
      <c r="B24" s="8" t="s">
        <v>38</v>
      </c>
      <c r="C24" s="185" t="s">
        <v>39</v>
      </c>
      <c r="D24" s="9">
        <f>VLOOKUP(C24,'[1]PREÇO ATUAL'!$A:$D,4,0)</f>
        <v>342</v>
      </c>
      <c r="E24" s="45">
        <v>0.85</v>
      </c>
      <c r="F24" s="45">
        <v>1.2</v>
      </c>
      <c r="G24" s="45">
        <v>0.9</v>
      </c>
      <c r="H24" s="45">
        <v>2.15</v>
      </c>
      <c r="I24" s="46">
        <v>1</v>
      </c>
      <c r="J24" s="46">
        <v>1.45</v>
      </c>
      <c r="K24" s="46">
        <v>0.85</v>
      </c>
      <c r="L24" s="46">
        <v>2.15</v>
      </c>
      <c r="M24" s="46">
        <v>0.9</v>
      </c>
      <c r="N24" s="45">
        <v>1.35</v>
      </c>
      <c r="O24" s="157">
        <v>0.85</v>
      </c>
      <c r="P24" s="46">
        <v>1.5</v>
      </c>
      <c r="Q24" s="46">
        <v>0.85</v>
      </c>
      <c r="R24" s="46">
        <v>1.2</v>
      </c>
      <c r="S24" s="46">
        <v>1.05</v>
      </c>
      <c r="T24" s="13">
        <f>D24*E24</f>
        <v>290.7</v>
      </c>
      <c r="U24" s="13">
        <f t="shared" si="28"/>
        <v>410.4</v>
      </c>
      <c r="V24" s="13">
        <f t="shared" si="29"/>
        <v>307.8</v>
      </c>
      <c r="W24" s="13">
        <f t="shared" si="30"/>
        <v>735.3</v>
      </c>
      <c r="X24" s="13">
        <f t="shared" si="31"/>
        <v>342</v>
      </c>
      <c r="Y24" s="13">
        <f t="shared" si="32"/>
        <v>495.9</v>
      </c>
      <c r="Z24" s="13">
        <f t="shared" si="33"/>
        <v>290.7</v>
      </c>
      <c r="AA24" s="13">
        <f t="shared" si="34"/>
        <v>735.3</v>
      </c>
      <c r="AB24" s="13">
        <f t="shared" si="35"/>
        <v>307.8</v>
      </c>
      <c r="AC24" s="13">
        <f t="shared" si="36"/>
        <v>461.70000000000005</v>
      </c>
      <c r="AD24" s="13">
        <f t="shared" si="21"/>
        <v>290.7</v>
      </c>
      <c r="AE24" s="13">
        <f t="shared" si="22"/>
        <v>513</v>
      </c>
      <c r="AF24" s="13">
        <f t="shared" si="23"/>
        <v>290.7</v>
      </c>
      <c r="AG24" s="13">
        <f t="shared" si="24"/>
        <v>410.4</v>
      </c>
      <c r="AH24" s="13">
        <f t="shared" si="25"/>
        <v>359.1</v>
      </c>
      <c r="AI24" s="14">
        <f t="shared" si="26"/>
        <v>0.40366705471478459</v>
      </c>
      <c r="AJ24" s="13">
        <f t="shared" si="37"/>
        <v>6241.4999999999991</v>
      </c>
    </row>
    <row r="25" spans="1:36" ht="15.75" customHeight="1" x14ac:dyDescent="0.4"/>
    <row r="26" spans="1:36" ht="15.75" customHeight="1" x14ac:dyDescent="0.4"/>
    <row r="27" spans="1:36" ht="15.75" customHeight="1" x14ac:dyDescent="0.4"/>
    <row r="28" spans="1:36" ht="15.75" customHeight="1" x14ac:dyDescent="0.4"/>
    <row r="29" spans="1:36" ht="15.75" customHeight="1" x14ac:dyDescent="0.4"/>
    <row r="30" spans="1:36" ht="15.75" customHeight="1" x14ac:dyDescent="0.4"/>
    <row r="31" spans="1:36" ht="15.75" customHeight="1" x14ac:dyDescent="0.4"/>
    <row r="32" spans="1:36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</sheetData>
  <mergeCells count="9">
    <mergeCell ref="A13:D14"/>
    <mergeCell ref="E13:S14"/>
    <mergeCell ref="AI13:AJ13"/>
    <mergeCell ref="AI14:AJ14"/>
    <mergeCell ref="A1:D2"/>
    <mergeCell ref="AI1:AJ1"/>
    <mergeCell ref="AI2:AJ2"/>
    <mergeCell ref="E1:S2"/>
    <mergeCell ref="T1:AH1"/>
  </mergeCells>
  <pageMargins left="0.511811024" right="0.511811024" top="0.78740157499999996" bottom="0.78740157499999996" header="0" footer="0"/>
  <pageSetup paperSize="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ilha17">
    <tabColor rgb="FF00FF00"/>
  </sheetPr>
  <dimension ref="A1:Z961"/>
  <sheetViews>
    <sheetView showGridLines="0" workbookViewId="0">
      <pane xSplit="4" topLeftCell="E1" activePane="topRight" state="frozen"/>
      <selection activeCell="B23" sqref="B23"/>
      <selection pane="topRight" activeCell="H17" sqref="H17"/>
    </sheetView>
  </sheetViews>
  <sheetFormatPr defaultColWidth="14.3828125" defaultRowHeight="15" customHeight="1" x14ac:dyDescent="0.4"/>
  <cols>
    <col min="1" max="1" width="3.3046875" customWidth="1"/>
    <col min="2" max="2" width="46.3046875" customWidth="1"/>
    <col min="3" max="3" width="16.84375" customWidth="1"/>
    <col min="4" max="4" width="8.69140625" customWidth="1"/>
    <col min="5" max="5" width="6.53515625" customWidth="1"/>
    <col min="6" max="13" width="5.3828125" customWidth="1"/>
    <col min="14" max="14" width="5.53515625" customWidth="1"/>
    <col min="15" max="17" width="15" customWidth="1"/>
    <col min="18" max="18" width="17.15234375" customWidth="1"/>
    <col min="19" max="19" width="15" customWidth="1"/>
    <col min="20" max="20" width="17.15234375" customWidth="1"/>
    <col min="21" max="21" width="15" customWidth="1"/>
    <col min="22" max="22" width="17.15234375" customWidth="1"/>
    <col min="23" max="24" width="15" customWidth="1"/>
    <col min="25" max="25" width="8.3828125" customWidth="1"/>
    <col min="26" max="26" width="15.53515625" customWidth="1"/>
  </cols>
  <sheetData>
    <row r="1" spans="1:26" ht="15.75" customHeight="1" x14ac:dyDescent="0.4">
      <c r="A1" s="222" t="s">
        <v>114</v>
      </c>
      <c r="B1" s="223"/>
      <c r="C1" s="223"/>
      <c r="D1" s="223"/>
      <c r="E1" s="226" t="s">
        <v>3</v>
      </c>
      <c r="F1" s="223"/>
      <c r="G1" s="223"/>
      <c r="H1" s="223"/>
      <c r="I1" s="223"/>
      <c r="J1" s="223"/>
      <c r="K1" s="223"/>
      <c r="L1" s="223"/>
      <c r="M1" s="223"/>
      <c r="N1" s="234"/>
      <c r="O1" s="230" t="s">
        <v>4</v>
      </c>
      <c r="P1" s="237"/>
      <c r="Q1" s="237"/>
      <c r="R1" s="237"/>
      <c r="S1" s="237"/>
      <c r="T1" s="237"/>
      <c r="U1" s="237"/>
      <c r="V1" s="237"/>
      <c r="W1" s="237"/>
      <c r="X1" s="238"/>
      <c r="Y1" s="219" t="s">
        <v>5</v>
      </c>
      <c r="Z1" s="220"/>
    </row>
    <row r="2" spans="1:26" ht="15.75" customHeight="1" x14ac:dyDescent="0.4">
      <c r="A2" s="224"/>
      <c r="B2" s="225"/>
      <c r="C2" s="225"/>
      <c r="D2" s="225"/>
      <c r="E2" s="236"/>
      <c r="F2" s="225"/>
      <c r="G2" s="225"/>
      <c r="H2" s="225"/>
      <c r="I2" s="225"/>
      <c r="J2" s="225"/>
      <c r="K2" s="225"/>
      <c r="L2" s="225"/>
      <c r="M2" s="225"/>
      <c r="N2" s="235"/>
      <c r="O2" s="2">
        <f>MROUND(SUM(O4:O11),1)</f>
        <v>797</v>
      </c>
      <c r="P2" s="2">
        <f t="shared" ref="P2:X2" si="0">MROUND(SUM(P4:P11),1)</f>
        <v>1042</v>
      </c>
      <c r="Q2" s="2">
        <f t="shared" si="0"/>
        <v>814</v>
      </c>
      <c r="R2" s="2">
        <f t="shared" si="0"/>
        <v>1196</v>
      </c>
      <c r="S2" s="2">
        <f t="shared" si="0"/>
        <v>848</v>
      </c>
      <c r="T2" s="2">
        <f t="shared" si="0"/>
        <v>2164</v>
      </c>
      <c r="U2" s="2">
        <f t="shared" si="0"/>
        <v>814</v>
      </c>
      <c r="V2" s="2">
        <f t="shared" si="0"/>
        <v>1196</v>
      </c>
      <c r="W2" s="2">
        <f t="shared" si="0"/>
        <v>814</v>
      </c>
      <c r="X2" s="2">
        <f t="shared" si="0"/>
        <v>1094</v>
      </c>
      <c r="Y2" s="221">
        <f>SUM(O2:X2)</f>
        <v>10779</v>
      </c>
      <c r="Z2" s="220"/>
    </row>
    <row r="3" spans="1:26" ht="15.75" customHeight="1" x14ac:dyDescent="0.4">
      <c r="A3" s="3" t="s">
        <v>6</v>
      </c>
      <c r="B3" s="3" t="s">
        <v>7</v>
      </c>
      <c r="C3" s="3" t="s">
        <v>8</v>
      </c>
      <c r="D3" s="4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18</v>
      </c>
      <c r="N3" s="5" t="s">
        <v>19</v>
      </c>
      <c r="O3" s="5">
        <v>10000</v>
      </c>
      <c r="P3" s="5">
        <v>20000</v>
      </c>
      <c r="Q3" s="5">
        <v>30000</v>
      </c>
      <c r="R3" s="5">
        <v>40000</v>
      </c>
      <c r="S3" s="5">
        <v>50000</v>
      </c>
      <c r="T3" s="5">
        <v>60000</v>
      </c>
      <c r="U3" s="5">
        <v>70000</v>
      </c>
      <c r="V3" s="5">
        <v>80000</v>
      </c>
      <c r="W3" s="5">
        <v>90000</v>
      </c>
      <c r="X3" s="5">
        <v>100000</v>
      </c>
      <c r="Y3" s="6" t="s">
        <v>20</v>
      </c>
      <c r="Z3" s="3" t="s">
        <v>21</v>
      </c>
    </row>
    <row r="4" spans="1:26" ht="15.75" customHeight="1" x14ac:dyDescent="0.4">
      <c r="A4" s="7">
        <v>1</v>
      </c>
      <c r="B4" s="8" t="s">
        <v>22</v>
      </c>
      <c r="C4" s="185" t="s">
        <v>56</v>
      </c>
      <c r="D4" s="9">
        <f>VLOOKUP(C4,'[1]PREÇO ATUAL'!$A:$D,4,0)</f>
        <v>42.9</v>
      </c>
      <c r="E4" s="10">
        <v>1</v>
      </c>
      <c r="F4" s="10">
        <v>1</v>
      </c>
      <c r="G4" s="10">
        <v>1</v>
      </c>
      <c r="H4" s="10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2">
        <v>1</v>
      </c>
      <c r="O4" s="13">
        <f t="shared" ref="O4:X4" si="1">$D4*E4</f>
        <v>42.9</v>
      </c>
      <c r="P4" s="13">
        <f t="shared" si="1"/>
        <v>42.9</v>
      </c>
      <c r="Q4" s="13">
        <f t="shared" si="1"/>
        <v>42.9</v>
      </c>
      <c r="R4" s="13">
        <f t="shared" si="1"/>
        <v>42.9</v>
      </c>
      <c r="S4" s="13">
        <f t="shared" si="1"/>
        <v>42.9</v>
      </c>
      <c r="T4" s="13">
        <f t="shared" si="1"/>
        <v>42.9</v>
      </c>
      <c r="U4" s="13">
        <f t="shared" si="1"/>
        <v>42.9</v>
      </c>
      <c r="V4" s="13">
        <f t="shared" si="1"/>
        <v>42.9</v>
      </c>
      <c r="W4" s="13">
        <f t="shared" si="1"/>
        <v>42.9</v>
      </c>
      <c r="X4" s="13">
        <f t="shared" si="1"/>
        <v>42.9</v>
      </c>
      <c r="Y4" s="14">
        <f t="shared" ref="Y4:Y11" si="2">Z4/$Y$2</f>
        <v>3.9799610353465062E-2</v>
      </c>
      <c r="Z4" s="13">
        <f t="shared" ref="Z4:Z11" si="3">SUM(O4:X4)</f>
        <v>428.99999999999989</v>
      </c>
    </row>
    <row r="5" spans="1:26" ht="15.75" customHeight="1" x14ac:dyDescent="0.4">
      <c r="A5" s="15">
        <v>2</v>
      </c>
      <c r="B5" s="16" t="s">
        <v>57</v>
      </c>
      <c r="C5" s="186" t="s">
        <v>25</v>
      </c>
      <c r="D5" s="17">
        <f>VLOOKUP(C5,'[1]PREÇO ATUAL'!$A:$D,4,0)</f>
        <v>35.9</v>
      </c>
      <c r="E5" s="18"/>
      <c r="F5" s="18">
        <v>1</v>
      </c>
      <c r="G5" s="18"/>
      <c r="H5" s="18">
        <v>1</v>
      </c>
      <c r="I5" s="19"/>
      <c r="J5" s="19">
        <v>1</v>
      </c>
      <c r="K5" s="19"/>
      <c r="L5" s="19">
        <v>1</v>
      </c>
      <c r="M5" s="19"/>
      <c r="N5" s="20">
        <v>1</v>
      </c>
      <c r="O5" s="21">
        <f t="shared" ref="O5:X5" si="4">$D5*E5</f>
        <v>0</v>
      </c>
      <c r="P5" s="21">
        <f t="shared" si="4"/>
        <v>35.9</v>
      </c>
      <c r="Q5" s="21">
        <f t="shared" si="4"/>
        <v>0</v>
      </c>
      <c r="R5" s="21">
        <f t="shared" si="4"/>
        <v>35.9</v>
      </c>
      <c r="S5" s="21">
        <f t="shared" si="4"/>
        <v>0</v>
      </c>
      <c r="T5" s="21">
        <f t="shared" si="4"/>
        <v>35.9</v>
      </c>
      <c r="U5" s="21">
        <f t="shared" si="4"/>
        <v>0</v>
      </c>
      <c r="V5" s="21">
        <f t="shared" si="4"/>
        <v>35.9</v>
      </c>
      <c r="W5" s="21">
        <f t="shared" si="4"/>
        <v>0</v>
      </c>
      <c r="X5" s="21">
        <f t="shared" si="4"/>
        <v>35.9</v>
      </c>
      <c r="Y5" s="22">
        <f t="shared" si="2"/>
        <v>1.6652750718990628E-2</v>
      </c>
      <c r="Z5" s="21">
        <f t="shared" si="3"/>
        <v>179.5</v>
      </c>
    </row>
    <row r="6" spans="1:26" ht="15.75" customHeight="1" x14ac:dyDescent="0.4">
      <c r="A6" s="7">
        <v>3</v>
      </c>
      <c r="B6" s="8" t="s">
        <v>26</v>
      </c>
      <c r="C6" s="185" t="s">
        <v>58</v>
      </c>
      <c r="D6" s="9">
        <f>VLOOKUP(C6,'[1]PREÇO ATUAL'!$A:$D,4,0)</f>
        <v>89.9</v>
      </c>
      <c r="E6" s="10"/>
      <c r="F6" s="10">
        <v>1</v>
      </c>
      <c r="G6" s="10"/>
      <c r="H6" s="10">
        <v>1</v>
      </c>
      <c r="I6" s="11"/>
      <c r="J6" s="11">
        <v>1</v>
      </c>
      <c r="K6" s="11"/>
      <c r="L6" s="11">
        <v>1</v>
      </c>
      <c r="M6" s="11"/>
      <c r="N6" s="12">
        <v>1</v>
      </c>
      <c r="O6" s="13">
        <f t="shared" ref="O6:X6" si="5">$D6*E6</f>
        <v>0</v>
      </c>
      <c r="P6" s="13">
        <f t="shared" si="5"/>
        <v>89.9</v>
      </c>
      <c r="Q6" s="13">
        <f t="shared" si="5"/>
        <v>0</v>
      </c>
      <c r="R6" s="13">
        <f t="shared" si="5"/>
        <v>89.9</v>
      </c>
      <c r="S6" s="13">
        <f t="shared" si="5"/>
        <v>0</v>
      </c>
      <c r="T6" s="13">
        <f t="shared" si="5"/>
        <v>89.9</v>
      </c>
      <c r="U6" s="13">
        <f t="shared" si="5"/>
        <v>0</v>
      </c>
      <c r="V6" s="13">
        <f t="shared" si="5"/>
        <v>89.9</v>
      </c>
      <c r="W6" s="13">
        <f t="shared" si="5"/>
        <v>0</v>
      </c>
      <c r="X6" s="13">
        <f t="shared" si="5"/>
        <v>89.9</v>
      </c>
      <c r="Y6" s="14">
        <f t="shared" si="2"/>
        <v>4.170145653585676E-2</v>
      </c>
      <c r="Z6" s="13">
        <f t="shared" si="3"/>
        <v>449.5</v>
      </c>
    </row>
    <row r="7" spans="1:26" ht="15.75" customHeight="1" x14ac:dyDescent="0.4">
      <c r="A7" s="15">
        <v>4</v>
      </c>
      <c r="B7" s="16" t="s">
        <v>59</v>
      </c>
      <c r="C7" s="186" t="s">
        <v>60</v>
      </c>
      <c r="D7" s="17">
        <f>VLOOKUP(C7,'[1]PREÇO ATUAL'!$A:$D,4,0)</f>
        <v>119.9</v>
      </c>
      <c r="E7" s="18"/>
      <c r="F7" s="18"/>
      <c r="G7" s="18"/>
      <c r="H7" s="18"/>
      <c r="I7" s="19"/>
      <c r="J7" s="19">
        <v>4</v>
      </c>
      <c r="K7" s="19"/>
      <c r="L7" s="19"/>
      <c r="M7" s="19"/>
      <c r="N7" s="20"/>
      <c r="O7" s="21">
        <f t="shared" ref="O7:X7" si="6">$D7*E7</f>
        <v>0</v>
      </c>
      <c r="P7" s="21">
        <f t="shared" si="6"/>
        <v>0</v>
      </c>
      <c r="Q7" s="21">
        <f t="shared" si="6"/>
        <v>0</v>
      </c>
      <c r="R7" s="21">
        <f t="shared" si="6"/>
        <v>0</v>
      </c>
      <c r="S7" s="21">
        <f t="shared" si="6"/>
        <v>0</v>
      </c>
      <c r="T7" s="21">
        <f t="shared" si="6"/>
        <v>479.6</v>
      </c>
      <c r="U7" s="21">
        <f t="shared" si="6"/>
        <v>0</v>
      </c>
      <c r="V7" s="21">
        <f t="shared" si="6"/>
        <v>0</v>
      </c>
      <c r="W7" s="21">
        <f t="shared" si="6"/>
        <v>0</v>
      </c>
      <c r="X7" s="21">
        <f t="shared" si="6"/>
        <v>0</v>
      </c>
      <c r="Y7" s="22">
        <f t="shared" si="2"/>
        <v>4.4493923369514798E-2</v>
      </c>
      <c r="Z7" s="21">
        <f t="shared" si="3"/>
        <v>479.6</v>
      </c>
    </row>
    <row r="8" spans="1:26" ht="15.75" customHeight="1" x14ac:dyDescent="0.4">
      <c r="A8" s="7">
        <v>5</v>
      </c>
      <c r="B8" s="8" t="s">
        <v>61</v>
      </c>
      <c r="C8" s="185" t="s">
        <v>62</v>
      </c>
      <c r="D8" s="9">
        <f>VLOOKUP(C8,'[1]PREÇO ATUAL'!$A:$D,4,0)</f>
        <v>179.9</v>
      </c>
      <c r="E8" s="10"/>
      <c r="F8" s="10"/>
      <c r="G8" s="10"/>
      <c r="H8" s="10"/>
      <c r="I8" s="11"/>
      <c r="J8" s="11">
        <v>1</v>
      </c>
      <c r="K8" s="11"/>
      <c r="L8" s="11"/>
      <c r="M8" s="11"/>
      <c r="N8" s="12"/>
      <c r="O8" s="13">
        <f t="shared" ref="O8:X8" si="7">$D8*E8</f>
        <v>0</v>
      </c>
      <c r="P8" s="13">
        <f t="shared" si="7"/>
        <v>0</v>
      </c>
      <c r="Q8" s="13">
        <f t="shared" si="7"/>
        <v>0</v>
      </c>
      <c r="R8" s="13">
        <f t="shared" si="7"/>
        <v>0</v>
      </c>
      <c r="S8" s="13">
        <f t="shared" si="7"/>
        <v>0</v>
      </c>
      <c r="T8" s="13">
        <f t="shared" si="7"/>
        <v>179.9</v>
      </c>
      <c r="U8" s="13">
        <f t="shared" si="7"/>
        <v>0</v>
      </c>
      <c r="V8" s="13">
        <f t="shared" si="7"/>
        <v>0</v>
      </c>
      <c r="W8" s="13">
        <f t="shared" si="7"/>
        <v>0</v>
      </c>
      <c r="X8" s="13">
        <f t="shared" si="7"/>
        <v>0</v>
      </c>
      <c r="Y8" s="14">
        <f t="shared" si="2"/>
        <v>1.6689859912793394E-2</v>
      </c>
      <c r="Z8" s="13">
        <f t="shared" si="3"/>
        <v>179.9</v>
      </c>
    </row>
    <row r="9" spans="1:26" ht="15.75" customHeight="1" x14ac:dyDescent="0.4">
      <c r="A9" s="15">
        <v>6</v>
      </c>
      <c r="B9" s="16" t="s">
        <v>34</v>
      </c>
      <c r="C9" s="186" t="s">
        <v>35</v>
      </c>
      <c r="D9" s="17">
        <f>VLOOKUP(C9,'[1]PREÇO ATUAL'!$A:$D,4,0)</f>
        <v>33.622493083850472</v>
      </c>
      <c r="E9" s="18"/>
      <c r="F9" s="18"/>
      <c r="G9" s="18"/>
      <c r="H9" s="18"/>
      <c r="I9" s="19"/>
      <c r="J9" s="19"/>
      <c r="K9" s="19"/>
      <c r="L9" s="19"/>
      <c r="M9" s="19"/>
      <c r="N9" s="20"/>
      <c r="O9" s="21">
        <f t="shared" ref="O9:X9" si="8">$D9*E9</f>
        <v>0</v>
      </c>
      <c r="P9" s="21">
        <f t="shared" si="8"/>
        <v>0</v>
      </c>
      <c r="Q9" s="21">
        <f t="shared" si="8"/>
        <v>0</v>
      </c>
      <c r="R9" s="21">
        <f t="shared" si="8"/>
        <v>0</v>
      </c>
      <c r="S9" s="21">
        <f t="shared" si="8"/>
        <v>0</v>
      </c>
      <c r="T9" s="21">
        <f t="shared" si="8"/>
        <v>0</v>
      </c>
      <c r="U9" s="21">
        <f t="shared" si="8"/>
        <v>0</v>
      </c>
      <c r="V9" s="21">
        <f t="shared" si="8"/>
        <v>0</v>
      </c>
      <c r="W9" s="21">
        <f t="shared" si="8"/>
        <v>0</v>
      </c>
      <c r="X9" s="21">
        <f t="shared" si="8"/>
        <v>0</v>
      </c>
      <c r="Y9" s="22">
        <f t="shared" si="2"/>
        <v>0</v>
      </c>
      <c r="Z9" s="21">
        <f t="shared" si="3"/>
        <v>0</v>
      </c>
    </row>
    <row r="10" spans="1:26" ht="15.75" customHeight="1" x14ac:dyDescent="0.4">
      <c r="A10" s="7">
        <v>7</v>
      </c>
      <c r="B10" s="8" t="s">
        <v>63</v>
      </c>
      <c r="C10" s="185" t="s">
        <v>64</v>
      </c>
      <c r="D10" s="9">
        <f>VLOOKUP(C10,'[1]PREÇO ATUAL'!$A:$D,4,0)</f>
        <v>98.56222158238279</v>
      </c>
      <c r="E10" s="23">
        <v>4.7</v>
      </c>
      <c r="F10" s="23">
        <v>4.7</v>
      </c>
      <c r="G10" s="23">
        <v>4.7</v>
      </c>
      <c r="H10" s="23">
        <v>4.7</v>
      </c>
      <c r="I10" s="23">
        <v>4.7</v>
      </c>
      <c r="J10" s="23">
        <v>4.7</v>
      </c>
      <c r="K10" s="23">
        <v>4.7</v>
      </c>
      <c r="L10" s="23">
        <v>4.7</v>
      </c>
      <c r="M10" s="23">
        <v>4.7</v>
      </c>
      <c r="N10" s="23">
        <v>4.7</v>
      </c>
      <c r="O10" s="13">
        <f t="shared" ref="O10:X10" si="9">$D10*E10</f>
        <v>463.24244143719915</v>
      </c>
      <c r="P10" s="13">
        <f t="shared" si="9"/>
        <v>463.24244143719915</v>
      </c>
      <c r="Q10" s="13">
        <f t="shared" si="9"/>
        <v>463.24244143719915</v>
      </c>
      <c r="R10" s="13">
        <f t="shared" si="9"/>
        <v>463.24244143719915</v>
      </c>
      <c r="S10" s="13">
        <f t="shared" si="9"/>
        <v>463.24244143719915</v>
      </c>
      <c r="T10" s="13">
        <f t="shared" si="9"/>
        <v>463.24244143719915</v>
      </c>
      <c r="U10" s="13">
        <f t="shared" si="9"/>
        <v>463.24244143719915</v>
      </c>
      <c r="V10" s="13">
        <f t="shared" si="9"/>
        <v>463.24244143719915</v>
      </c>
      <c r="W10" s="13">
        <f t="shared" si="9"/>
        <v>463.24244143719915</v>
      </c>
      <c r="X10" s="13">
        <f t="shared" si="9"/>
        <v>463.24244143719915</v>
      </c>
      <c r="Y10" s="14">
        <f t="shared" si="2"/>
        <v>0.4297638384239717</v>
      </c>
      <c r="Z10" s="13">
        <f t="shared" si="3"/>
        <v>4632.4244143719907</v>
      </c>
    </row>
    <row r="11" spans="1:26" ht="15.75" customHeight="1" x14ac:dyDescent="0.4">
      <c r="A11" s="15">
        <v>8</v>
      </c>
      <c r="B11" s="16" t="s">
        <v>38</v>
      </c>
      <c r="C11" s="186" t="s">
        <v>39</v>
      </c>
      <c r="D11" s="17">
        <f>VLOOKUP(C11,'[1]PREÇO ATUAL'!$A:$D,4,0)</f>
        <v>342</v>
      </c>
      <c r="E11" s="24">
        <v>0.85</v>
      </c>
      <c r="F11" s="24">
        <v>1.2</v>
      </c>
      <c r="G11" s="24">
        <v>0.9</v>
      </c>
      <c r="H11" s="24">
        <v>1.65</v>
      </c>
      <c r="I11" s="17">
        <v>1</v>
      </c>
      <c r="J11" s="17">
        <v>2.5499999999999998</v>
      </c>
      <c r="K11" s="17">
        <v>0.9</v>
      </c>
      <c r="L11" s="17">
        <v>1.65</v>
      </c>
      <c r="M11" s="17">
        <v>0.9</v>
      </c>
      <c r="N11" s="25">
        <v>1.35</v>
      </c>
      <c r="O11" s="21">
        <f>D11*E11</f>
        <v>290.7</v>
      </c>
      <c r="P11" s="21">
        <f t="shared" ref="P11:X11" si="10">$D11*F11</f>
        <v>410.4</v>
      </c>
      <c r="Q11" s="21">
        <f t="shared" si="10"/>
        <v>307.8</v>
      </c>
      <c r="R11" s="21">
        <f t="shared" si="10"/>
        <v>564.29999999999995</v>
      </c>
      <c r="S11" s="21">
        <f t="shared" si="10"/>
        <v>342</v>
      </c>
      <c r="T11" s="21">
        <f t="shared" si="10"/>
        <v>872.09999999999991</v>
      </c>
      <c r="U11" s="21">
        <f t="shared" si="10"/>
        <v>307.8</v>
      </c>
      <c r="V11" s="21">
        <f t="shared" si="10"/>
        <v>564.29999999999995</v>
      </c>
      <c r="W11" s="21">
        <f t="shared" si="10"/>
        <v>307.8</v>
      </c>
      <c r="X11" s="21">
        <f t="shared" si="10"/>
        <v>461.70000000000005</v>
      </c>
      <c r="Y11" s="22">
        <f t="shared" si="2"/>
        <v>0.41088227108266068</v>
      </c>
      <c r="Z11" s="21">
        <f t="shared" si="3"/>
        <v>4428.8999999999996</v>
      </c>
    </row>
    <row r="12" spans="1:26" ht="15.75" customHeight="1" x14ac:dyDescent="0.4">
      <c r="H12" s="39"/>
    </row>
    <row r="13" spans="1:26" ht="15.75" customHeight="1" x14ac:dyDescent="0.4"/>
    <row r="14" spans="1:26" ht="15.75" customHeight="1" x14ac:dyDescent="0.4"/>
    <row r="15" spans="1:26" ht="15.75" customHeight="1" x14ac:dyDescent="0.4"/>
    <row r="16" spans="1:26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</sheetData>
  <mergeCells count="5">
    <mergeCell ref="A1:D2"/>
    <mergeCell ref="E1:N2"/>
    <mergeCell ref="O1:X1"/>
    <mergeCell ref="Y1:Z1"/>
    <mergeCell ref="Y2:Z2"/>
  </mergeCells>
  <pageMargins left="0.511811024" right="0.511811024" top="0.78740157499999996" bottom="0.78740157499999996" header="0" footer="0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ilha18">
    <tabColor rgb="FF00FF00"/>
  </sheetPr>
  <dimension ref="A1:AP998"/>
  <sheetViews>
    <sheetView showGridLines="0" topLeftCell="A7" workbookViewId="0">
      <pane xSplit="4" topLeftCell="E1" activePane="topRight" state="frozen"/>
      <selection activeCell="B23" sqref="B23"/>
      <selection pane="topRight" activeCell="C41" sqref="C41"/>
    </sheetView>
  </sheetViews>
  <sheetFormatPr defaultColWidth="14.3828125" defaultRowHeight="15" customHeight="1" x14ac:dyDescent="0.4"/>
  <cols>
    <col min="1" max="1" width="3.69140625" customWidth="1"/>
    <col min="2" max="2" width="58.3046875" customWidth="1"/>
    <col min="3" max="3" width="20.3046875" customWidth="1"/>
    <col min="4" max="4" width="8.69140625" customWidth="1"/>
    <col min="5" max="7" width="5.15234375" bestFit="1" customWidth="1"/>
    <col min="8" max="19" width="5.15234375" customWidth="1"/>
    <col min="20" max="21" width="14.53515625" customWidth="1"/>
    <col min="22" max="23" width="15.69140625" bestFit="1" customWidth="1"/>
    <col min="24" max="24" width="14.53515625" customWidth="1"/>
    <col min="25" max="25" width="16.84375" customWidth="1"/>
    <col min="26" max="26" width="14.53515625" customWidth="1"/>
    <col min="27" max="28" width="15.69140625" bestFit="1" customWidth="1"/>
    <col min="29" max="29" width="13.69140625" customWidth="1"/>
    <col min="30" max="30" width="18.3828125" bestFit="1" customWidth="1"/>
    <col min="31" max="31" width="15.69140625" bestFit="1" customWidth="1"/>
    <col min="32" max="33" width="13.69140625" customWidth="1"/>
    <col min="34" max="34" width="15.69140625" bestFit="1" customWidth="1"/>
    <col min="35" max="35" width="8.3828125" customWidth="1"/>
    <col min="36" max="36" width="15.53515625" customWidth="1"/>
    <col min="37" max="37" width="11.69140625" customWidth="1"/>
    <col min="38" max="38" width="9.15234375" customWidth="1"/>
    <col min="39" max="39" width="11.3828125" customWidth="1"/>
    <col min="40" max="42" width="9.15234375" customWidth="1"/>
  </cols>
  <sheetData>
    <row r="1" spans="1:42" ht="15" customHeight="1" x14ac:dyDescent="0.4">
      <c r="A1" s="222" t="s">
        <v>115</v>
      </c>
      <c r="B1" s="239"/>
      <c r="C1" s="239"/>
      <c r="D1" s="245"/>
      <c r="E1" s="126" t="s">
        <v>3</v>
      </c>
      <c r="F1" s="133"/>
      <c r="G1" s="133"/>
      <c r="H1" s="133"/>
      <c r="I1" s="133"/>
      <c r="J1" s="133"/>
      <c r="K1" s="133"/>
      <c r="L1" s="133"/>
      <c r="M1" s="133"/>
      <c r="N1" s="134"/>
      <c r="O1" s="133"/>
      <c r="P1" s="133"/>
      <c r="Q1" s="133"/>
      <c r="R1" s="133"/>
      <c r="S1" s="133"/>
      <c r="T1" s="125" t="s">
        <v>4</v>
      </c>
      <c r="U1" s="125"/>
      <c r="V1" s="125"/>
      <c r="W1" s="125"/>
      <c r="X1" s="125"/>
      <c r="Y1" s="125"/>
      <c r="Z1" s="125"/>
      <c r="AA1" s="125"/>
      <c r="AB1" s="125"/>
      <c r="AC1" s="125"/>
      <c r="AD1" s="147"/>
      <c r="AE1" s="147"/>
      <c r="AF1" s="147"/>
      <c r="AG1" s="147"/>
      <c r="AH1" s="147"/>
      <c r="AI1" s="219" t="s">
        <v>5</v>
      </c>
      <c r="AJ1" s="220"/>
    </row>
    <row r="2" spans="1:42" ht="14.6" x14ac:dyDescent="0.4">
      <c r="A2" s="240"/>
      <c r="B2" s="241"/>
      <c r="C2" s="241"/>
      <c r="D2" s="246"/>
      <c r="E2" s="130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2">
        <f>MROUND(SUM(T4:T13),1)</f>
        <v>662</v>
      </c>
      <c r="U2" s="2">
        <f t="shared" ref="U2:AG2" si="0">MROUND(SUM(U4:U13),1)</f>
        <v>871</v>
      </c>
      <c r="V2" s="2">
        <f t="shared" si="0"/>
        <v>1227</v>
      </c>
      <c r="W2" s="2">
        <f t="shared" si="0"/>
        <v>973</v>
      </c>
      <c r="X2" s="2">
        <f t="shared" si="0"/>
        <v>731</v>
      </c>
      <c r="Y2" s="2">
        <f t="shared" si="0"/>
        <v>2450</v>
      </c>
      <c r="Z2" s="2">
        <f t="shared" si="0"/>
        <v>662</v>
      </c>
      <c r="AA2" s="2">
        <f t="shared" si="0"/>
        <v>973</v>
      </c>
      <c r="AB2" s="2">
        <f t="shared" si="0"/>
        <v>1227</v>
      </c>
      <c r="AC2" s="2">
        <f t="shared" si="0"/>
        <v>990</v>
      </c>
      <c r="AD2" s="2">
        <f t="shared" si="0"/>
        <v>662</v>
      </c>
      <c r="AE2" s="2">
        <f t="shared" si="0"/>
        <v>2610</v>
      </c>
      <c r="AF2" s="2">
        <f t="shared" si="0"/>
        <v>662</v>
      </c>
      <c r="AG2" s="2">
        <f t="shared" si="0"/>
        <v>871</v>
      </c>
      <c r="AH2" s="2">
        <f>MROUND(SUM(AH4:AH13),1)</f>
        <v>1296</v>
      </c>
      <c r="AI2" s="221">
        <f>SUM(T2:AH2)</f>
        <v>16867</v>
      </c>
      <c r="AJ2" s="220"/>
    </row>
    <row r="3" spans="1:42" ht="14.6" x14ac:dyDescent="0.4">
      <c r="A3" s="3" t="s">
        <v>6</v>
      </c>
      <c r="B3" s="3" t="s">
        <v>7</v>
      </c>
      <c r="C3" s="184" t="s">
        <v>8</v>
      </c>
      <c r="D3" s="4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18</v>
      </c>
      <c r="N3" s="5" t="s">
        <v>19</v>
      </c>
      <c r="O3" s="5" t="s">
        <v>116</v>
      </c>
      <c r="P3" s="5" t="s">
        <v>117</v>
      </c>
      <c r="Q3" s="5" t="s">
        <v>118</v>
      </c>
      <c r="R3" s="5" t="s">
        <v>119</v>
      </c>
      <c r="S3" s="5" t="s">
        <v>120</v>
      </c>
      <c r="T3" s="5">
        <v>10000</v>
      </c>
      <c r="U3" s="5">
        <v>20000</v>
      </c>
      <c r="V3" s="5">
        <v>30000</v>
      </c>
      <c r="W3" s="5">
        <v>40000</v>
      </c>
      <c r="X3" s="5">
        <v>50000</v>
      </c>
      <c r="Y3" s="5">
        <v>60000</v>
      </c>
      <c r="Z3" s="5">
        <v>70000</v>
      </c>
      <c r="AA3" s="5">
        <v>80000</v>
      </c>
      <c r="AB3" s="5">
        <v>90000</v>
      </c>
      <c r="AC3" s="5">
        <v>100000</v>
      </c>
      <c r="AD3" s="5">
        <f>AC3+10000</f>
        <v>110000</v>
      </c>
      <c r="AE3" s="5">
        <f t="shared" ref="AE3:AH3" si="1">AD3+10000</f>
        <v>120000</v>
      </c>
      <c r="AF3" s="5">
        <f t="shared" si="1"/>
        <v>130000</v>
      </c>
      <c r="AG3" s="5">
        <f t="shared" si="1"/>
        <v>140000</v>
      </c>
      <c r="AH3" s="5">
        <f t="shared" si="1"/>
        <v>150000</v>
      </c>
      <c r="AI3" s="6" t="s">
        <v>20</v>
      </c>
      <c r="AJ3" s="3" t="s">
        <v>21</v>
      </c>
    </row>
    <row r="4" spans="1:42" ht="14.6" x14ac:dyDescent="0.4">
      <c r="A4" s="7">
        <v>1</v>
      </c>
      <c r="B4" s="8" t="s">
        <v>66</v>
      </c>
      <c r="C4" s="185" t="s">
        <v>95</v>
      </c>
      <c r="D4" s="9">
        <f>VLOOKUP(C4,'[1]PREÇO ATUAL'!$A:$D,4,0)</f>
        <v>42.9</v>
      </c>
      <c r="E4" s="10"/>
      <c r="F4" s="10"/>
      <c r="G4" s="10">
        <v>4</v>
      </c>
      <c r="H4" s="10"/>
      <c r="I4" s="11"/>
      <c r="J4" s="11">
        <v>4</v>
      </c>
      <c r="K4" s="11"/>
      <c r="L4" s="11"/>
      <c r="M4" s="11">
        <v>4</v>
      </c>
      <c r="N4" s="11"/>
      <c r="O4" s="11"/>
      <c r="P4" s="11">
        <v>4</v>
      </c>
      <c r="Q4" s="11"/>
      <c r="R4" s="11"/>
      <c r="S4" s="11">
        <v>4</v>
      </c>
      <c r="T4" s="13">
        <f t="shared" ref="T4:T12" si="2">$D4*E4</f>
        <v>0</v>
      </c>
      <c r="U4" s="13">
        <f t="shared" ref="U4:U12" si="3">$D4*F4</f>
        <v>0</v>
      </c>
      <c r="V4" s="13">
        <f t="shared" ref="V4:V12" si="4">$D4*G4</f>
        <v>171.6</v>
      </c>
      <c r="W4" s="13">
        <f t="shared" ref="W4:W12" si="5">$D4*H4</f>
        <v>0</v>
      </c>
      <c r="X4" s="13">
        <f t="shared" ref="X4:X12" si="6">$D4*I4</f>
        <v>0</v>
      </c>
      <c r="Y4" s="13">
        <f t="shared" ref="Y4:Y12" si="7">$D4*J4</f>
        <v>171.6</v>
      </c>
      <c r="Z4" s="13">
        <f t="shared" ref="Z4:Z12" si="8">$D4*K4</f>
        <v>0</v>
      </c>
      <c r="AA4" s="13">
        <f t="shared" ref="AA4:AA12" si="9">$D4*L4</f>
        <v>0</v>
      </c>
      <c r="AB4" s="13">
        <f t="shared" ref="AB4:AB12" si="10">$D4*M4</f>
        <v>171.6</v>
      </c>
      <c r="AC4" s="13">
        <f t="shared" ref="AC4" si="11">$D4*N4</f>
        <v>0</v>
      </c>
      <c r="AD4" s="13">
        <f t="shared" ref="AD4:AD13" si="12">$D4*O4</f>
        <v>0</v>
      </c>
      <c r="AE4" s="13">
        <f t="shared" ref="AE4:AE13" si="13">$D4*P4</f>
        <v>171.6</v>
      </c>
      <c r="AF4" s="13">
        <f t="shared" ref="AF4:AF13" si="14">$D4*Q4</f>
        <v>0</v>
      </c>
      <c r="AG4" s="13">
        <f t="shared" ref="AG4:AG13" si="15">$D4*R4</f>
        <v>0</v>
      </c>
      <c r="AH4" s="13">
        <f t="shared" ref="AH4:AH13" si="16">$D4*S4</f>
        <v>171.6</v>
      </c>
      <c r="AI4" s="14">
        <f t="shared" ref="AI4:AI13" si="17">AJ4/$AI$2</f>
        <v>5.0868559909883204E-2</v>
      </c>
      <c r="AJ4" s="13">
        <f>SUM(T4:AH4)</f>
        <v>858</v>
      </c>
    </row>
    <row r="5" spans="1:42" ht="14.6" x14ac:dyDescent="0.4">
      <c r="A5" s="15">
        <v>2</v>
      </c>
      <c r="B5" s="16" t="s">
        <v>68</v>
      </c>
      <c r="C5" s="186" t="s">
        <v>69</v>
      </c>
      <c r="D5" s="17">
        <f>VLOOKUP(C5,'[1]PREÇO ATUAL'!$A:$D,4,0)</f>
        <v>145.9</v>
      </c>
      <c r="E5" s="18"/>
      <c r="F5" s="18"/>
      <c r="G5" s="18"/>
      <c r="H5" s="18"/>
      <c r="I5" s="19"/>
      <c r="J5" s="19">
        <v>1</v>
      </c>
      <c r="K5" s="19"/>
      <c r="L5" s="19"/>
      <c r="M5" s="19"/>
      <c r="N5" s="19"/>
      <c r="O5" s="19"/>
      <c r="P5" s="19">
        <v>1</v>
      </c>
      <c r="Q5" s="19"/>
      <c r="R5" s="19"/>
      <c r="S5" s="19"/>
      <c r="T5" s="21">
        <f t="shared" si="2"/>
        <v>0</v>
      </c>
      <c r="U5" s="21">
        <f t="shared" si="3"/>
        <v>0</v>
      </c>
      <c r="V5" s="21">
        <f t="shared" si="4"/>
        <v>0</v>
      </c>
      <c r="W5" s="21">
        <f t="shared" si="5"/>
        <v>0</v>
      </c>
      <c r="X5" s="21">
        <f t="shared" si="6"/>
        <v>0</v>
      </c>
      <c r="Y5" s="21">
        <f t="shared" si="7"/>
        <v>145.9</v>
      </c>
      <c r="Z5" s="21">
        <f t="shared" si="8"/>
        <v>0</v>
      </c>
      <c r="AA5" s="21">
        <f t="shared" si="9"/>
        <v>0</v>
      </c>
      <c r="AB5" s="21">
        <f t="shared" si="10"/>
        <v>0</v>
      </c>
      <c r="AC5" s="21">
        <f t="shared" ref="AC5" si="18">$D5*N5</f>
        <v>0</v>
      </c>
      <c r="AD5" s="21">
        <f t="shared" si="12"/>
        <v>0</v>
      </c>
      <c r="AE5" s="21">
        <f t="shared" si="13"/>
        <v>145.9</v>
      </c>
      <c r="AF5" s="21">
        <f t="shared" si="14"/>
        <v>0</v>
      </c>
      <c r="AG5" s="21">
        <f t="shared" si="15"/>
        <v>0</v>
      </c>
      <c r="AH5" s="21">
        <f t="shared" si="16"/>
        <v>0</v>
      </c>
      <c r="AI5" s="22">
        <f t="shared" si="17"/>
        <v>1.7300053358629278E-2</v>
      </c>
      <c r="AJ5" s="21">
        <f t="shared" ref="AJ5:AJ13" si="19">SUM(T5:AH5)</f>
        <v>291.8</v>
      </c>
    </row>
    <row r="6" spans="1:42" ht="14.6" x14ac:dyDescent="0.4">
      <c r="A6" s="7">
        <v>3</v>
      </c>
      <c r="B6" s="8" t="s">
        <v>70</v>
      </c>
      <c r="C6" s="185" t="s">
        <v>71</v>
      </c>
      <c r="D6" s="9">
        <f>VLOOKUP(C6,'[1]PREÇO ATUAL'!$A:$D,4,0)</f>
        <v>71.2</v>
      </c>
      <c r="E6" s="10">
        <v>1</v>
      </c>
      <c r="F6" s="10">
        <v>1</v>
      </c>
      <c r="G6" s="10">
        <v>1</v>
      </c>
      <c r="H6" s="10">
        <v>1</v>
      </c>
      <c r="I6" s="11">
        <v>1</v>
      </c>
      <c r="J6" s="11">
        <v>1</v>
      </c>
      <c r="K6" s="11">
        <v>1</v>
      </c>
      <c r="L6" s="11">
        <v>1</v>
      </c>
      <c r="M6" s="11">
        <v>1</v>
      </c>
      <c r="N6" s="12">
        <v>1</v>
      </c>
      <c r="O6" s="11">
        <v>1</v>
      </c>
      <c r="P6" s="11">
        <v>1</v>
      </c>
      <c r="Q6" s="11">
        <v>1</v>
      </c>
      <c r="R6" s="10">
        <v>1</v>
      </c>
      <c r="S6" s="11">
        <v>1</v>
      </c>
      <c r="T6" s="13">
        <f t="shared" si="2"/>
        <v>71.2</v>
      </c>
      <c r="U6" s="13">
        <f t="shared" si="3"/>
        <v>71.2</v>
      </c>
      <c r="V6" s="13">
        <f t="shared" si="4"/>
        <v>71.2</v>
      </c>
      <c r="W6" s="13">
        <f t="shared" si="5"/>
        <v>71.2</v>
      </c>
      <c r="X6" s="13">
        <f t="shared" si="6"/>
        <v>71.2</v>
      </c>
      <c r="Y6" s="13">
        <f t="shared" si="7"/>
        <v>71.2</v>
      </c>
      <c r="Z6" s="13">
        <f t="shared" si="8"/>
        <v>71.2</v>
      </c>
      <c r="AA6" s="13">
        <f t="shared" si="9"/>
        <v>71.2</v>
      </c>
      <c r="AB6" s="13">
        <f t="shared" si="10"/>
        <v>71.2</v>
      </c>
      <c r="AC6" s="13">
        <f t="shared" ref="AC6" si="20">$D6*N6</f>
        <v>71.2</v>
      </c>
      <c r="AD6" s="13">
        <f t="shared" si="12"/>
        <v>71.2</v>
      </c>
      <c r="AE6" s="13">
        <f t="shared" si="13"/>
        <v>71.2</v>
      </c>
      <c r="AF6" s="13">
        <f t="shared" si="14"/>
        <v>71.2</v>
      </c>
      <c r="AG6" s="13">
        <f t="shared" si="15"/>
        <v>71.2</v>
      </c>
      <c r="AH6" s="13">
        <f t="shared" si="16"/>
        <v>71.2</v>
      </c>
      <c r="AI6" s="14">
        <f t="shared" si="17"/>
        <v>6.3318906740973513E-2</v>
      </c>
      <c r="AJ6" s="13">
        <f t="shared" si="19"/>
        <v>1068.0000000000002</v>
      </c>
    </row>
    <row r="7" spans="1:42" ht="14.6" x14ac:dyDescent="0.4">
      <c r="A7" s="15">
        <v>4</v>
      </c>
      <c r="B7" s="16" t="s">
        <v>72</v>
      </c>
      <c r="C7" s="186" t="s">
        <v>25</v>
      </c>
      <c r="D7" s="17">
        <f>VLOOKUP(C7,'[1]PREÇO ATUAL'!$A:$D,4,0)</f>
        <v>35.9</v>
      </c>
      <c r="E7" s="18"/>
      <c r="F7" s="18">
        <v>1</v>
      </c>
      <c r="G7" s="18"/>
      <c r="H7" s="18">
        <v>1</v>
      </c>
      <c r="I7" s="19"/>
      <c r="J7" s="19">
        <v>1</v>
      </c>
      <c r="K7" s="19"/>
      <c r="L7" s="19">
        <v>1</v>
      </c>
      <c r="M7" s="19"/>
      <c r="N7" s="20">
        <v>1</v>
      </c>
      <c r="O7" s="19"/>
      <c r="P7" s="19">
        <v>1</v>
      </c>
      <c r="Q7" s="19"/>
      <c r="R7" s="18">
        <v>1</v>
      </c>
      <c r="S7" s="19"/>
      <c r="T7" s="21">
        <f t="shared" si="2"/>
        <v>0</v>
      </c>
      <c r="U7" s="21">
        <f t="shared" si="3"/>
        <v>35.9</v>
      </c>
      <c r="V7" s="21">
        <f t="shared" si="4"/>
        <v>0</v>
      </c>
      <c r="W7" s="21">
        <f t="shared" si="5"/>
        <v>35.9</v>
      </c>
      <c r="X7" s="21">
        <f t="shared" si="6"/>
        <v>0</v>
      </c>
      <c r="Y7" s="21">
        <f t="shared" si="7"/>
        <v>35.9</v>
      </c>
      <c r="Z7" s="21">
        <f t="shared" si="8"/>
        <v>0</v>
      </c>
      <c r="AA7" s="21">
        <f t="shared" si="9"/>
        <v>35.9</v>
      </c>
      <c r="AB7" s="21">
        <f t="shared" si="10"/>
        <v>0</v>
      </c>
      <c r="AC7" s="21">
        <f t="shared" ref="AC7" si="21">$D7*N7</f>
        <v>35.9</v>
      </c>
      <c r="AD7" s="21">
        <f t="shared" si="12"/>
        <v>0</v>
      </c>
      <c r="AE7" s="21">
        <f t="shared" si="13"/>
        <v>35.9</v>
      </c>
      <c r="AF7" s="21">
        <f t="shared" si="14"/>
        <v>0</v>
      </c>
      <c r="AG7" s="21">
        <f t="shared" si="15"/>
        <v>35.9</v>
      </c>
      <c r="AH7" s="21">
        <f t="shared" si="16"/>
        <v>0</v>
      </c>
      <c r="AI7" s="22">
        <f t="shared" si="17"/>
        <v>1.4898915041204721E-2</v>
      </c>
      <c r="AJ7" s="21">
        <f t="shared" si="19"/>
        <v>251.3</v>
      </c>
    </row>
    <row r="8" spans="1:42" ht="14.6" x14ac:dyDescent="0.4">
      <c r="A8" s="7">
        <v>5</v>
      </c>
      <c r="B8" s="8" t="s">
        <v>73</v>
      </c>
      <c r="C8" s="185" t="s">
        <v>74</v>
      </c>
      <c r="D8" s="9">
        <f>VLOOKUP(C8,'[1]PREÇO ATUAL'!$A:$D,4,0)</f>
        <v>86.9</v>
      </c>
      <c r="E8" s="10"/>
      <c r="F8" s="10">
        <v>1</v>
      </c>
      <c r="G8" s="10"/>
      <c r="H8" s="10">
        <v>1</v>
      </c>
      <c r="I8" s="11"/>
      <c r="J8" s="11">
        <v>1</v>
      </c>
      <c r="K8" s="11"/>
      <c r="L8" s="11">
        <v>1</v>
      </c>
      <c r="M8" s="11"/>
      <c r="N8" s="12">
        <v>1</v>
      </c>
      <c r="O8" s="11"/>
      <c r="P8" s="11">
        <v>1</v>
      </c>
      <c r="Q8" s="11"/>
      <c r="R8" s="10">
        <v>1</v>
      </c>
      <c r="S8" s="11"/>
      <c r="T8" s="13">
        <f t="shared" si="2"/>
        <v>0</v>
      </c>
      <c r="U8" s="13">
        <f t="shared" si="3"/>
        <v>86.9</v>
      </c>
      <c r="V8" s="13">
        <f t="shared" si="4"/>
        <v>0</v>
      </c>
      <c r="W8" s="13">
        <f t="shared" si="5"/>
        <v>86.9</v>
      </c>
      <c r="X8" s="13">
        <f t="shared" si="6"/>
        <v>0</v>
      </c>
      <c r="Y8" s="13">
        <f t="shared" si="7"/>
        <v>86.9</v>
      </c>
      <c r="Z8" s="13">
        <f t="shared" si="8"/>
        <v>0</v>
      </c>
      <c r="AA8" s="13">
        <f t="shared" si="9"/>
        <v>86.9</v>
      </c>
      <c r="AB8" s="13">
        <f t="shared" si="10"/>
        <v>0</v>
      </c>
      <c r="AC8" s="13">
        <f t="shared" ref="AC8" si="22">$D8*N8</f>
        <v>86.9</v>
      </c>
      <c r="AD8" s="13">
        <f t="shared" si="12"/>
        <v>0</v>
      </c>
      <c r="AE8" s="13">
        <f t="shared" si="13"/>
        <v>86.9</v>
      </c>
      <c r="AF8" s="13">
        <f t="shared" si="14"/>
        <v>0</v>
      </c>
      <c r="AG8" s="13">
        <f t="shared" si="15"/>
        <v>86.9</v>
      </c>
      <c r="AH8" s="13">
        <f t="shared" si="16"/>
        <v>0</v>
      </c>
      <c r="AI8" s="14">
        <f t="shared" si="17"/>
        <v>3.6064504654058215E-2</v>
      </c>
      <c r="AJ8" s="13">
        <f>SUM(T8:AH8)</f>
        <v>608.29999999999995</v>
      </c>
    </row>
    <row r="9" spans="1:42" ht="14.6" x14ac:dyDescent="0.4">
      <c r="A9" s="15">
        <v>6</v>
      </c>
      <c r="B9" s="16" t="s">
        <v>75</v>
      </c>
      <c r="C9" s="186" t="s">
        <v>76</v>
      </c>
      <c r="D9" s="17">
        <f>VLOOKUP(C9,'[1]PREÇO ATUAL'!$A:$D,4,0)</f>
        <v>139.9</v>
      </c>
      <c r="E9" s="18"/>
      <c r="F9" s="18"/>
      <c r="G9" s="18"/>
      <c r="H9" s="18"/>
      <c r="I9" s="19"/>
      <c r="J9" s="19">
        <v>1</v>
      </c>
      <c r="K9" s="19"/>
      <c r="L9" s="19"/>
      <c r="M9" s="19"/>
      <c r="N9" s="19"/>
      <c r="O9" s="19"/>
      <c r="P9" s="19">
        <v>1</v>
      </c>
      <c r="Q9" s="19"/>
      <c r="R9" s="19"/>
      <c r="S9" s="19"/>
      <c r="T9" s="21">
        <f t="shared" si="2"/>
        <v>0</v>
      </c>
      <c r="U9" s="21">
        <f t="shared" si="3"/>
        <v>0</v>
      </c>
      <c r="V9" s="21">
        <f t="shared" si="4"/>
        <v>0</v>
      </c>
      <c r="W9" s="21">
        <f t="shared" si="5"/>
        <v>0</v>
      </c>
      <c r="X9" s="21">
        <f t="shared" si="6"/>
        <v>0</v>
      </c>
      <c r="Y9" s="21">
        <f t="shared" si="7"/>
        <v>139.9</v>
      </c>
      <c r="Z9" s="21">
        <f t="shared" si="8"/>
        <v>0</v>
      </c>
      <c r="AA9" s="21">
        <f t="shared" si="9"/>
        <v>0</v>
      </c>
      <c r="AB9" s="21">
        <f t="shared" si="10"/>
        <v>0</v>
      </c>
      <c r="AC9" s="21">
        <f t="shared" ref="AC9" si="23">$D9*N9</f>
        <v>0</v>
      </c>
      <c r="AD9" s="21">
        <f t="shared" si="12"/>
        <v>0</v>
      </c>
      <c r="AE9" s="21">
        <f t="shared" si="13"/>
        <v>139.9</v>
      </c>
      <c r="AF9" s="21">
        <f t="shared" si="14"/>
        <v>0</v>
      </c>
      <c r="AG9" s="21">
        <f t="shared" si="15"/>
        <v>0</v>
      </c>
      <c r="AH9" s="21">
        <f t="shared" si="16"/>
        <v>0</v>
      </c>
      <c r="AI9" s="22">
        <f t="shared" si="17"/>
        <v>1.6588604968281261E-2</v>
      </c>
      <c r="AJ9" s="21">
        <f t="shared" si="19"/>
        <v>279.8</v>
      </c>
    </row>
    <row r="10" spans="1:42" ht="14.6" x14ac:dyDescent="0.4">
      <c r="A10" s="7">
        <v>7</v>
      </c>
      <c r="B10" s="8" t="s">
        <v>77</v>
      </c>
      <c r="C10" s="185" t="s">
        <v>78</v>
      </c>
      <c r="D10" s="9">
        <f>VLOOKUP(C10,'[1]PREÇO ATUAL'!$A:$D,4,0)</f>
        <v>27.9</v>
      </c>
      <c r="E10" s="10"/>
      <c r="F10" s="10"/>
      <c r="G10" s="10"/>
      <c r="H10" s="10"/>
      <c r="I10" s="11"/>
      <c r="J10" s="11">
        <v>1</v>
      </c>
      <c r="K10" s="11"/>
      <c r="L10" s="11"/>
      <c r="M10" s="11"/>
      <c r="N10" s="11"/>
      <c r="O10" s="11"/>
      <c r="P10" s="11"/>
      <c r="Q10" s="11"/>
      <c r="R10" s="11"/>
      <c r="S10" s="11"/>
      <c r="T10" s="13">
        <f t="shared" si="2"/>
        <v>0</v>
      </c>
      <c r="U10" s="13">
        <f t="shared" si="3"/>
        <v>0</v>
      </c>
      <c r="V10" s="13">
        <f t="shared" si="4"/>
        <v>0</v>
      </c>
      <c r="W10" s="13">
        <f t="shared" si="5"/>
        <v>0</v>
      </c>
      <c r="X10" s="13">
        <f t="shared" si="6"/>
        <v>0</v>
      </c>
      <c r="Y10" s="13">
        <f t="shared" si="7"/>
        <v>27.9</v>
      </c>
      <c r="Z10" s="13">
        <f t="shared" si="8"/>
        <v>0</v>
      </c>
      <c r="AA10" s="13">
        <f t="shared" si="9"/>
        <v>0</v>
      </c>
      <c r="AB10" s="13">
        <f t="shared" si="10"/>
        <v>0</v>
      </c>
      <c r="AC10" s="13">
        <f t="shared" ref="AC10" si="24">$D10*N10</f>
        <v>0</v>
      </c>
      <c r="AD10" s="13">
        <f t="shared" si="12"/>
        <v>0</v>
      </c>
      <c r="AE10" s="13">
        <f t="shared" si="13"/>
        <v>0</v>
      </c>
      <c r="AF10" s="13">
        <f t="shared" si="14"/>
        <v>0</v>
      </c>
      <c r="AG10" s="13">
        <f t="shared" si="15"/>
        <v>0</v>
      </c>
      <c r="AH10" s="13">
        <f t="shared" si="16"/>
        <v>0</v>
      </c>
      <c r="AI10" s="14">
        <f t="shared" si="17"/>
        <v>1.6541175075591391E-3</v>
      </c>
      <c r="AJ10" s="13">
        <f t="shared" si="19"/>
        <v>27.9</v>
      </c>
    </row>
    <row r="11" spans="1:42" ht="14.6" x14ac:dyDescent="0.4">
      <c r="A11" s="15">
        <v>8</v>
      </c>
      <c r="B11" s="16" t="s">
        <v>63</v>
      </c>
      <c r="C11" s="186" t="s">
        <v>64</v>
      </c>
      <c r="D11" s="17">
        <f>VLOOKUP(C11,'[1]PREÇO ATUAL'!$A:$D,4,0)</f>
        <v>98.56222158238279</v>
      </c>
      <c r="E11" s="24">
        <v>2.7</v>
      </c>
      <c r="F11" s="24">
        <v>2.7</v>
      </c>
      <c r="G11" s="24">
        <v>2.7</v>
      </c>
      <c r="H11" s="24">
        <v>2.7</v>
      </c>
      <c r="I11" s="17">
        <v>2.7</v>
      </c>
      <c r="J11" s="17">
        <v>2.7</v>
      </c>
      <c r="K11" s="17">
        <v>2.7</v>
      </c>
      <c r="L11" s="17">
        <v>2.7</v>
      </c>
      <c r="M11" s="17">
        <v>2.7</v>
      </c>
      <c r="N11" s="17">
        <v>2.7</v>
      </c>
      <c r="O11" s="17">
        <v>2.7</v>
      </c>
      <c r="P11" s="17">
        <v>2.7</v>
      </c>
      <c r="Q11" s="17">
        <v>2.7</v>
      </c>
      <c r="R11" s="17">
        <v>2.7</v>
      </c>
      <c r="S11" s="17">
        <v>2.7</v>
      </c>
      <c r="T11" s="21">
        <f t="shared" si="2"/>
        <v>266.11799827243357</v>
      </c>
      <c r="U11" s="21">
        <f t="shared" si="3"/>
        <v>266.11799827243357</v>
      </c>
      <c r="V11" s="21">
        <f t="shared" si="4"/>
        <v>266.11799827243357</v>
      </c>
      <c r="W11" s="21">
        <f t="shared" si="5"/>
        <v>266.11799827243357</v>
      </c>
      <c r="X11" s="21">
        <f t="shared" si="6"/>
        <v>266.11799827243357</v>
      </c>
      <c r="Y11" s="21">
        <f t="shared" si="7"/>
        <v>266.11799827243357</v>
      </c>
      <c r="Z11" s="21">
        <f t="shared" si="8"/>
        <v>266.11799827243357</v>
      </c>
      <c r="AA11" s="21">
        <f t="shared" si="9"/>
        <v>266.11799827243357</v>
      </c>
      <c r="AB11" s="21">
        <f t="shared" si="10"/>
        <v>266.11799827243357</v>
      </c>
      <c r="AC11" s="21">
        <f t="shared" ref="AC11" si="25">$D11*N11</f>
        <v>266.11799827243357</v>
      </c>
      <c r="AD11" s="21">
        <f t="shared" si="12"/>
        <v>266.11799827243357</v>
      </c>
      <c r="AE11" s="21">
        <f t="shared" si="13"/>
        <v>266.11799827243357</v>
      </c>
      <c r="AF11" s="21">
        <f t="shared" si="14"/>
        <v>266.11799827243357</v>
      </c>
      <c r="AG11" s="21">
        <f t="shared" si="15"/>
        <v>266.11799827243357</v>
      </c>
      <c r="AH11" s="21">
        <f t="shared" si="16"/>
        <v>266.11799827243357</v>
      </c>
      <c r="AI11" s="22">
        <f t="shared" si="17"/>
        <v>0.23666152689194891</v>
      </c>
      <c r="AJ11" s="21">
        <f t="shared" si="19"/>
        <v>3991.7699740865023</v>
      </c>
      <c r="AP11" s="39"/>
    </row>
    <row r="12" spans="1:42" ht="14.6" x14ac:dyDescent="0.4">
      <c r="A12" s="7">
        <v>9</v>
      </c>
      <c r="B12" s="8" t="s">
        <v>34</v>
      </c>
      <c r="C12" s="185" t="s">
        <v>35</v>
      </c>
      <c r="D12" s="9">
        <f>VLOOKUP(C12,'[1]PREÇO ATUAL'!$A:$D,4,0)</f>
        <v>33.622493083850472</v>
      </c>
      <c r="E12" s="10"/>
      <c r="F12" s="10"/>
      <c r="G12" s="10"/>
      <c r="H12" s="10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>
        <f t="shared" si="2"/>
        <v>0</v>
      </c>
      <c r="U12" s="13">
        <f t="shared" si="3"/>
        <v>0</v>
      </c>
      <c r="V12" s="13">
        <f t="shared" si="4"/>
        <v>0</v>
      </c>
      <c r="W12" s="13">
        <f t="shared" si="5"/>
        <v>0</v>
      </c>
      <c r="X12" s="13">
        <f t="shared" si="6"/>
        <v>0</v>
      </c>
      <c r="Y12" s="13">
        <f t="shared" si="7"/>
        <v>0</v>
      </c>
      <c r="Z12" s="13">
        <f t="shared" si="8"/>
        <v>0</v>
      </c>
      <c r="AA12" s="13">
        <f t="shared" si="9"/>
        <v>0</v>
      </c>
      <c r="AB12" s="13">
        <f t="shared" si="10"/>
        <v>0</v>
      </c>
      <c r="AC12" s="13">
        <f t="shared" ref="AC12" si="26">$D12*N12</f>
        <v>0</v>
      </c>
      <c r="AD12" s="13">
        <f t="shared" si="12"/>
        <v>0</v>
      </c>
      <c r="AE12" s="13">
        <f t="shared" si="13"/>
        <v>0</v>
      </c>
      <c r="AF12" s="13">
        <f t="shared" si="14"/>
        <v>0</v>
      </c>
      <c r="AG12" s="13">
        <f t="shared" si="15"/>
        <v>0</v>
      </c>
      <c r="AH12" s="13">
        <f t="shared" si="16"/>
        <v>0</v>
      </c>
      <c r="AI12" s="14">
        <f t="shared" si="17"/>
        <v>0</v>
      </c>
      <c r="AJ12" s="13">
        <f t="shared" si="19"/>
        <v>0</v>
      </c>
      <c r="AP12" s="39"/>
    </row>
    <row r="13" spans="1:42" ht="14.6" x14ac:dyDescent="0.4">
      <c r="A13" s="15">
        <v>10</v>
      </c>
      <c r="B13" s="16" t="s">
        <v>38</v>
      </c>
      <c r="C13" s="186" t="s">
        <v>39</v>
      </c>
      <c r="D13" s="17">
        <f>VLOOKUP(C13,'[1]PREÇO ATUAL'!$A:$D,4,0)</f>
        <v>342</v>
      </c>
      <c r="E13" s="28">
        <v>0.95</v>
      </c>
      <c r="F13" s="28">
        <v>1.2</v>
      </c>
      <c r="G13" s="28">
        <v>2.1</v>
      </c>
      <c r="H13" s="28">
        <v>1.5</v>
      </c>
      <c r="I13" s="29">
        <v>1.1499999999999999</v>
      </c>
      <c r="J13" s="29">
        <v>4.4000000000000004</v>
      </c>
      <c r="K13" s="29">
        <v>0.95</v>
      </c>
      <c r="L13" s="29">
        <v>1.5</v>
      </c>
      <c r="M13" s="29">
        <v>2.1</v>
      </c>
      <c r="N13" s="29">
        <v>1.55</v>
      </c>
      <c r="O13" s="17" t="s">
        <v>121</v>
      </c>
      <c r="P13" s="17">
        <v>4.9499999999999993</v>
      </c>
      <c r="Q13" s="17" t="s">
        <v>121</v>
      </c>
      <c r="R13" s="17" t="s">
        <v>122</v>
      </c>
      <c r="S13" s="17" t="s">
        <v>123</v>
      </c>
      <c r="T13" s="21">
        <f>D13*E13</f>
        <v>324.89999999999998</v>
      </c>
      <c r="U13" s="21">
        <f t="shared" ref="U13:AB13" si="27">$D13*F13</f>
        <v>410.4</v>
      </c>
      <c r="V13" s="21">
        <f t="shared" si="27"/>
        <v>718.2</v>
      </c>
      <c r="W13" s="21">
        <f t="shared" si="27"/>
        <v>513</v>
      </c>
      <c r="X13" s="21">
        <f t="shared" si="27"/>
        <v>393.29999999999995</v>
      </c>
      <c r="Y13" s="21">
        <f t="shared" si="27"/>
        <v>1504.8000000000002</v>
      </c>
      <c r="Z13" s="21">
        <f t="shared" si="27"/>
        <v>324.89999999999998</v>
      </c>
      <c r="AA13" s="21">
        <f t="shared" si="27"/>
        <v>513</v>
      </c>
      <c r="AB13" s="21">
        <f t="shared" si="27"/>
        <v>718.2</v>
      </c>
      <c r="AC13" s="21">
        <f t="shared" ref="AC13" si="28">$D13*N13</f>
        <v>530.1</v>
      </c>
      <c r="AD13" s="21">
        <f t="shared" si="12"/>
        <v>324.89999999999998</v>
      </c>
      <c r="AE13" s="21">
        <f t="shared" si="13"/>
        <v>1692.8999999999999</v>
      </c>
      <c r="AF13" s="21">
        <f t="shared" si="14"/>
        <v>324.89999999999998</v>
      </c>
      <c r="AG13" s="21">
        <f t="shared" si="15"/>
        <v>410.4</v>
      </c>
      <c r="AH13" s="21">
        <f t="shared" si="16"/>
        <v>786.59999999999991</v>
      </c>
      <c r="AI13" s="22">
        <f t="shared" si="17"/>
        <v>0.56266674571648778</v>
      </c>
      <c r="AJ13" s="21">
        <f t="shared" si="19"/>
        <v>9490.5</v>
      </c>
    </row>
    <row r="14" spans="1:42" ht="14.6" x14ac:dyDescent="0.4"/>
    <row r="15" spans="1:42" ht="15" customHeight="1" x14ac:dyDescent="0.4">
      <c r="A15" s="222" t="s">
        <v>124</v>
      </c>
      <c r="B15" s="239"/>
      <c r="C15" s="239"/>
      <c r="D15" s="245"/>
      <c r="E15" s="126" t="s">
        <v>3</v>
      </c>
      <c r="F15" s="133"/>
      <c r="G15" s="133"/>
      <c r="H15" s="133"/>
      <c r="I15" s="133"/>
      <c r="J15" s="133"/>
      <c r="K15" s="133"/>
      <c r="L15" s="133"/>
      <c r="M15" s="133"/>
      <c r="N15" s="134"/>
      <c r="O15" s="133"/>
      <c r="P15" s="133"/>
      <c r="Q15" s="133"/>
      <c r="R15" s="133"/>
      <c r="S15" s="133"/>
      <c r="T15" s="125" t="s">
        <v>4</v>
      </c>
      <c r="U15" s="125"/>
      <c r="V15" s="125"/>
      <c r="W15" s="125"/>
      <c r="X15" s="125"/>
      <c r="Y15" s="125"/>
      <c r="Z15" s="125"/>
      <c r="AA15" s="125"/>
      <c r="AB15" s="125"/>
      <c r="AC15" s="125"/>
      <c r="AD15" s="147"/>
      <c r="AE15" s="147"/>
      <c r="AF15" s="147"/>
      <c r="AG15" s="147"/>
      <c r="AH15" s="147"/>
      <c r="AI15" s="219" t="s">
        <v>5</v>
      </c>
      <c r="AJ15" s="220"/>
    </row>
    <row r="16" spans="1:42" ht="14.6" x14ac:dyDescent="0.4">
      <c r="A16" s="240"/>
      <c r="B16" s="241"/>
      <c r="C16" s="241"/>
      <c r="D16" s="246"/>
      <c r="E16" s="130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2">
        <f>MROUND(SUM(T18:T28),1)</f>
        <v>594</v>
      </c>
      <c r="U16" s="2">
        <f t="shared" ref="U16:AC16" si="29">MROUND(SUM(U18:U28),1)</f>
        <v>785</v>
      </c>
      <c r="V16" s="2">
        <f t="shared" si="29"/>
        <v>1193</v>
      </c>
      <c r="W16" s="2">
        <f t="shared" si="29"/>
        <v>990</v>
      </c>
      <c r="X16" s="2">
        <f t="shared" si="29"/>
        <v>645</v>
      </c>
      <c r="Y16" s="2">
        <f t="shared" si="29"/>
        <v>2348</v>
      </c>
      <c r="Z16" s="2">
        <f t="shared" si="29"/>
        <v>594</v>
      </c>
      <c r="AA16" s="2">
        <f t="shared" si="29"/>
        <v>836</v>
      </c>
      <c r="AB16" s="2">
        <f t="shared" si="29"/>
        <v>1193</v>
      </c>
      <c r="AC16" s="2">
        <f t="shared" si="29"/>
        <v>990</v>
      </c>
      <c r="AD16" s="2">
        <f t="shared" ref="AD16:AH16" si="30">MROUND(SUM(AD18:AD28),1)</f>
        <v>662</v>
      </c>
      <c r="AE16" s="2">
        <f>MROUND(SUM(AE18:AE28),1)</f>
        <v>2788</v>
      </c>
      <c r="AF16" s="2">
        <f t="shared" si="30"/>
        <v>662</v>
      </c>
      <c r="AG16" s="2">
        <f t="shared" si="30"/>
        <v>871</v>
      </c>
      <c r="AH16" s="2">
        <f t="shared" si="30"/>
        <v>1296</v>
      </c>
      <c r="AI16" s="221">
        <f>SUM(T16:AH16)</f>
        <v>16447</v>
      </c>
      <c r="AJ16" s="220"/>
    </row>
    <row r="17" spans="1:36" ht="14.6" x14ac:dyDescent="0.4">
      <c r="A17" s="3" t="s">
        <v>6</v>
      </c>
      <c r="B17" s="3" t="s">
        <v>7</v>
      </c>
      <c r="C17" s="184" t="s">
        <v>8</v>
      </c>
      <c r="D17" s="4" t="s">
        <v>9</v>
      </c>
      <c r="E17" s="5" t="s">
        <v>10</v>
      </c>
      <c r="F17" s="5" t="s">
        <v>11</v>
      </c>
      <c r="G17" s="5" t="s">
        <v>12</v>
      </c>
      <c r="H17" s="5" t="s">
        <v>13</v>
      </c>
      <c r="I17" s="5" t="s">
        <v>14</v>
      </c>
      <c r="J17" s="5" t="s">
        <v>15</v>
      </c>
      <c r="K17" s="5" t="s">
        <v>16</v>
      </c>
      <c r="L17" s="5" t="s">
        <v>17</v>
      </c>
      <c r="M17" s="5" t="s">
        <v>18</v>
      </c>
      <c r="N17" s="5" t="s">
        <v>19</v>
      </c>
      <c r="O17" s="5" t="s">
        <v>116</v>
      </c>
      <c r="P17" s="5" t="s">
        <v>117</v>
      </c>
      <c r="Q17" s="5" t="s">
        <v>118</v>
      </c>
      <c r="R17" s="5" t="s">
        <v>119</v>
      </c>
      <c r="S17" s="5" t="s">
        <v>120</v>
      </c>
      <c r="T17" s="5">
        <v>10000</v>
      </c>
      <c r="U17" s="5">
        <v>20000</v>
      </c>
      <c r="V17" s="5">
        <v>30000</v>
      </c>
      <c r="W17" s="5">
        <v>40000</v>
      </c>
      <c r="X17" s="5">
        <v>50000</v>
      </c>
      <c r="Y17" s="5">
        <v>60000</v>
      </c>
      <c r="Z17" s="5">
        <v>70000</v>
      </c>
      <c r="AA17" s="5">
        <v>80000</v>
      </c>
      <c r="AB17" s="5">
        <v>90000</v>
      </c>
      <c r="AC17" s="5">
        <v>100000</v>
      </c>
      <c r="AD17" s="5">
        <f>AC17+10000</f>
        <v>110000</v>
      </c>
      <c r="AE17" s="5">
        <f t="shared" ref="AE17:AH17" si="31">AD17+10000</f>
        <v>120000</v>
      </c>
      <c r="AF17" s="5">
        <f t="shared" si="31"/>
        <v>130000</v>
      </c>
      <c r="AG17" s="5">
        <f t="shared" si="31"/>
        <v>140000</v>
      </c>
      <c r="AH17" s="5">
        <f t="shared" si="31"/>
        <v>150000</v>
      </c>
      <c r="AI17" s="6" t="s">
        <v>20</v>
      </c>
      <c r="AJ17" s="3" t="s">
        <v>21</v>
      </c>
    </row>
    <row r="18" spans="1:36" ht="14.6" x14ac:dyDescent="0.4">
      <c r="A18" s="7">
        <v>1</v>
      </c>
      <c r="B18" s="8" t="s">
        <v>70</v>
      </c>
      <c r="C18" s="185" t="s">
        <v>71</v>
      </c>
      <c r="D18" s="9">
        <f>VLOOKUP(C18,'[1]PREÇO ATUAL'!$A:$D,4,0)</f>
        <v>71.2</v>
      </c>
      <c r="E18" s="10">
        <v>1</v>
      </c>
      <c r="F18" s="10">
        <v>1</v>
      </c>
      <c r="G18" s="10">
        <v>1</v>
      </c>
      <c r="H18" s="10">
        <v>1</v>
      </c>
      <c r="I18" s="11">
        <v>1</v>
      </c>
      <c r="J18" s="11">
        <v>1</v>
      </c>
      <c r="K18" s="11">
        <v>1</v>
      </c>
      <c r="L18" s="11">
        <v>1</v>
      </c>
      <c r="M18" s="11">
        <v>1</v>
      </c>
      <c r="N18" s="12">
        <v>1</v>
      </c>
      <c r="O18" s="11">
        <v>1</v>
      </c>
      <c r="P18" s="11">
        <v>1</v>
      </c>
      <c r="Q18" s="11">
        <v>1</v>
      </c>
      <c r="R18" s="10">
        <v>1</v>
      </c>
      <c r="S18" s="11">
        <v>1</v>
      </c>
      <c r="T18" s="13">
        <f t="shared" ref="T18:T27" si="32">$D18*E18</f>
        <v>71.2</v>
      </c>
      <c r="U18" s="13">
        <f t="shared" ref="U18:U27" si="33">$D18*F18</f>
        <v>71.2</v>
      </c>
      <c r="V18" s="13">
        <f t="shared" ref="V18:V27" si="34">$D18*G18</f>
        <v>71.2</v>
      </c>
      <c r="W18" s="13">
        <f t="shared" ref="W18:W27" si="35">$D18*H18</f>
        <v>71.2</v>
      </c>
      <c r="X18" s="13">
        <f t="shared" ref="X18:X27" si="36">$D18*I18</f>
        <v>71.2</v>
      </c>
      <c r="Y18" s="13">
        <f t="shared" ref="Y18:Y27" si="37">$D18*J18</f>
        <v>71.2</v>
      </c>
      <c r="Z18" s="13">
        <f t="shared" ref="Z18:Z27" si="38">$D18*K18</f>
        <v>71.2</v>
      </c>
      <c r="AA18" s="13">
        <f t="shared" ref="AA18:AA27" si="39">$D18*L18</f>
        <v>71.2</v>
      </c>
      <c r="AB18" s="13">
        <f t="shared" ref="AB18:AB27" si="40">$D18*M18</f>
        <v>71.2</v>
      </c>
      <c r="AC18" s="13">
        <f t="shared" ref="AC18" si="41">$D18*N18</f>
        <v>71.2</v>
      </c>
      <c r="AD18" s="13">
        <f t="shared" ref="AD18:AD28" si="42">$D18*O18</f>
        <v>71.2</v>
      </c>
      <c r="AE18" s="13">
        <f t="shared" ref="AE18:AE28" si="43">$D18*P18</f>
        <v>71.2</v>
      </c>
      <c r="AF18" s="13">
        <f t="shared" ref="AF18:AF28" si="44">$D18*Q18</f>
        <v>71.2</v>
      </c>
      <c r="AG18" s="13">
        <f t="shared" ref="AG18:AG28" si="45">$D18*R18</f>
        <v>71.2</v>
      </c>
      <c r="AH18" s="13">
        <f t="shared" ref="AH18:AH28" si="46">$D18*S18</f>
        <v>71.2</v>
      </c>
      <c r="AI18" s="14">
        <f t="shared" ref="AI18:AI28" si="47">AJ18/$AI$16</f>
        <v>6.4935854563142228E-2</v>
      </c>
      <c r="AJ18" s="13">
        <f>SUM(T18:AH18)</f>
        <v>1068.0000000000002</v>
      </c>
    </row>
    <row r="19" spans="1:36" ht="14.6" x14ac:dyDescent="0.4">
      <c r="A19" s="15">
        <v>2</v>
      </c>
      <c r="B19" s="16" t="s">
        <v>72</v>
      </c>
      <c r="C19" s="186" t="s">
        <v>25</v>
      </c>
      <c r="D19" s="17">
        <f>VLOOKUP(C19,'[1]PREÇO ATUAL'!$A:$D,4,0)</f>
        <v>35.9</v>
      </c>
      <c r="E19" s="18"/>
      <c r="F19" s="18">
        <v>1</v>
      </c>
      <c r="G19" s="18"/>
      <c r="H19" s="18">
        <v>1</v>
      </c>
      <c r="I19" s="19"/>
      <c r="J19" s="19">
        <v>1</v>
      </c>
      <c r="K19" s="19"/>
      <c r="L19" s="19">
        <v>1</v>
      </c>
      <c r="M19" s="19"/>
      <c r="N19" s="20">
        <v>1</v>
      </c>
      <c r="O19" s="19"/>
      <c r="P19" s="19">
        <v>1</v>
      </c>
      <c r="Q19" s="19"/>
      <c r="R19" s="18">
        <v>1</v>
      </c>
      <c r="S19" s="19"/>
      <c r="T19" s="21">
        <f t="shared" si="32"/>
        <v>0</v>
      </c>
      <c r="U19" s="21">
        <f t="shared" si="33"/>
        <v>35.9</v>
      </c>
      <c r="V19" s="21">
        <f t="shared" si="34"/>
        <v>0</v>
      </c>
      <c r="W19" s="21">
        <f t="shared" si="35"/>
        <v>35.9</v>
      </c>
      <c r="X19" s="21">
        <f t="shared" si="36"/>
        <v>0</v>
      </c>
      <c r="Y19" s="21">
        <f t="shared" si="37"/>
        <v>35.9</v>
      </c>
      <c r="Z19" s="21">
        <f t="shared" si="38"/>
        <v>0</v>
      </c>
      <c r="AA19" s="21">
        <f t="shared" si="39"/>
        <v>35.9</v>
      </c>
      <c r="AB19" s="21">
        <f t="shared" si="40"/>
        <v>0</v>
      </c>
      <c r="AC19" s="21">
        <f t="shared" ref="AC19" si="48">$D19*N19</f>
        <v>35.9</v>
      </c>
      <c r="AD19" s="21">
        <f t="shared" si="42"/>
        <v>0</v>
      </c>
      <c r="AE19" s="21">
        <f t="shared" si="43"/>
        <v>35.9</v>
      </c>
      <c r="AF19" s="21">
        <f t="shared" si="44"/>
        <v>0</v>
      </c>
      <c r="AG19" s="21">
        <f t="shared" si="45"/>
        <v>35.9</v>
      </c>
      <c r="AH19" s="21">
        <f t="shared" si="46"/>
        <v>0</v>
      </c>
      <c r="AI19" s="22">
        <f t="shared" si="47"/>
        <v>1.5279382258162584E-2</v>
      </c>
      <c r="AJ19" s="21">
        <f t="shared" ref="AJ19:AJ28" si="49">SUM(T19:AH19)</f>
        <v>251.3</v>
      </c>
    </row>
    <row r="20" spans="1:36" ht="14.6" x14ac:dyDescent="0.4">
      <c r="A20" s="7">
        <v>3</v>
      </c>
      <c r="B20" s="8" t="s">
        <v>73</v>
      </c>
      <c r="C20" s="185" t="s">
        <v>74</v>
      </c>
      <c r="D20" s="9">
        <f>VLOOKUP(C20,'[1]PREÇO ATUAL'!$A:$D,4,0)</f>
        <v>86.9</v>
      </c>
      <c r="E20" s="10"/>
      <c r="F20" s="10">
        <v>1</v>
      </c>
      <c r="G20" s="10"/>
      <c r="H20" s="10">
        <v>1</v>
      </c>
      <c r="I20" s="11"/>
      <c r="J20" s="11">
        <v>1</v>
      </c>
      <c r="K20" s="11"/>
      <c r="L20" s="11">
        <v>1</v>
      </c>
      <c r="M20" s="11"/>
      <c r="N20" s="12">
        <v>1</v>
      </c>
      <c r="O20" s="11"/>
      <c r="P20" s="11">
        <v>1</v>
      </c>
      <c r="Q20" s="11"/>
      <c r="R20" s="10">
        <v>1</v>
      </c>
      <c r="S20" s="11"/>
      <c r="T20" s="13">
        <f t="shared" si="32"/>
        <v>0</v>
      </c>
      <c r="U20" s="13">
        <f t="shared" si="33"/>
        <v>86.9</v>
      </c>
      <c r="V20" s="13">
        <f t="shared" si="34"/>
        <v>0</v>
      </c>
      <c r="W20" s="13">
        <f t="shared" si="35"/>
        <v>86.9</v>
      </c>
      <c r="X20" s="13">
        <f t="shared" si="36"/>
        <v>0</v>
      </c>
      <c r="Y20" s="13">
        <f t="shared" si="37"/>
        <v>86.9</v>
      </c>
      <c r="Z20" s="13">
        <f t="shared" si="38"/>
        <v>0</v>
      </c>
      <c r="AA20" s="13">
        <f t="shared" si="39"/>
        <v>86.9</v>
      </c>
      <c r="AB20" s="13">
        <f t="shared" si="40"/>
        <v>0</v>
      </c>
      <c r="AC20" s="13">
        <f t="shared" ref="AC20" si="50">$D20*N20</f>
        <v>86.9</v>
      </c>
      <c r="AD20" s="13">
        <f t="shared" si="42"/>
        <v>0</v>
      </c>
      <c r="AE20" s="13">
        <f t="shared" si="43"/>
        <v>86.9</v>
      </c>
      <c r="AF20" s="13">
        <f t="shared" si="44"/>
        <v>0</v>
      </c>
      <c r="AG20" s="13">
        <f t="shared" si="45"/>
        <v>86.9</v>
      </c>
      <c r="AH20" s="13">
        <f t="shared" si="46"/>
        <v>0</v>
      </c>
      <c r="AI20" s="14">
        <f t="shared" si="47"/>
        <v>3.6985468474493827E-2</v>
      </c>
      <c r="AJ20" s="13">
        <f t="shared" si="49"/>
        <v>608.29999999999995</v>
      </c>
    </row>
    <row r="21" spans="1:36" ht="14.6" x14ac:dyDescent="0.4">
      <c r="A21" s="15">
        <v>4</v>
      </c>
      <c r="B21" s="16" t="s">
        <v>66</v>
      </c>
      <c r="C21" s="186" t="s">
        <v>95</v>
      </c>
      <c r="D21" s="17">
        <f>VLOOKUP(C21,'[1]PREÇO ATUAL'!$A:$D,4,0)</f>
        <v>42.9</v>
      </c>
      <c r="E21" s="18"/>
      <c r="F21" s="18"/>
      <c r="G21" s="18">
        <v>4</v>
      </c>
      <c r="H21" s="18"/>
      <c r="I21" s="19"/>
      <c r="J21" s="19">
        <v>4</v>
      </c>
      <c r="K21" s="19"/>
      <c r="L21" s="19"/>
      <c r="M21" s="19">
        <v>4</v>
      </c>
      <c r="N21" s="20"/>
      <c r="O21" s="19"/>
      <c r="P21" s="19">
        <v>4</v>
      </c>
      <c r="Q21" s="19"/>
      <c r="R21" s="19"/>
      <c r="S21" s="19">
        <v>4</v>
      </c>
      <c r="T21" s="21">
        <f t="shared" si="32"/>
        <v>0</v>
      </c>
      <c r="U21" s="21">
        <f t="shared" si="33"/>
        <v>0</v>
      </c>
      <c r="V21" s="21">
        <f t="shared" si="34"/>
        <v>171.6</v>
      </c>
      <c r="W21" s="21">
        <f t="shared" si="35"/>
        <v>0</v>
      </c>
      <c r="X21" s="21">
        <f t="shared" si="36"/>
        <v>0</v>
      </c>
      <c r="Y21" s="21">
        <f t="shared" si="37"/>
        <v>171.6</v>
      </c>
      <c r="Z21" s="21">
        <f t="shared" si="38"/>
        <v>0</v>
      </c>
      <c r="AA21" s="21">
        <f t="shared" si="39"/>
        <v>0</v>
      </c>
      <c r="AB21" s="21">
        <f t="shared" si="40"/>
        <v>171.6</v>
      </c>
      <c r="AC21" s="21">
        <f t="shared" ref="AC21" si="51">$D21*N21</f>
        <v>0</v>
      </c>
      <c r="AD21" s="21">
        <f t="shared" si="42"/>
        <v>0</v>
      </c>
      <c r="AE21" s="21">
        <f t="shared" si="43"/>
        <v>171.6</v>
      </c>
      <c r="AF21" s="21">
        <f t="shared" si="44"/>
        <v>0</v>
      </c>
      <c r="AG21" s="21">
        <f t="shared" si="45"/>
        <v>0</v>
      </c>
      <c r="AH21" s="21">
        <f t="shared" si="46"/>
        <v>171.6</v>
      </c>
      <c r="AI21" s="22">
        <f t="shared" si="47"/>
        <v>5.2167568553535597E-2</v>
      </c>
      <c r="AJ21" s="21">
        <f t="shared" si="49"/>
        <v>858</v>
      </c>
    </row>
    <row r="22" spans="1:36" ht="14.6" x14ac:dyDescent="0.4">
      <c r="A22" s="7">
        <v>5</v>
      </c>
      <c r="B22" s="8" t="s">
        <v>75</v>
      </c>
      <c r="C22" s="185" t="s">
        <v>76</v>
      </c>
      <c r="D22" s="9">
        <f>VLOOKUP(C22,'[1]PREÇO ATUAL'!$A:$D,4,0)</f>
        <v>139.9</v>
      </c>
      <c r="E22" s="10"/>
      <c r="F22" s="10"/>
      <c r="G22" s="10"/>
      <c r="H22" s="10"/>
      <c r="I22" s="11"/>
      <c r="J22" s="11">
        <v>1</v>
      </c>
      <c r="K22" s="11"/>
      <c r="L22" s="11"/>
      <c r="M22" s="11"/>
      <c r="N22" s="12"/>
      <c r="O22" s="11"/>
      <c r="P22" s="11">
        <v>1</v>
      </c>
      <c r="Q22" s="11"/>
      <c r="R22" s="11"/>
      <c r="S22" s="11"/>
      <c r="T22" s="13">
        <f t="shared" si="32"/>
        <v>0</v>
      </c>
      <c r="U22" s="13">
        <f t="shared" si="33"/>
        <v>0</v>
      </c>
      <c r="V22" s="13">
        <f t="shared" si="34"/>
        <v>0</v>
      </c>
      <c r="W22" s="13">
        <f t="shared" si="35"/>
        <v>0</v>
      </c>
      <c r="X22" s="13">
        <f t="shared" si="36"/>
        <v>0</v>
      </c>
      <c r="Y22" s="13">
        <f t="shared" si="37"/>
        <v>139.9</v>
      </c>
      <c r="Z22" s="13">
        <f t="shared" si="38"/>
        <v>0</v>
      </c>
      <c r="AA22" s="13">
        <f t="shared" si="39"/>
        <v>0</v>
      </c>
      <c r="AB22" s="13">
        <f t="shared" si="40"/>
        <v>0</v>
      </c>
      <c r="AC22" s="13">
        <f t="shared" ref="AC22" si="52">$D22*N22</f>
        <v>0</v>
      </c>
      <c r="AD22" s="13">
        <f t="shared" si="42"/>
        <v>0</v>
      </c>
      <c r="AE22" s="13">
        <f t="shared" si="43"/>
        <v>139.9</v>
      </c>
      <c r="AF22" s="13">
        <f t="shared" si="44"/>
        <v>0</v>
      </c>
      <c r="AG22" s="13">
        <f t="shared" si="45"/>
        <v>0</v>
      </c>
      <c r="AH22" s="13">
        <f t="shared" si="46"/>
        <v>0</v>
      </c>
      <c r="AI22" s="14">
        <f t="shared" si="47"/>
        <v>1.7012221073752054E-2</v>
      </c>
      <c r="AJ22" s="13">
        <f t="shared" si="49"/>
        <v>279.8</v>
      </c>
    </row>
    <row r="23" spans="1:36" ht="14.6" x14ac:dyDescent="0.4">
      <c r="A23" s="15">
        <v>6</v>
      </c>
      <c r="B23" s="16" t="s">
        <v>77</v>
      </c>
      <c r="C23" s="186" t="s">
        <v>78</v>
      </c>
      <c r="D23" s="17">
        <f>VLOOKUP(C23,'[1]PREÇO ATUAL'!$A:$D,4,0)</f>
        <v>27.9</v>
      </c>
      <c r="E23" s="18"/>
      <c r="F23" s="18"/>
      <c r="G23" s="18"/>
      <c r="H23" s="18"/>
      <c r="I23" s="19"/>
      <c r="J23" s="19">
        <v>1</v>
      </c>
      <c r="K23" s="19"/>
      <c r="L23" s="19"/>
      <c r="M23" s="19"/>
      <c r="N23" s="20"/>
      <c r="O23" s="19"/>
      <c r="P23" s="19">
        <v>1</v>
      </c>
      <c r="Q23" s="19"/>
      <c r="R23" s="19"/>
      <c r="S23" s="19"/>
      <c r="T23" s="21">
        <f t="shared" si="32"/>
        <v>0</v>
      </c>
      <c r="U23" s="21">
        <f t="shared" si="33"/>
        <v>0</v>
      </c>
      <c r="V23" s="21">
        <f t="shared" si="34"/>
        <v>0</v>
      </c>
      <c r="W23" s="21">
        <f t="shared" si="35"/>
        <v>0</v>
      </c>
      <c r="X23" s="21">
        <f t="shared" si="36"/>
        <v>0</v>
      </c>
      <c r="Y23" s="21">
        <f t="shared" si="37"/>
        <v>27.9</v>
      </c>
      <c r="Z23" s="21">
        <f t="shared" si="38"/>
        <v>0</v>
      </c>
      <c r="AA23" s="21">
        <f t="shared" si="39"/>
        <v>0</v>
      </c>
      <c r="AB23" s="21">
        <f t="shared" si="40"/>
        <v>0</v>
      </c>
      <c r="AC23" s="21">
        <f t="shared" ref="AC23" si="53">$D23*N23</f>
        <v>0</v>
      </c>
      <c r="AD23" s="21">
        <f t="shared" si="42"/>
        <v>0</v>
      </c>
      <c r="AE23" s="21">
        <f t="shared" si="43"/>
        <v>27.9</v>
      </c>
      <c r="AF23" s="21">
        <f t="shared" si="44"/>
        <v>0</v>
      </c>
      <c r="AG23" s="21">
        <f t="shared" si="45"/>
        <v>0</v>
      </c>
      <c r="AH23" s="21">
        <f t="shared" si="46"/>
        <v>0</v>
      </c>
      <c r="AI23" s="22">
        <f t="shared" si="47"/>
        <v>3.392715996838329E-3</v>
      </c>
      <c r="AJ23" s="21">
        <f t="shared" si="49"/>
        <v>55.8</v>
      </c>
    </row>
    <row r="24" spans="1:36" ht="14.6" x14ac:dyDescent="0.4">
      <c r="A24" s="7">
        <v>7</v>
      </c>
      <c r="B24" s="8" t="s">
        <v>68</v>
      </c>
      <c r="C24" s="185" t="s">
        <v>69</v>
      </c>
      <c r="D24" s="9">
        <f>VLOOKUP(C24,'[1]PREÇO ATUAL'!$A:$D,4,0)</f>
        <v>145.9</v>
      </c>
      <c r="E24" s="10"/>
      <c r="F24" s="10"/>
      <c r="G24" s="10"/>
      <c r="H24" s="10"/>
      <c r="I24" s="11"/>
      <c r="J24" s="11">
        <v>1</v>
      </c>
      <c r="K24" s="11"/>
      <c r="L24" s="11"/>
      <c r="M24" s="11"/>
      <c r="N24" s="12"/>
      <c r="O24" s="11"/>
      <c r="P24" s="11">
        <v>1</v>
      </c>
      <c r="Q24" s="11"/>
      <c r="R24" s="11"/>
      <c r="S24" s="11"/>
      <c r="T24" s="13">
        <f t="shared" si="32"/>
        <v>0</v>
      </c>
      <c r="U24" s="13">
        <f t="shared" si="33"/>
        <v>0</v>
      </c>
      <c r="V24" s="13">
        <f t="shared" si="34"/>
        <v>0</v>
      </c>
      <c r="W24" s="13">
        <f t="shared" si="35"/>
        <v>0</v>
      </c>
      <c r="X24" s="13">
        <f t="shared" si="36"/>
        <v>0</v>
      </c>
      <c r="Y24" s="13">
        <f t="shared" si="37"/>
        <v>145.9</v>
      </c>
      <c r="Z24" s="13">
        <f t="shared" si="38"/>
        <v>0</v>
      </c>
      <c r="AA24" s="13">
        <f t="shared" si="39"/>
        <v>0</v>
      </c>
      <c r="AB24" s="13">
        <f t="shared" si="40"/>
        <v>0</v>
      </c>
      <c r="AC24" s="13">
        <f t="shared" ref="AC24" si="54">$D24*N24</f>
        <v>0</v>
      </c>
      <c r="AD24" s="13">
        <f t="shared" si="42"/>
        <v>0</v>
      </c>
      <c r="AE24" s="13">
        <f t="shared" si="43"/>
        <v>145.9</v>
      </c>
      <c r="AF24" s="13">
        <f t="shared" si="44"/>
        <v>0</v>
      </c>
      <c r="AG24" s="13">
        <f t="shared" si="45"/>
        <v>0</v>
      </c>
      <c r="AH24" s="13">
        <f t="shared" si="46"/>
        <v>0</v>
      </c>
      <c r="AI24" s="14">
        <f t="shared" si="47"/>
        <v>1.7741837417158145E-2</v>
      </c>
      <c r="AJ24" s="13">
        <f t="shared" si="49"/>
        <v>291.8</v>
      </c>
    </row>
    <row r="25" spans="1:36" ht="14.6" x14ac:dyDescent="0.4">
      <c r="A25" s="15">
        <v>8</v>
      </c>
      <c r="B25" s="16" t="s">
        <v>125</v>
      </c>
      <c r="C25" s="186" t="s">
        <v>110</v>
      </c>
      <c r="D25" s="17">
        <f>VLOOKUP(C25,'[1]PREÇO ATUAL'!$A:$D,4,0)</f>
        <v>149.54</v>
      </c>
      <c r="E25" s="18"/>
      <c r="F25" s="18"/>
      <c r="G25" s="18"/>
      <c r="H25" s="18"/>
      <c r="I25" s="19"/>
      <c r="J25" s="19"/>
      <c r="K25" s="19"/>
      <c r="L25" s="19"/>
      <c r="M25" s="19"/>
      <c r="N25" s="20"/>
      <c r="O25" s="19"/>
      <c r="P25" s="19">
        <v>1</v>
      </c>
      <c r="Q25" s="19"/>
      <c r="R25" s="19"/>
      <c r="S25" s="19"/>
      <c r="T25" s="21">
        <f t="shared" ref="T25" si="55">$D25*E25</f>
        <v>0</v>
      </c>
      <c r="U25" s="21">
        <f t="shared" ref="U25" si="56">$D25*F25</f>
        <v>0</v>
      </c>
      <c r="V25" s="21">
        <f t="shared" ref="V25" si="57">$D25*G25</f>
        <v>0</v>
      </c>
      <c r="W25" s="21">
        <f t="shared" ref="W25" si="58">$D25*H25</f>
        <v>0</v>
      </c>
      <c r="X25" s="21">
        <f t="shared" ref="X25" si="59">$D25*I25</f>
        <v>0</v>
      </c>
      <c r="Y25" s="21">
        <f t="shared" ref="Y25" si="60">$D25*J25</f>
        <v>0</v>
      </c>
      <c r="Z25" s="21">
        <f t="shared" ref="Z25" si="61">$D25*K25</f>
        <v>0</v>
      </c>
      <c r="AA25" s="21">
        <f t="shared" ref="AA25" si="62">$D25*L25</f>
        <v>0</v>
      </c>
      <c r="AB25" s="21">
        <f t="shared" ref="AB25" si="63">$D25*M25</f>
        <v>0</v>
      </c>
      <c r="AC25" s="21">
        <f t="shared" ref="AC25" si="64">$D25*N25</f>
        <v>0</v>
      </c>
      <c r="AD25" s="21">
        <f t="shared" ref="AD25" si="65">$D25*O25</f>
        <v>0</v>
      </c>
      <c r="AE25" s="21">
        <f t="shared" ref="AE25" si="66">$D25*P25</f>
        <v>149.54</v>
      </c>
      <c r="AF25" s="21">
        <f t="shared" ref="AF25" si="67">$D25*Q25</f>
        <v>0</v>
      </c>
      <c r="AG25" s="21">
        <f t="shared" ref="AG25" si="68">$D25*R25</f>
        <v>0</v>
      </c>
      <c r="AH25" s="21">
        <f t="shared" ref="AH25" si="69">$D25*S25</f>
        <v>0</v>
      </c>
      <c r="AI25" s="22">
        <f t="shared" ref="AI25" si="70">AJ25/$AI$16</f>
        <v>9.09223566607892E-3</v>
      </c>
      <c r="AJ25" s="21">
        <f t="shared" ref="AJ25" si="71">SUM(T25:AH25)</f>
        <v>149.54</v>
      </c>
    </row>
    <row r="26" spans="1:36" ht="14.6" x14ac:dyDescent="0.4">
      <c r="A26" s="7">
        <v>9</v>
      </c>
      <c r="B26" s="8" t="s">
        <v>34</v>
      </c>
      <c r="C26" s="185" t="s">
        <v>35</v>
      </c>
      <c r="D26" s="9">
        <f>VLOOKUP(C26,'[1]PREÇO ATUAL'!$A:$D,4,0)</f>
        <v>33.622493083850472</v>
      </c>
      <c r="E26" s="10"/>
      <c r="F26" s="10"/>
      <c r="G26" s="10"/>
      <c r="H26" s="10"/>
      <c r="I26" s="11"/>
      <c r="J26" s="11"/>
      <c r="K26" s="11"/>
      <c r="L26" s="11"/>
      <c r="M26" s="11"/>
      <c r="N26" s="12"/>
      <c r="O26" s="11"/>
      <c r="P26" s="11"/>
      <c r="Q26" s="11"/>
      <c r="R26" s="11"/>
      <c r="S26" s="11"/>
      <c r="T26" s="13">
        <f t="shared" si="32"/>
        <v>0</v>
      </c>
      <c r="U26" s="13">
        <f t="shared" si="33"/>
        <v>0</v>
      </c>
      <c r="V26" s="13">
        <f t="shared" si="34"/>
        <v>0</v>
      </c>
      <c r="W26" s="13">
        <f t="shared" si="35"/>
        <v>0</v>
      </c>
      <c r="X26" s="13">
        <f t="shared" si="36"/>
        <v>0</v>
      </c>
      <c r="Y26" s="13">
        <f t="shared" si="37"/>
        <v>0</v>
      </c>
      <c r="Z26" s="13">
        <f t="shared" si="38"/>
        <v>0</v>
      </c>
      <c r="AA26" s="13">
        <f t="shared" si="39"/>
        <v>0</v>
      </c>
      <c r="AB26" s="13">
        <f t="shared" si="40"/>
        <v>0</v>
      </c>
      <c r="AC26" s="13">
        <f t="shared" ref="AC26" si="72">$D26*N26</f>
        <v>0</v>
      </c>
      <c r="AD26" s="13">
        <f t="shared" si="42"/>
        <v>0</v>
      </c>
      <c r="AE26" s="13">
        <f t="shared" si="43"/>
        <v>0</v>
      </c>
      <c r="AF26" s="13">
        <f t="shared" si="44"/>
        <v>0</v>
      </c>
      <c r="AG26" s="13">
        <f t="shared" si="45"/>
        <v>0</v>
      </c>
      <c r="AH26" s="13">
        <f t="shared" si="46"/>
        <v>0</v>
      </c>
      <c r="AI26" s="14">
        <f t="shared" si="47"/>
        <v>0</v>
      </c>
      <c r="AJ26" s="13">
        <f t="shared" si="49"/>
        <v>0</v>
      </c>
    </row>
    <row r="27" spans="1:36" ht="14.6" x14ac:dyDescent="0.4">
      <c r="A27" s="15">
        <v>10</v>
      </c>
      <c r="B27" s="16" t="s">
        <v>63</v>
      </c>
      <c r="C27" s="186" t="s">
        <v>64</v>
      </c>
      <c r="D27" s="17">
        <f>VLOOKUP(C27,'[1]PREÇO ATUAL'!$A:$D,4,0)</f>
        <v>98.56222158238279</v>
      </c>
      <c r="E27" s="28">
        <v>2.7</v>
      </c>
      <c r="F27" s="28">
        <v>2.7</v>
      </c>
      <c r="G27" s="28">
        <v>2.7</v>
      </c>
      <c r="H27" s="28">
        <v>2.7</v>
      </c>
      <c r="I27" s="29">
        <v>2.7</v>
      </c>
      <c r="J27" s="29">
        <v>2.7</v>
      </c>
      <c r="K27" s="29">
        <v>2.7</v>
      </c>
      <c r="L27" s="29">
        <v>2.7</v>
      </c>
      <c r="M27" s="29">
        <v>2.7</v>
      </c>
      <c r="N27" s="53">
        <v>2.7</v>
      </c>
      <c r="O27" s="29">
        <v>2.7</v>
      </c>
      <c r="P27" s="29">
        <v>2.7</v>
      </c>
      <c r="Q27" s="29">
        <v>2.7</v>
      </c>
      <c r="R27" s="29">
        <v>2.7</v>
      </c>
      <c r="S27" s="29">
        <v>2.7</v>
      </c>
      <c r="T27" s="21">
        <f t="shared" si="32"/>
        <v>266.11799827243357</v>
      </c>
      <c r="U27" s="21">
        <f t="shared" si="33"/>
        <v>266.11799827243357</v>
      </c>
      <c r="V27" s="21">
        <f t="shared" si="34"/>
        <v>266.11799827243357</v>
      </c>
      <c r="W27" s="21">
        <f t="shared" si="35"/>
        <v>266.11799827243357</v>
      </c>
      <c r="X27" s="21">
        <f t="shared" si="36"/>
        <v>266.11799827243357</v>
      </c>
      <c r="Y27" s="21">
        <f t="shared" si="37"/>
        <v>266.11799827243357</v>
      </c>
      <c r="Z27" s="21">
        <f t="shared" si="38"/>
        <v>266.11799827243357</v>
      </c>
      <c r="AA27" s="21">
        <f t="shared" si="39"/>
        <v>266.11799827243357</v>
      </c>
      <c r="AB27" s="21">
        <f t="shared" si="40"/>
        <v>266.11799827243357</v>
      </c>
      <c r="AC27" s="21">
        <f t="shared" ref="AC27" si="73">$D27*N27</f>
        <v>266.11799827243357</v>
      </c>
      <c r="AD27" s="21">
        <f t="shared" si="42"/>
        <v>266.11799827243357</v>
      </c>
      <c r="AE27" s="21">
        <f t="shared" si="43"/>
        <v>266.11799827243357</v>
      </c>
      <c r="AF27" s="21">
        <f t="shared" si="44"/>
        <v>266.11799827243357</v>
      </c>
      <c r="AG27" s="21">
        <f t="shared" si="45"/>
        <v>266.11799827243357</v>
      </c>
      <c r="AH27" s="21">
        <f t="shared" si="46"/>
        <v>266.11799827243357</v>
      </c>
      <c r="AI27" s="22">
        <f t="shared" si="47"/>
        <v>0.24270505101760215</v>
      </c>
      <c r="AJ27" s="21">
        <f t="shared" si="49"/>
        <v>3991.7699740865023</v>
      </c>
    </row>
    <row r="28" spans="1:36" ht="14.6" x14ac:dyDescent="0.4">
      <c r="A28" s="7">
        <v>11</v>
      </c>
      <c r="B28" s="8" t="s">
        <v>38</v>
      </c>
      <c r="C28" s="185" t="s">
        <v>39</v>
      </c>
      <c r="D28" s="9">
        <f>VLOOKUP(C28,'[1]PREÇO ATUAL'!$A:$D,4,0)</f>
        <v>342</v>
      </c>
      <c r="E28" s="45">
        <v>0.75</v>
      </c>
      <c r="F28" s="45">
        <v>0.95</v>
      </c>
      <c r="G28" s="45">
        <v>2</v>
      </c>
      <c r="H28" s="45">
        <v>1.55</v>
      </c>
      <c r="I28" s="46">
        <v>0.9</v>
      </c>
      <c r="J28" s="46">
        <v>4.0999999999999996</v>
      </c>
      <c r="K28" s="46">
        <v>0.75</v>
      </c>
      <c r="L28" s="46">
        <v>1.1000000000000001</v>
      </c>
      <c r="M28" s="46">
        <v>2</v>
      </c>
      <c r="N28" s="47">
        <v>1.55</v>
      </c>
      <c r="O28" s="46" t="s">
        <v>121</v>
      </c>
      <c r="P28" s="46">
        <v>4.9499999999999993</v>
      </c>
      <c r="Q28" s="46" t="s">
        <v>121</v>
      </c>
      <c r="R28" s="46" t="s">
        <v>122</v>
      </c>
      <c r="S28" s="46" t="s">
        <v>123</v>
      </c>
      <c r="T28" s="13">
        <f>D28*E28</f>
        <v>256.5</v>
      </c>
      <c r="U28" s="13">
        <f t="shared" ref="U28:AB28" si="74">$D28*F28</f>
        <v>324.89999999999998</v>
      </c>
      <c r="V28" s="13">
        <f t="shared" si="74"/>
        <v>684</v>
      </c>
      <c r="W28" s="13">
        <f t="shared" si="74"/>
        <v>530.1</v>
      </c>
      <c r="X28" s="13">
        <f t="shared" si="74"/>
        <v>307.8</v>
      </c>
      <c r="Y28" s="13">
        <f t="shared" si="74"/>
        <v>1402.1999999999998</v>
      </c>
      <c r="Z28" s="13">
        <f t="shared" si="74"/>
        <v>256.5</v>
      </c>
      <c r="AA28" s="13">
        <f t="shared" si="74"/>
        <v>376.20000000000005</v>
      </c>
      <c r="AB28" s="13">
        <f t="shared" si="74"/>
        <v>684</v>
      </c>
      <c r="AC28" s="13">
        <f t="shared" ref="AC28" si="75">$D28*N28</f>
        <v>530.1</v>
      </c>
      <c r="AD28" s="13">
        <f t="shared" si="42"/>
        <v>324.89999999999998</v>
      </c>
      <c r="AE28" s="13">
        <f t="shared" si="43"/>
        <v>1692.8999999999999</v>
      </c>
      <c r="AF28" s="13">
        <f t="shared" si="44"/>
        <v>324.89999999999998</v>
      </c>
      <c r="AG28" s="13">
        <f t="shared" si="45"/>
        <v>410.4</v>
      </c>
      <c r="AH28" s="13">
        <f t="shared" si="46"/>
        <v>786.59999999999991</v>
      </c>
      <c r="AI28" s="14">
        <f t="shared" si="47"/>
        <v>0.5406457104639143</v>
      </c>
      <c r="AJ28" s="13">
        <f t="shared" si="49"/>
        <v>8891.9999999999982</v>
      </c>
    </row>
    <row r="29" spans="1:36" ht="15.75" customHeight="1" x14ac:dyDescent="0.4">
      <c r="H29" s="54"/>
      <c r="L29" s="54"/>
    </row>
    <row r="30" spans="1:36" ht="15" customHeight="1" x14ac:dyDescent="0.4">
      <c r="A30" s="222" t="s">
        <v>126</v>
      </c>
      <c r="B30" s="239"/>
      <c r="C30" s="239"/>
      <c r="D30" s="245"/>
      <c r="E30" s="126" t="s">
        <v>3</v>
      </c>
      <c r="F30" s="133"/>
      <c r="G30" s="133"/>
      <c r="H30" s="133"/>
      <c r="I30" s="133"/>
      <c r="J30" s="133"/>
      <c r="K30" s="133"/>
      <c r="L30" s="133"/>
      <c r="M30" s="133"/>
      <c r="N30" s="134"/>
      <c r="O30" s="133"/>
      <c r="P30" s="133"/>
      <c r="Q30" s="133"/>
      <c r="R30" s="133"/>
      <c r="S30" s="133"/>
      <c r="T30" s="125" t="s">
        <v>4</v>
      </c>
      <c r="U30" s="125"/>
      <c r="V30" s="125"/>
      <c r="W30" s="125"/>
      <c r="X30" s="125"/>
      <c r="Y30" s="125"/>
      <c r="Z30" s="125"/>
      <c r="AA30" s="125"/>
      <c r="AB30" s="125"/>
      <c r="AC30" s="125"/>
      <c r="AD30" s="147"/>
      <c r="AE30" s="147"/>
      <c r="AF30" s="147"/>
      <c r="AG30" s="147"/>
      <c r="AH30" s="147"/>
      <c r="AI30" s="219" t="s">
        <v>5</v>
      </c>
      <c r="AJ30" s="220"/>
    </row>
    <row r="31" spans="1:36" ht="14.6" x14ac:dyDescent="0.4">
      <c r="A31" s="240"/>
      <c r="B31" s="241"/>
      <c r="C31" s="241"/>
      <c r="D31" s="246"/>
      <c r="E31" s="130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2">
        <f t="shared" ref="T31:AG31" si="76">MROUND(SUM(T33:T41),1)</f>
        <v>674</v>
      </c>
      <c r="U31" s="2">
        <f t="shared" si="76"/>
        <v>868</v>
      </c>
      <c r="V31" s="2">
        <f t="shared" si="76"/>
        <v>691</v>
      </c>
      <c r="W31" s="2">
        <f t="shared" si="76"/>
        <v>1691</v>
      </c>
      <c r="X31" s="2">
        <f t="shared" si="76"/>
        <v>725</v>
      </c>
      <c r="Y31" s="2">
        <f t="shared" si="76"/>
        <v>1042</v>
      </c>
      <c r="Z31" s="2">
        <f t="shared" si="76"/>
        <v>674</v>
      </c>
      <c r="AA31" s="2">
        <f t="shared" si="76"/>
        <v>1691</v>
      </c>
      <c r="AB31" s="2">
        <f t="shared" si="76"/>
        <v>691</v>
      </c>
      <c r="AC31" s="2">
        <f t="shared" si="76"/>
        <v>919</v>
      </c>
      <c r="AD31" s="2">
        <f t="shared" si="76"/>
        <v>691</v>
      </c>
      <c r="AE31" s="2">
        <f>MROUND(SUM(AE33:AE41),1)</f>
        <v>2642</v>
      </c>
      <c r="AF31" s="2">
        <f t="shared" si="76"/>
        <v>691</v>
      </c>
      <c r="AG31" s="2">
        <f t="shared" si="76"/>
        <v>1039</v>
      </c>
      <c r="AH31" s="2">
        <f>MROUND(SUM(AH33:AH41),1)</f>
        <v>691</v>
      </c>
      <c r="AI31" s="221">
        <f>SUM(T31:AH31)</f>
        <v>15420</v>
      </c>
      <c r="AJ31" s="220"/>
    </row>
    <row r="32" spans="1:36" ht="14.6" x14ac:dyDescent="0.4">
      <c r="A32" s="3" t="s">
        <v>6</v>
      </c>
      <c r="B32" s="3" t="s">
        <v>7</v>
      </c>
      <c r="C32" s="184" t="s">
        <v>8</v>
      </c>
      <c r="D32" s="4" t="s">
        <v>9</v>
      </c>
      <c r="E32" s="5" t="s">
        <v>10</v>
      </c>
      <c r="F32" s="5" t="s">
        <v>11</v>
      </c>
      <c r="G32" s="5" t="s">
        <v>12</v>
      </c>
      <c r="H32" s="5" t="s">
        <v>13</v>
      </c>
      <c r="I32" s="5" t="s">
        <v>14</v>
      </c>
      <c r="J32" s="5" t="s">
        <v>15</v>
      </c>
      <c r="K32" s="5" t="s">
        <v>16</v>
      </c>
      <c r="L32" s="5" t="s">
        <v>17</v>
      </c>
      <c r="M32" s="5" t="s">
        <v>18</v>
      </c>
      <c r="N32" s="5" t="s">
        <v>19</v>
      </c>
      <c r="O32" s="5" t="s">
        <v>116</v>
      </c>
      <c r="P32" s="5" t="s">
        <v>117</v>
      </c>
      <c r="Q32" s="5" t="s">
        <v>118</v>
      </c>
      <c r="R32" s="5" t="s">
        <v>119</v>
      </c>
      <c r="S32" s="5" t="s">
        <v>120</v>
      </c>
      <c r="T32" s="36">
        <v>10000</v>
      </c>
      <c r="U32" s="36">
        <v>20000</v>
      </c>
      <c r="V32" s="36">
        <v>30000</v>
      </c>
      <c r="W32" s="36">
        <v>40000</v>
      </c>
      <c r="X32" s="36">
        <v>50000</v>
      </c>
      <c r="Y32" s="36">
        <v>60000</v>
      </c>
      <c r="Z32" s="36">
        <v>70000</v>
      </c>
      <c r="AA32" s="36">
        <v>80000</v>
      </c>
      <c r="AB32" s="36">
        <v>90000</v>
      </c>
      <c r="AC32" s="36">
        <v>100000</v>
      </c>
      <c r="AD32" s="65">
        <f>AC32+10000</f>
        <v>110000</v>
      </c>
      <c r="AE32" s="65">
        <f t="shared" ref="AE32:AH32" si="77">AD32+10000</f>
        <v>120000</v>
      </c>
      <c r="AF32" s="65">
        <f t="shared" si="77"/>
        <v>130000</v>
      </c>
      <c r="AG32" s="65">
        <f t="shared" si="77"/>
        <v>140000</v>
      </c>
      <c r="AH32" s="65">
        <f t="shared" si="77"/>
        <v>150000</v>
      </c>
      <c r="AI32" s="52">
        <f>SUM(AI33:AI41)</f>
        <v>0.89430091325307104</v>
      </c>
      <c r="AJ32" s="3" t="s">
        <v>21</v>
      </c>
    </row>
    <row r="33" spans="1:36" ht="14.6" x14ac:dyDescent="0.4">
      <c r="A33" s="7">
        <v>1</v>
      </c>
      <c r="B33" s="8" t="s">
        <v>41</v>
      </c>
      <c r="C33" s="185" t="s">
        <v>23</v>
      </c>
      <c r="D33" s="9">
        <f>VLOOKUP(C33,'[1]PREÇO ATUAL'!$A:$D,4,0)</f>
        <v>79.900000000000006</v>
      </c>
      <c r="E33" s="10">
        <v>1</v>
      </c>
      <c r="F33" s="10">
        <v>1</v>
      </c>
      <c r="G33" s="10">
        <v>1</v>
      </c>
      <c r="H33" s="10">
        <v>1</v>
      </c>
      <c r="I33" s="11">
        <v>1</v>
      </c>
      <c r="J33" s="11">
        <v>1</v>
      </c>
      <c r="K33" s="11">
        <v>1</v>
      </c>
      <c r="L33" s="11">
        <v>1</v>
      </c>
      <c r="M33" s="11">
        <v>1</v>
      </c>
      <c r="N33" s="11">
        <v>1</v>
      </c>
      <c r="O33" s="11">
        <v>1</v>
      </c>
      <c r="P33" s="11">
        <v>1</v>
      </c>
      <c r="Q33" s="11">
        <v>1</v>
      </c>
      <c r="R33" s="11">
        <v>1</v>
      </c>
      <c r="S33" s="11">
        <v>1</v>
      </c>
      <c r="T33" s="13">
        <f t="shared" ref="T33:AB38" si="78">$D33*E33</f>
        <v>79.900000000000006</v>
      </c>
      <c r="U33" s="13">
        <f t="shared" si="78"/>
        <v>79.900000000000006</v>
      </c>
      <c r="V33" s="13">
        <f t="shared" si="78"/>
        <v>79.900000000000006</v>
      </c>
      <c r="W33" s="13">
        <f t="shared" si="78"/>
        <v>79.900000000000006</v>
      </c>
      <c r="X33" s="13">
        <f t="shared" si="78"/>
        <v>79.900000000000006</v>
      </c>
      <c r="Y33" s="13">
        <f t="shared" si="78"/>
        <v>79.900000000000006</v>
      </c>
      <c r="Z33" s="13">
        <f t="shared" si="78"/>
        <v>79.900000000000006</v>
      </c>
      <c r="AA33" s="13">
        <f t="shared" si="78"/>
        <v>79.900000000000006</v>
      </c>
      <c r="AB33" s="13">
        <f t="shared" si="78"/>
        <v>79.900000000000006</v>
      </c>
      <c r="AC33" s="13">
        <f t="shared" ref="AC33:AC39" si="79">$D33*N33</f>
        <v>79.900000000000006</v>
      </c>
      <c r="AD33" s="13">
        <f t="shared" ref="AD33:AD40" si="80">$D33*O33</f>
        <v>79.900000000000006</v>
      </c>
      <c r="AE33" s="13">
        <f t="shared" ref="AE33:AE40" si="81">$D33*P33</f>
        <v>79.900000000000006</v>
      </c>
      <c r="AF33" s="13">
        <f t="shared" ref="AF33:AF40" si="82">$D33*Q33</f>
        <v>79.900000000000006</v>
      </c>
      <c r="AG33" s="13">
        <f t="shared" ref="AG33:AG40" si="83">$D33*R33</f>
        <v>79.900000000000006</v>
      </c>
      <c r="AH33" s="13">
        <f t="shared" ref="AH33:AH40" si="84">$D33*S33</f>
        <v>79.900000000000006</v>
      </c>
      <c r="AI33" s="14">
        <f t="shared" ref="AI33:AI41" si="85">AJ33/$AI$2</f>
        <v>7.1055907986008179E-2</v>
      </c>
      <c r="AJ33" s="13">
        <f>SUM(T33:AH33)</f>
        <v>1198.5</v>
      </c>
    </row>
    <row r="34" spans="1:36" ht="14.6" x14ac:dyDescent="0.4">
      <c r="A34" s="15">
        <v>2</v>
      </c>
      <c r="B34" s="16" t="s">
        <v>24</v>
      </c>
      <c r="C34" s="186" t="s">
        <v>25</v>
      </c>
      <c r="D34" s="17">
        <f>VLOOKUP(C34,'[1]PREÇO ATUAL'!$A:$D,4,0)</f>
        <v>35.9</v>
      </c>
      <c r="E34" s="18"/>
      <c r="F34" s="18">
        <v>1</v>
      </c>
      <c r="G34" s="18"/>
      <c r="H34" s="18">
        <v>1</v>
      </c>
      <c r="I34" s="19"/>
      <c r="J34" s="19">
        <v>1</v>
      </c>
      <c r="K34" s="19"/>
      <c r="L34" s="19">
        <v>1</v>
      </c>
      <c r="M34" s="19"/>
      <c r="N34" s="19">
        <v>1</v>
      </c>
      <c r="O34" s="19"/>
      <c r="P34" s="19">
        <v>1</v>
      </c>
      <c r="Q34" s="19"/>
      <c r="R34" s="19">
        <v>1</v>
      </c>
      <c r="S34" s="19"/>
      <c r="T34" s="21">
        <f t="shared" si="78"/>
        <v>0</v>
      </c>
      <c r="U34" s="21">
        <f t="shared" si="78"/>
        <v>35.9</v>
      </c>
      <c r="V34" s="21">
        <f t="shared" si="78"/>
        <v>0</v>
      </c>
      <c r="W34" s="21">
        <f t="shared" si="78"/>
        <v>35.9</v>
      </c>
      <c r="X34" s="21">
        <f t="shared" si="78"/>
        <v>0</v>
      </c>
      <c r="Y34" s="21">
        <f t="shared" si="78"/>
        <v>35.9</v>
      </c>
      <c r="Z34" s="21">
        <f t="shared" si="78"/>
        <v>0</v>
      </c>
      <c r="AA34" s="21">
        <f t="shared" si="78"/>
        <v>35.9</v>
      </c>
      <c r="AB34" s="21">
        <f t="shared" si="78"/>
        <v>0</v>
      </c>
      <c r="AC34" s="21">
        <f t="shared" si="79"/>
        <v>35.9</v>
      </c>
      <c r="AD34" s="21">
        <f t="shared" si="80"/>
        <v>0</v>
      </c>
      <c r="AE34" s="21">
        <f t="shared" si="81"/>
        <v>35.9</v>
      </c>
      <c r="AF34" s="21">
        <f t="shared" si="82"/>
        <v>0</v>
      </c>
      <c r="AG34" s="21">
        <f t="shared" si="83"/>
        <v>35.9</v>
      </c>
      <c r="AH34" s="21">
        <f t="shared" si="84"/>
        <v>0</v>
      </c>
      <c r="AI34" s="22">
        <f t="shared" si="85"/>
        <v>1.4898915041204721E-2</v>
      </c>
      <c r="AJ34" s="21">
        <f t="shared" ref="AJ34:AJ41" si="86">SUM(T34:AH34)</f>
        <v>251.3</v>
      </c>
    </row>
    <row r="35" spans="1:36" ht="14.6" x14ac:dyDescent="0.4">
      <c r="A35" s="7">
        <v>3</v>
      </c>
      <c r="B35" s="8" t="s">
        <v>42</v>
      </c>
      <c r="C35" s="185" t="s">
        <v>27</v>
      </c>
      <c r="D35" s="9">
        <f>VLOOKUP(C35,'[1]PREÇO ATUAL'!$A:$D,4,0)</f>
        <v>89.9</v>
      </c>
      <c r="E35" s="10"/>
      <c r="F35" s="10">
        <v>1</v>
      </c>
      <c r="G35" s="10"/>
      <c r="H35" s="10">
        <v>1</v>
      </c>
      <c r="I35" s="11"/>
      <c r="J35" s="11">
        <v>1</v>
      </c>
      <c r="K35" s="11"/>
      <c r="L35" s="11">
        <v>1</v>
      </c>
      <c r="M35" s="11"/>
      <c r="N35" s="11">
        <v>1</v>
      </c>
      <c r="O35" s="11"/>
      <c r="P35" s="11">
        <v>1</v>
      </c>
      <c r="Q35" s="11"/>
      <c r="R35" s="11">
        <v>1</v>
      </c>
      <c r="S35" s="11"/>
      <c r="T35" s="13">
        <f t="shared" si="78"/>
        <v>0</v>
      </c>
      <c r="U35" s="13">
        <f t="shared" si="78"/>
        <v>89.9</v>
      </c>
      <c r="V35" s="13">
        <f t="shared" si="78"/>
        <v>0</v>
      </c>
      <c r="W35" s="13">
        <f t="shared" si="78"/>
        <v>89.9</v>
      </c>
      <c r="X35" s="13">
        <f t="shared" si="78"/>
        <v>0</v>
      </c>
      <c r="Y35" s="13">
        <f t="shared" si="78"/>
        <v>89.9</v>
      </c>
      <c r="Z35" s="13">
        <f t="shared" si="78"/>
        <v>0</v>
      </c>
      <c r="AA35" s="13">
        <f t="shared" si="78"/>
        <v>89.9</v>
      </c>
      <c r="AB35" s="13">
        <f t="shared" si="78"/>
        <v>0</v>
      </c>
      <c r="AC35" s="13">
        <f t="shared" si="79"/>
        <v>89.9</v>
      </c>
      <c r="AD35" s="13">
        <f t="shared" si="80"/>
        <v>0</v>
      </c>
      <c r="AE35" s="13">
        <f t="shared" si="81"/>
        <v>89.9</v>
      </c>
      <c r="AF35" s="13">
        <f t="shared" si="82"/>
        <v>0</v>
      </c>
      <c r="AG35" s="13">
        <f t="shared" si="83"/>
        <v>89.9</v>
      </c>
      <c r="AH35" s="13">
        <f t="shared" si="84"/>
        <v>0</v>
      </c>
      <c r="AI35" s="14">
        <f t="shared" si="85"/>
        <v>3.7309539337167248E-2</v>
      </c>
      <c r="AJ35" s="13">
        <f t="shared" si="86"/>
        <v>629.29999999999995</v>
      </c>
    </row>
    <row r="36" spans="1:36" ht="14.6" x14ac:dyDescent="0.4">
      <c r="A36" s="15">
        <v>4</v>
      </c>
      <c r="B36" s="143" t="s">
        <v>127</v>
      </c>
      <c r="C36" s="186" t="s">
        <v>29</v>
      </c>
      <c r="D36" s="17">
        <f>VLOOKUP(C36,'[1]PREÇO ATUAL'!$A:$D,4,0)</f>
        <v>175.9</v>
      </c>
      <c r="E36" s="18"/>
      <c r="F36" s="18"/>
      <c r="G36" s="18"/>
      <c r="H36" s="18">
        <v>4</v>
      </c>
      <c r="I36" s="19"/>
      <c r="J36" s="19"/>
      <c r="K36" s="19"/>
      <c r="L36" s="19">
        <v>4</v>
      </c>
      <c r="M36" s="19"/>
      <c r="N36" s="19"/>
      <c r="O36" s="19"/>
      <c r="P36" s="19">
        <v>4</v>
      </c>
      <c r="Q36" s="19"/>
      <c r="R36" s="19"/>
      <c r="S36" s="19"/>
      <c r="T36" s="21">
        <f t="shared" si="78"/>
        <v>0</v>
      </c>
      <c r="U36" s="21">
        <f t="shared" si="78"/>
        <v>0</v>
      </c>
      <c r="V36" s="21">
        <f t="shared" si="78"/>
        <v>0</v>
      </c>
      <c r="W36" s="21">
        <f t="shared" si="78"/>
        <v>703.6</v>
      </c>
      <c r="X36" s="21">
        <f t="shared" si="78"/>
        <v>0</v>
      </c>
      <c r="Y36" s="21">
        <f t="shared" si="78"/>
        <v>0</v>
      </c>
      <c r="Z36" s="21">
        <f t="shared" si="78"/>
        <v>0</v>
      </c>
      <c r="AA36" s="21">
        <f t="shared" si="78"/>
        <v>703.6</v>
      </c>
      <c r="AB36" s="21">
        <f t="shared" si="78"/>
        <v>0</v>
      </c>
      <c r="AC36" s="21">
        <f t="shared" si="79"/>
        <v>0</v>
      </c>
      <c r="AD36" s="21">
        <f t="shared" si="80"/>
        <v>0</v>
      </c>
      <c r="AE36" s="21">
        <f t="shared" si="81"/>
        <v>703.6</v>
      </c>
      <c r="AF36" s="21">
        <f t="shared" si="82"/>
        <v>0</v>
      </c>
      <c r="AG36" s="21">
        <f t="shared" si="83"/>
        <v>0</v>
      </c>
      <c r="AH36" s="21">
        <f t="shared" si="84"/>
        <v>0</v>
      </c>
      <c r="AI36" s="22">
        <f t="shared" si="85"/>
        <v>0.12514377186221617</v>
      </c>
      <c r="AJ36" s="21">
        <f t="shared" si="86"/>
        <v>2110.8000000000002</v>
      </c>
    </row>
    <row r="37" spans="1:36" ht="22.75" x14ac:dyDescent="0.4">
      <c r="A37" s="7">
        <v>5</v>
      </c>
      <c r="B37" s="142" t="s">
        <v>128</v>
      </c>
      <c r="C37" s="185" t="s">
        <v>76</v>
      </c>
      <c r="D37" s="9">
        <f>VLOOKUP(C37,'[1]PREÇO ATUAL'!$A:$D,4,0)</f>
        <v>139.9</v>
      </c>
      <c r="E37" s="10"/>
      <c r="F37" s="10"/>
      <c r="G37" s="10"/>
      <c r="H37" s="10"/>
      <c r="I37" s="11"/>
      <c r="J37" s="11">
        <v>1</v>
      </c>
      <c r="K37" s="11"/>
      <c r="L37" s="11"/>
      <c r="M37" s="11"/>
      <c r="N37" s="11"/>
      <c r="O37" s="11"/>
      <c r="P37" s="11">
        <v>1</v>
      </c>
      <c r="Q37" s="11"/>
      <c r="R37" s="11"/>
      <c r="S37" s="11"/>
      <c r="T37" s="13">
        <f t="shared" si="78"/>
        <v>0</v>
      </c>
      <c r="U37" s="13">
        <f t="shared" si="78"/>
        <v>0</v>
      </c>
      <c r="V37" s="13">
        <f t="shared" si="78"/>
        <v>0</v>
      </c>
      <c r="W37" s="13">
        <f t="shared" si="78"/>
        <v>0</v>
      </c>
      <c r="X37" s="13">
        <f t="shared" si="78"/>
        <v>0</v>
      </c>
      <c r="Y37" s="13">
        <f t="shared" si="78"/>
        <v>139.9</v>
      </c>
      <c r="Z37" s="13">
        <f t="shared" si="78"/>
        <v>0</v>
      </c>
      <c r="AA37" s="13">
        <f t="shared" si="78"/>
        <v>0</v>
      </c>
      <c r="AB37" s="13">
        <f t="shared" si="78"/>
        <v>0</v>
      </c>
      <c r="AC37" s="13">
        <f t="shared" ref="AC37" si="87">$D37*N37</f>
        <v>0</v>
      </c>
      <c r="AD37" s="13">
        <f t="shared" si="80"/>
        <v>0</v>
      </c>
      <c r="AE37" s="13">
        <f t="shared" si="81"/>
        <v>139.9</v>
      </c>
      <c r="AF37" s="13">
        <f t="shared" si="82"/>
        <v>0</v>
      </c>
      <c r="AG37" s="13">
        <f t="shared" si="83"/>
        <v>0</v>
      </c>
      <c r="AH37" s="13">
        <f t="shared" si="84"/>
        <v>0</v>
      </c>
      <c r="AI37" s="14">
        <f t="shared" ref="AI37" si="88">AJ37/$AI$2</f>
        <v>1.6588604968281261E-2</v>
      </c>
      <c r="AJ37" s="13">
        <f t="shared" si="86"/>
        <v>279.8</v>
      </c>
    </row>
    <row r="38" spans="1:36" ht="14.6" x14ac:dyDescent="0.4">
      <c r="A38" s="15">
        <v>6</v>
      </c>
      <c r="B38" s="143" t="s">
        <v>32</v>
      </c>
      <c r="C38" s="186" t="s">
        <v>33</v>
      </c>
      <c r="D38" s="17">
        <f>VLOOKUP(C38,'[1]PREÇO ATUAL'!$A:$D,4,0)</f>
        <v>165.97812000000002</v>
      </c>
      <c r="E38" s="18"/>
      <c r="F38" s="68"/>
      <c r="G38" s="18"/>
      <c r="H38" s="68"/>
      <c r="I38" s="19"/>
      <c r="J38" s="68"/>
      <c r="K38" s="19"/>
      <c r="L38" s="68"/>
      <c r="M38" s="19"/>
      <c r="N38" s="19"/>
      <c r="O38" s="19"/>
      <c r="P38" s="68">
        <v>2</v>
      </c>
      <c r="Q38" s="68"/>
      <c r="R38" s="68"/>
      <c r="S38" s="68"/>
      <c r="T38" s="21">
        <f t="shared" si="78"/>
        <v>0</v>
      </c>
      <c r="U38" s="21">
        <f t="shared" si="78"/>
        <v>0</v>
      </c>
      <c r="V38" s="21">
        <f t="shared" si="78"/>
        <v>0</v>
      </c>
      <c r="W38" s="21">
        <f t="shared" si="78"/>
        <v>0</v>
      </c>
      <c r="X38" s="21">
        <f t="shared" si="78"/>
        <v>0</v>
      </c>
      <c r="Y38" s="21">
        <f t="shared" si="78"/>
        <v>0</v>
      </c>
      <c r="Z38" s="21">
        <f t="shared" si="78"/>
        <v>0</v>
      </c>
      <c r="AA38" s="21">
        <f t="shared" si="78"/>
        <v>0</v>
      </c>
      <c r="AB38" s="21">
        <f t="shared" si="78"/>
        <v>0</v>
      </c>
      <c r="AC38" s="21">
        <f t="shared" ref="AC38" si="89">$D38*N38</f>
        <v>0</v>
      </c>
      <c r="AD38" s="21">
        <f t="shared" ref="AD38" si="90">$D38*O38</f>
        <v>0</v>
      </c>
      <c r="AE38" s="21">
        <f t="shared" ref="AE38" si="91">$D38*P38</f>
        <v>331.95624000000004</v>
      </c>
      <c r="AF38" s="21">
        <f t="shared" ref="AF38" si="92">$D38*Q38</f>
        <v>0</v>
      </c>
      <c r="AG38" s="21">
        <f t="shared" ref="AG38" si="93">$D38*R38</f>
        <v>0</v>
      </c>
      <c r="AH38" s="21">
        <f t="shared" ref="AH38" si="94">$D38*S38</f>
        <v>0</v>
      </c>
      <c r="AI38" s="22"/>
      <c r="AJ38" s="21">
        <f t="shared" si="86"/>
        <v>331.95624000000004</v>
      </c>
    </row>
    <row r="39" spans="1:36" ht="14.6" x14ac:dyDescent="0.4">
      <c r="A39" s="7">
        <v>7</v>
      </c>
      <c r="B39" s="8" t="s">
        <v>34</v>
      </c>
      <c r="C39" s="185" t="s">
        <v>35</v>
      </c>
      <c r="D39" s="9">
        <f>VLOOKUP(C39,'[1]PREÇO ATUAL'!$A:$D,4,0)</f>
        <v>33.622493083850472</v>
      </c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13">
        <v>0</v>
      </c>
      <c r="U39" s="13">
        <f t="shared" ref="U39:AB40" si="95">$D39*F39</f>
        <v>0</v>
      </c>
      <c r="V39" s="13">
        <f t="shared" si="95"/>
        <v>0</v>
      </c>
      <c r="W39" s="13">
        <f t="shared" si="95"/>
        <v>0</v>
      </c>
      <c r="X39" s="13">
        <f t="shared" si="95"/>
        <v>0</v>
      </c>
      <c r="Y39" s="13">
        <f t="shared" si="95"/>
        <v>0</v>
      </c>
      <c r="Z39" s="13">
        <f t="shared" si="95"/>
        <v>0</v>
      </c>
      <c r="AA39" s="13">
        <f t="shared" si="95"/>
        <v>0</v>
      </c>
      <c r="AB39" s="13">
        <f t="shared" si="95"/>
        <v>0</v>
      </c>
      <c r="AC39" s="13">
        <f t="shared" si="79"/>
        <v>0</v>
      </c>
      <c r="AD39" s="13">
        <f t="shared" si="80"/>
        <v>0</v>
      </c>
      <c r="AE39" s="13">
        <f t="shared" si="81"/>
        <v>0</v>
      </c>
      <c r="AF39" s="13">
        <f t="shared" si="82"/>
        <v>0</v>
      </c>
      <c r="AG39" s="13">
        <f t="shared" si="83"/>
        <v>0</v>
      </c>
      <c r="AH39" s="13">
        <f t="shared" si="84"/>
        <v>0</v>
      </c>
      <c r="AI39" s="14">
        <f t="shared" si="85"/>
        <v>0</v>
      </c>
      <c r="AJ39" s="13">
        <f t="shared" si="86"/>
        <v>0</v>
      </c>
    </row>
    <row r="40" spans="1:36" ht="14.6" x14ac:dyDescent="0.4">
      <c r="A40" s="15">
        <v>8</v>
      </c>
      <c r="B40" s="16" t="s">
        <v>129</v>
      </c>
      <c r="C40" s="186" t="s">
        <v>37</v>
      </c>
      <c r="D40" s="17">
        <f>VLOOKUP(C40,'[1]PREÇO ATUAL'!$A:$D,4,0)</f>
        <v>94.126931447834295</v>
      </c>
      <c r="E40" s="28">
        <v>3.4</v>
      </c>
      <c r="F40" s="28">
        <v>3.4</v>
      </c>
      <c r="G40" s="28">
        <v>3.4</v>
      </c>
      <c r="H40" s="28">
        <v>3.4</v>
      </c>
      <c r="I40" s="29">
        <v>3.4</v>
      </c>
      <c r="J40" s="29">
        <v>3.4</v>
      </c>
      <c r="K40" s="29">
        <v>3.4</v>
      </c>
      <c r="L40" s="29">
        <v>3.4</v>
      </c>
      <c r="M40" s="29">
        <v>3.4</v>
      </c>
      <c r="N40" s="29">
        <v>3.4</v>
      </c>
      <c r="O40" s="17">
        <v>3.4</v>
      </c>
      <c r="P40" s="17">
        <v>3.4</v>
      </c>
      <c r="Q40" s="17">
        <v>3.4</v>
      </c>
      <c r="R40" s="17">
        <v>3.4</v>
      </c>
      <c r="S40" s="17">
        <v>3.4</v>
      </c>
      <c r="T40" s="21">
        <f>$D40*E40</f>
        <v>320.03156692263661</v>
      </c>
      <c r="U40" s="21">
        <f t="shared" si="95"/>
        <v>320.03156692263661</v>
      </c>
      <c r="V40" s="21">
        <f t="shared" si="95"/>
        <v>320.03156692263661</v>
      </c>
      <c r="W40" s="21">
        <f t="shared" si="95"/>
        <v>320.03156692263661</v>
      </c>
      <c r="X40" s="21">
        <f t="shared" si="95"/>
        <v>320.03156692263661</v>
      </c>
      <c r="Y40" s="21">
        <f t="shared" si="95"/>
        <v>320.03156692263661</v>
      </c>
      <c r="Z40" s="21">
        <f t="shared" si="95"/>
        <v>320.03156692263661</v>
      </c>
      <c r="AA40" s="21">
        <f t="shared" si="95"/>
        <v>320.03156692263661</v>
      </c>
      <c r="AB40" s="21">
        <f t="shared" si="95"/>
        <v>320.03156692263661</v>
      </c>
      <c r="AC40" s="21">
        <f t="shared" ref="AC40" si="96">$D40*N40</f>
        <v>320.03156692263661</v>
      </c>
      <c r="AD40" s="21">
        <f t="shared" si="80"/>
        <v>320.03156692263661</v>
      </c>
      <c r="AE40" s="21">
        <f t="shared" si="81"/>
        <v>320.03156692263661</v>
      </c>
      <c r="AF40" s="21">
        <f t="shared" si="82"/>
        <v>320.03156692263661</v>
      </c>
      <c r="AG40" s="21">
        <f t="shared" si="83"/>
        <v>320.03156692263661</v>
      </c>
      <c r="AH40" s="21">
        <f t="shared" si="84"/>
        <v>320.03156692263661</v>
      </c>
      <c r="AI40" s="22">
        <f t="shared" ref="AI40" si="97">AJ40/$AI$2</f>
        <v>0.2846074289345793</v>
      </c>
      <c r="AJ40" s="21">
        <f t="shared" si="86"/>
        <v>4800.4735038395493</v>
      </c>
    </row>
    <row r="41" spans="1:36" ht="14.6" x14ac:dyDescent="0.4">
      <c r="A41" s="7">
        <v>9</v>
      </c>
      <c r="B41" s="8" t="s">
        <v>38</v>
      </c>
      <c r="C41" s="185" t="s">
        <v>39</v>
      </c>
      <c r="D41" s="9">
        <f>VLOOKUP(C41,'[1]PREÇO ATUAL'!$A:$D,4,0)</f>
        <v>342</v>
      </c>
      <c r="E41" s="45">
        <v>0.8</v>
      </c>
      <c r="F41" s="45">
        <v>1</v>
      </c>
      <c r="G41" s="45">
        <v>0.85</v>
      </c>
      <c r="H41" s="45">
        <v>1.35</v>
      </c>
      <c r="I41" s="45">
        <v>0.95</v>
      </c>
      <c r="J41" s="45">
        <v>1.1000000000000001</v>
      </c>
      <c r="K41" s="45">
        <v>0.8</v>
      </c>
      <c r="L41" s="45">
        <v>1.35</v>
      </c>
      <c r="M41" s="45">
        <v>0.85</v>
      </c>
      <c r="N41" s="45">
        <v>1.1499999999999999</v>
      </c>
      <c r="O41" s="45">
        <v>0.85</v>
      </c>
      <c r="P41" s="45">
        <v>2.75</v>
      </c>
      <c r="Q41" s="45">
        <v>0.85</v>
      </c>
      <c r="R41" s="45">
        <v>1.5</v>
      </c>
      <c r="S41" s="45">
        <v>0.85</v>
      </c>
      <c r="T41" s="13">
        <f>$D$41*E41</f>
        <v>273.60000000000002</v>
      </c>
      <c r="U41" s="13">
        <f t="shared" ref="U41:AA41" si="98">$D$41*F41</f>
        <v>342</v>
      </c>
      <c r="V41" s="13">
        <f t="shared" si="98"/>
        <v>290.7</v>
      </c>
      <c r="W41" s="13">
        <f t="shared" si="98"/>
        <v>461.70000000000005</v>
      </c>
      <c r="X41" s="13">
        <f t="shared" si="98"/>
        <v>324.89999999999998</v>
      </c>
      <c r="Y41" s="13">
        <f t="shared" si="98"/>
        <v>376.20000000000005</v>
      </c>
      <c r="Z41" s="13">
        <f>$D$41*K41</f>
        <v>273.60000000000002</v>
      </c>
      <c r="AA41" s="13">
        <f t="shared" si="98"/>
        <v>461.70000000000005</v>
      </c>
      <c r="AB41" s="13">
        <f>$D$41*M41</f>
        <v>290.7</v>
      </c>
      <c r="AC41" s="13">
        <f>$D$41*N41</f>
        <v>393.29999999999995</v>
      </c>
      <c r="AD41" s="13">
        <f t="shared" ref="AD41:AH41" si="99">$D$41*O41</f>
        <v>290.7</v>
      </c>
      <c r="AE41" s="13">
        <f t="shared" si="99"/>
        <v>940.5</v>
      </c>
      <c r="AF41" s="13">
        <f t="shared" si="99"/>
        <v>290.7</v>
      </c>
      <c r="AG41" s="13">
        <f t="shared" si="99"/>
        <v>513</v>
      </c>
      <c r="AH41" s="13">
        <f t="shared" si="99"/>
        <v>290.7</v>
      </c>
      <c r="AI41" s="14">
        <f t="shared" si="85"/>
        <v>0.34469674512361415</v>
      </c>
      <c r="AJ41" s="13">
        <f t="shared" si="86"/>
        <v>5814</v>
      </c>
    </row>
    <row r="42" spans="1:36" ht="14.6" x14ac:dyDescent="0.4"/>
    <row r="43" spans="1:36" ht="14.6" x14ac:dyDescent="0.4"/>
    <row r="44" spans="1:36" ht="15.75" customHeight="1" x14ac:dyDescent="0.4"/>
    <row r="45" spans="1:36" ht="15.75" customHeight="1" x14ac:dyDescent="0.4"/>
    <row r="46" spans="1:36" ht="15.75" customHeight="1" x14ac:dyDescent="0.4"/>
    <row r="47" spans="1:36" ht="15.75" customHeight="1" x14ac:dyDescent="0.4"/>
    <row r="48" spans="1:36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</sheetData>
  <mergeCells count="9">
    <mergeCell ref="A1:D2"/>
    <mergeCell ref="AI1:AJ1"/>
    <mergeCell ref="AI2:AJ2"/>
    <mergeCell ref="A30:D31"/>
    <mergeCell ref="AI30:AJ30"/>
    <mergeCell ref="AI31:AJ31"/>
    <mergeCell ref="A15:D16"/>
    <mergeCell ref="AI15:AJ15"/>
    <mergeCell ref="AI16:AJ16"/>
  </mergeCells>
  <pageMargins left="0.511811024" right="0.511811024" top="0.78740157499999996" bottom="0.78740157499999996" header="0" footer="0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ilha19">
    <tabColor rgb="FF00FF00"/>
  </sheetPr>
  <dimension ref="A1:AJ985"/>
  <sheetViews>
    <sheetView showGridLines="0" workbookViewId="0">
      <pane xSplit="4" topLeftCell="E1" activePane="topRight" state="frozen"/>
      <selection activeCell="B23" sqref="B23"/>
      <selection pane="topRight" activeCell="D1" sqref="D1:D1048576"/>
    </sheetView>
  </sheetViews>
  <sheetFormatPr defaultColWidth="14.3828125" defaultRowHeight="15" customHeight="1" x14ac:dyDescent="0.4"/>
  <cols>
    <col min="1" max="1" width="3.69140625" customWidth="1"/>
    <col min="2" max="2" width="50" bestFit="1" customWidth="1"/>
    <col min="3" max="3" width="16.84375" customWidth="1"/>
    <col min="4" max="4" width="8.69140625" customWidth="1"/>
    <col min="5" max="7" width="8.84375" customWidth="1"/>
    <col min="8" max="19" width="5.15234375" customWidth="1"/>
    <col min="20" max="20" width="14.15234375" customWidth="1"/>
    <col min="21" max="22" width="13.3828125" customWidth="1"/>
    <col min="23" max="23" width="15.3828125" customWidth="1"/>
    <col min="24" max="24" width="13.3828125" customWidth="1"/>
    <col min="25" max="25" width="15.3828125" customWidth="1"/>
    <col min="26" max="26" width="13.3828125" customWidth="1"/>
    <col min="27" max="27" width="15.3828125" customWidth="1"/>
    <col min="28" max="28" width="15.69140625" customWidth="1"/>
    <col min="29" max="30" width="13.69140625" bestFit="1" customWidth="1"/>
    <col min="31" max="31" width="15.69140625" bestFit="1" customWidth="1"/>
    <col min="32" max="34" width="13.69140625" bestFit="1" customWidth="1"/>
    <col min="35" max="35" width="9.15234375" customWidth="1"/>
    <col min="36" max="36" width="15.53515625" customWidth="1"/>
  </cols>
  <sheetData>
    <row r="1" spans="1:36" ht="15.75" customHeight="1" x14ac:dyDescent="0.4">
      <c r="A1" s="214" t="s">
        <v>130</v>
      </c>
      <c r="B1" s="214"/>
      <c r="C1" s="214"/>
      <c r="D1" s="216"/>
      <c r="E1" s="126" t="s">
        <v>3</v>
      </c>
      <c r="F1" s="133"/>
      <c r="G1" s="133"/>
      <c r="H1" s="133"/>
      <c r="I1" s="133"/>
      <c r="J1" s="133"/>
      <c r="K1" s="133"/>
      <c r="L1" s="133"/>
      <c r="M1" s="133"/>
      <c r="N1" s="134"/>
      <c r="O1" s="133"/>
      <c r="P1" s="133"/>
      <c r="Q1" s="133"/>
      <c r="R1" s="133"/>
      <c r="S1" s="133"/>
      <c r="T1" s="125" t="s">
        <v>4</v>
      </c>
      <c r="U1" s="125"/>
      <c r="V1" s="125"/>
      <c r="W1" s="125"/>
      <c r="X1" s="125"/>
      <c r="Y1" s="125"/>
      <c r="Z1" s="125"/>
      <c r="AA1" s="125"/>
      <c r="AB1" s="125"/>
      <c r="AC1" s="125"/>
      <c r="AD1" s="147"/>
      <c r="AE1" s="147"/>
      <c r="AF1" s="147"/>
      <c r="AG1" s="147"/>
      <c r="AH1" s="147"/>
      <c r="AI1" s="219" t="s">
        <v>5</v>
      </c>
      <c r="AJ1" s="220"/>
    </row>
    <row r="2" spans="1:36" ht="15" customHeight="1" x14ac:dyDescent="0.4">
      <c r="A2" s="214"/>
      <c r="B2" s="214"/>
      <c r="C2" s="214"/>
      <c r="D2" s="217"/>
      <c r="E2" s="130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2">
        <f>MROUND(SUM(T4:T10),1)</f>
        <v>814</v>
      </c>
      <c r="U2" s="2">
        <f t="shared" ref="U2:AC2" si="0">MROUND(SUM(U4:U10),1)</f>
        <v>831</v>
      </c>
      <c r="V2" s="2">
        <f t="shared" si="0"/>
        <v>994</v>
      </c>
      <c r="W2" s="2">
        <f t="shared" si="0"/>
        <v>831</v>
      </c>
      <c r="X2" s="2">
        <f t="shared" si="0"/>
        <v>848</v>
      </c>
      <c r="Y2" s="2">
        <f t="shared" si="0"/>
        <v>1572</v>
      </c>
      <c r="Z2" s="2">
        <f t="shared" si="0"/>
        <v>814</v>
      </c>
      <c r="AA2" s="2">
        <f t="shared" si="0"/>
        <v>831</v>
      </c>
      <c r="AB2" s="2">
        <f t="shared" si="0"/>
        <v>994</v>
      </c>
      <c r="AC2" s="2">
        <f t="shared" si="0"/>
        <v>865</v>
      </c>
      <c r="AD2" s="2">
        <f t="shared" ref="AD2:AH2" si="1">MROUND(SUM(AD4:AD10),1)</f>
        <v>814</v>
      </c>
      <c r="AE2" s="2">
        <f t="shared" si="1"/>
        <v>1641</v>
      </c>
      <c r="AF2" s="2">
        <f t="shared" si="1"/>
        <v>814</v>
      </c>
      <c r="AG2" s="2">
        <f t="shared" si="1"/>
        <v>831</v>
      </c>
      <c r="AH2" s="2">
        <f t="shared" si="1"/>
        <v>1028</v>
      </c>
      <c r="AI2" s="221">
        <f>SUM(T2:AH2)</f>
        <v>14522</v>
      </c>
      <c r="AJ2" s="220"/>
    </row>
    <row r="3" spans="1:36" ht="14.6" x14ac:dyDescent="0.4">
      <c r="A3" s="3" t="s">
        <v>6</v>
      </c>
      <c r="B3" s="3" t="s">
        <v>7</v>
      </c>
      <c r="C3" s="3" t="s">
        <v>8</v>
      </c>
      <c r="D3" s="4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18</v>
      </c>
      <c r="N3" s="5" t="s">
        <v>19</v>
      </c>
      <c r="O3" s="5" t="s">
        <v>116</v>
      </c>
      <c r="P3" s="5" t="s">
        <v>117</v>
      </c>
      <c r="Q3" s="5" t="s">
        <v>118</v>
      </c>
      <c r="R3" s="5" t="s">
        <v>119</v>
      </c>
      <c r="S3" s="5" t="s">
        <v>120</v>
      </c>
      <c r="T3" s="36">
        <v>10000</v>
      </c>
      <c r="U3" s="36">
        <v>20000</v>
      </c>
      <c r="V3" s="36">
        <v>30000</v>
      </c>
      <c r="W3" s="36">
        <v>40000</v>
      </c>
      <c r="X3" s="36">
        <v>50000</v>
      </c>
      <c r="Y3" s="36">
        <v>60000</v>
      </c>
      <c r="Z3" s="36">
        <v>70000</v>
      </c>
      <c r="AA3" s="36">
        <v>80000</v>
      </c>
      <c r="AB3" s="36">
        <v>90000</v>
      </c>
      <c r="AC3" s="36">
        <v>100000</v>
      </c>
      <c r="AD3" s="36">
        <f>AC3+10000</f>
        <v>110000</v>
      </c>
      <c r="AE3" s="36">
        <f t="shared" ref="AE3:AH3" si="2">AD3+10000</f>
        <v>120000</v>
      </c>
      <c r="AF3" s="36">
        <f t="shared" si="2"/>
        <v>130000</v>
      </c>
      <c r="AG3" s="36">
        <f t="shared" si="2"/>
        <v>140000</v>
      </c>
      <c r="AH3" s="36">
        <f t="shared" si="2"/>
        <v>150000</v>
      </c>
      <c r="AI3" s="52">
        <f>SUM(AI4:AI10)</f>
        <v>0.99999700731500207</v>
      </c>
      <c r="AJ3" s="3" t="s">
        <v>21</v>
      </c>
    </row>
    <row r="4" spans="1:36" ht="14.6" x14ac:dyDescent="0.4">
      <c r="A4" s="7">
        <v>1</v>
      </c>
      <c r="B4" s="8" t="s">
        <v>22</v>
      </c>
      <c r="C4" s="185" t="s">
        <v>97</v>
      </c>
      <c r="D4" s="9">
        <f>VLOOKUP(C4,'[1]PREÇO ATUAL'!$A:$D,4,0)</f>
        <v>112.46</v>
      </c>
      <c r="E4" s="10">
        <v>1</v>
      </c>
      <c r="F4" s="10">
        <v>1</v>
      </c>
      <c r="G4" s="10">
        <v>1</v>
      </c>
      <c r="H4" s="10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0">
        <v>1</v>
      </c>
      <c r="O4" s="10">
        <v>1</v>
      </c>
      <c r="P4" s="10">
        <v>1</v>
      </c>
      <c r="Q4" s="10">
        <v>1</v>
      </c>
      <c r="R4" s="10">
        <v>1</v>
      </c>
      <c r="S4" s="10">
        <v>1</v>
      </c>
      <c r="T4" s="13">
        <f t="shared" ref="T4:AC4" si="3">$D4*E4</f>
        <v>112.46</v>
      </c>
      <c r="U4" s="13">
        <f t="shared" si="3"/>
        <v>112.46</v>
      </c>
      <c r="V4" s="13">
        <f t="shared" si="3"/>
        <v>112.46</v>
      </c>
      <c r="W4" s="13">
        <f t="shared" si="3"/>
        <v>112.46</v>
      </c>
      <c r="X4" s="13">
        <f t="shared" si="3"/>
        <v>112.46</v>
      </c>
      <c r="Y4" s="13">
        <f t="shared" si="3"/>
        <v>112.46</v>
      </c>
      <c r="Z4" s="13">
        <f t="shared" si="3"/>
        <v>112.46</v>
      </c>
      <c r="AA4" s="13">
        <f t="shared" si="3"/>
        <v>112.46</v>
      </c>
      <c r="AB4" s="13">
        <f t="shared" si="3"/>
        <v>112.46</v>
      </c>
      <c r="AC4" s="26">
        <f t="shared" si="3"/>
        <v>112.46</v>
      </c>
      <c r="AD4" s="26">
        <f t="shared" ref="AD4:AH10" si="4">$D4*O4</f>
        <v>112.46</v>
      </c>
      <c r="AE4" s="26">
        <f t="shared" si="4"/>
        <v>112.46</v>
      </c>
      <c r="AF4" s="26">
        <f t="shared" si="4"/>
        <v>112.46</v>
      </c>
      <c r="AG4" s="26">
        <f t="shared" si="4"/>
        <v>112.46</v>
      </c>
      <c r="AH4" s="26">
        <f t="shared" si="4"/>
        <v>112.46</v>
      </c>
      <c r="AI4" s="37">
        <f t="shared" ref="AI4:AI10" si="5">AJ4/$AI$2</f>
        <v>0.11616168571822065</v>
      </c>
      <c r="AJ4" s="13">
        <f t="shared" ref="AJ4:AJ10" si="6">SUM(T4:AH4)</f>
        <v>1686.9000000000003</v>
      </c>
    </row>
    <row r="5" spans="1:36" ht="14.6" x14ac:dyDescent="0.4">
      <c r="A5" s="15">
        <v>2</v>
      </c>
      <c r="B5" s="16" t="s">
        <v>24</v>
      </c>
      <c r="C5" s="186" t="s">
        <v>98</v>
      </c>
      <c r="D5" s="17">
        <f>VLOOKUP(C5,'[1]PREÇO ATUAL'!$A:$D,4,0)</f>
        <v>35.9</v>
      </c>
      <c r="E5" s="18">
        <v>1</v>
      </c>
      <c r="F5" s="18">
        <v>1</v>
      </c>
      <c r="G5" s="18">
        <v>1</v>
      </c>
      <c r="H5" s="18">
        <v>1</v>
      </c>
      <c r="I5" s="19">
        <v>1</v>
      </c>
      <c r="J5" s="19">
        <v>1</v>
      </c>
      <c r="K5" s="19">
        <v>1</v>
      </c>
      <c r="L5" s="19">
        <v>1</v>
      </c>
      <c r="M5" s="19">
        <v>1</v>
      </c>
      <c r="N5" s="18">
        <v>1</v>
      </c>
      <c r="O5" s="18">
        <v>1</v>
      </c>
      <c r="P5" s="18">
        <v>1</v>
      </c>
      <c r="Q5" s="18">
        <v>1</v>
      </c>
      <c r="R5" s="18">
        <v>1</v>
      </c>
      <c r="S5" s="18">
        <v>1</v>
      </c>
      <c r="T5" s="21">
        <f t="shared" ref="T5:AC5" si="7">$D5*E5</f>
        <v>35.9</v>
      </c>
      <c r="U5" s="21">
        <f t="shared" si="7"/>
        <v>35.9</v>
      </c>
      <c r="V5" s="21">
        <f t="shared" si="7"/>
        <v>35.9</v>
      </c>
      <c r="W5" s="21">
        <f t="shared" si="7"/>
        <v>35.9</v>
      </c>
      <c r="X5" s="21">
        <f t="shared" si="7"/>
        <v>35.9</v>
      </c>
      <c r="Y5" s="21">
        <f t="shared" si="7"/>
        <v>35.9</v>
      </c>
      <c r="Z5" s="21">
        <f t="shared" si="7"/>
        <v>35.9</v>
      </c>
      <c r="AA5" s="21">
        <f t="shared" si="7"/>
        <v>35.9</v>
      </c>
      <c r="AB5" s="21">
        <f t="shared" si="7"/>
        <v>35.9</v>
      </c>
      <c r="AC5" s="27">
        <f t="shared" si="7"/>
        <v>35.9</v>
      </c>
      <c r="AD5" s="27">
        <f t="shared" si="4"/>
        <v>35.9</v>
      </c>
      <c r="AE5" s="27">
        <f t="shared" si="4"/>
        <v>35.9</v>
      </c>
      <c r="AF5" s="27">
        <f t="shared" si="4"/>
        <v>35.9</v>
      </c>
      <c r="AG5" s="27">
        <f t="shared" si="4"/>
        <v>35.9</v>
      </c>
      <c r="AH5" s="27">
        <f t="shared" si="4"/>
        <v>35.9</v>
      </c>
      <c r="AI5" s="38">
        <f t="shared" si="5"/>
        <v>3.7081669191571402E-2</v>
      </c>
      <c r="AJ5" s="21">
        <f>SUM(T5:AH5)</f>
        <v>538.49999999999989</v>
      </c>
    </row>
    <row r="6" spans="1:36" ht="14.6" x14ac:dyDescent="0.4">
      <c r="A6" s="7">
        <v>3</v>
      </c>
      <c r="B6" s="8" t="s">
        <v>26</v>
      </c>
      <c r="C6" s="185" t="s">
        <v>99</v>
      </c>
      <c r="D6" s="9">
        <f>VLOOKUP(C6,'[1]PREÇO ATUAL'!$A:$D,4,0)</f>
        <v>180.21</v>
      </c>
      <c r="E6" s="10"/>
      <c r="F6" s="10"/>
      <c r="G6" s="10">
        <v>1</v>
      </c>
      <c r="H6" s="10"/>
      <c r="I6" s="11"/>
      <c r="J6" s="11">
        <v>1</v>
      </c>
      <c r="K6" s="11"/>
      <c r="L6" s="11"/>
      <c r="M6" s="11">
        <v>1</v>
      </c>
      <c r="N6" s="10"/>
      <c r="O6" s="154"/>
      <c r="P6" s="11">
        <v>1</v>
      </c>
      <c r="Q6" s="11"/>
      <c r="R6" s="11"/>
      <c r="S6" s="11">
        <v>1</v>
      </c>
      <c r="T6" s="13">
        <f t="shared" ref="T6:AC6" si="8">$D6*E6</f>
        <v>0</v>
      </c>
      <c r="U6" s="13">
        <f t="shared" si="8"/>
        <v>0</v>
      </c>
      <c r="V6" s="13">
        <f t="shared" si="8"/>
        <v>180.21</v>
      </c>
      <c r="W6" s="13">
        <f t="shared" si="8"/>
        <v>0</v>
      </c>
      <c r="X6" s="13">
        <f t="shared" si="8"/>
        <v>0</v>
      </c>
      <c r="Y6" s="13">
        <f t="shared" si="8"/>
        <v>180.21</v>
      </c>
      <c r="Z6" s="13">
        <f t="shared" si="8"/>
        <v>0</v>
      </c>
      <c r="AA6" s="13">
        <f t="shared" si="8"/>
        <v>0</v>
      </c>
      <c r="AB6" s="13">
        <f t="shared" si="8"/>
        <v>180.21</v>
      </c>
      <c r="AC6" s="26">
        <f t="shared" si="8"/>
        <v>0</v>
      </c>
      <c r="AD6" s="26">
        <f t="shared" si="4"/>
        <v>0</v>
      </c>
      <c r="AE6" s="26">
        <f t="shared" si="4"/>
        <v>180.21</v>
      </c>
      <c r="AF6" s="26">
        <f t="shared" si="4"/>
        <v>0</v>
      </c>
      <c r="AG6" s="26">
        <f t="shared" si="4"/>
        <v>0</v>
      </c>
      <c r="AH6" s="26">
        <f t="shared" si="4"/>
        <v>180.21</v>
      </c>
      <c r="AI6" s="37">
        <f t="shared" si="5"/>
        <v>6.2047238672359187E-2</v>
      </c>
      <c r="AJ6" s="13">
        <f t="shared" si="6"/>
        <v>901.05000000000007</v>
      </c>
    </row>
    <row r="7" spans="1:36" ht="14.6" hidden="1" x14ac:dyDescent="0.4">
      <c r="A7" s="15">
        <v>4</v>
      </c>
      <c r="B7" s="16" t="s">
        <v>28</v>
      </c>
      <c r="C7" s="186" t="s">
        <v>100</v>
      </c>
      <c r="D7" s="17">
        <f>VLOOKUP(C7,'[1]PREÇO ATUAL'!$A:$D,4,0)</f>
        <v>169.9</v>
      </c>
      <c r="E7" s="18"/>
      <c r="F7" s="18"/>
      <c r="G7" s="18"/>
      <c r="H7" s="18"/>
      <c r="I7" s="19"/>
      <c r="J7" s="19">
        <v>3</v>
      </c>
      <c r="K7" s="19"/>
      <c r="L7" s="19"/>
      <c r="M7" s="19"/>
      <c r="N7" s="18"/>
      <c r="O7" s="155"/>
      <c r="P7" s="19">
        <v>3</v>
      </c>
      <c r="Q7" s="19"/>
      <c r="R7" s="19"/>
      <c r="S7" s="19"/>
      <c r="T7" s="21">
        <f t="shared" ref="T7:AC7" si="9">$D7*E7</f>
        <v>0</v>
      </c>
      <c r="U7" s="21">
        <f t="shared" si="9"/>
        <v>0</v>
      </c>
      <c r="V7" s="21">
        <f t="shared" si="9"/>
        <v>0</v>
      </c>
      <c r="W7" s="21">
        <f t="shared" si="9"/>
        <v>0</v>
      </c>
      <c r="X7" s="21">
        <f t="shared" si="9"/>
        <v>0</v>
      </c>
      <c r="Y7" s="21">
        <f t="shared" si="9"/>
        <v>509.70000000000005</v>
      </c>
      <c r="Z7" s="21">
        <f t="shared" si="9"/>
        <v>0</v>
      </c>
      <c r="AA7" s="21">
        <f t="shared" si="9"/>
        <v>0</v>
      </c>
      <c r="AB7" s="21">
        <f t="shared" si="9"/>
        <v>0</v>
      </c>
      <c r="AC7" s="27">
        <f t="shared" si="9"/>
        <v>0</v>
      </c>
      <c r="AD7" s="27">
        <f t="shared" si="4"/>
        <v>0</v>
      </c>
      <c r="AE7" s="27">
        <f t="shared" si="4"/>
        <v>509.70000000000005</v>
      </c>
      <c r="AF7" s="27">
        <f t="shared" si="4"/>
        <v>0</v>
      </c>
      <c r="AG7" s="27">
        <f t="shared" si="4"/>
        <v>0</v>
      </c>
      <c r="AH7" s="27">
        <f t="shared" si="4"/>
        <v>0</v>
      </c>
      <c r="AI7" s="38">
        <f t="shared" si="5"/>
        <v>7.0196942569893964E-2</v>
      </c>
      <c r="AJ7" s="21">
        <f>SUM(T7:AH7)</f>
        <v>1019.4000000000001</v>
      </c>
    </row>
    <row r="8" spans="1:36" ht="14.6" hidden="1" x14ac:dyDescent="0.4">
      <c r="A8" s="7">
        <v>5</v>
      </c>
      <c r="B8" s="8" t="s">
        <v>34</v>
      </c>
      <c r="C8" s="185" t="s">
        <v>35</v>
      </c>
      <c r="D8" s="9">
        <f>VLOOKUP(C8,'[1]PREÇO ATUAL'!$A:$D,4,0)</f>
        <v>33.622493083850472</v>
      </c>
      <c r="E8" s="10"/>
      <c r="F8" s="10"/>
      <c r="G8" s="10"/>
      <c r="H8" s="10"/>
      <c r="I8" s="11"/>
      <c r="J8" s="11"/>
      <c r="K8" s="11"/>
      <c r="L8" s="11"/>
      <c r="M8" s="11"/>
      <c r="N8" s="10"/>
      <c r="O8" s="154"/>
      <c r="P8" s="11"/>
      <c r="Q8" s="11"/>
      <c r="R8" s="11"/>
      <c r="S8" s="11"/>
      <c r="T8" s="13">
        <f t="shared" ref="T8:AC8" si="10">$D8*E8</f>
        <v>0</v>
      </c>
      <c r="U8" s="13">
        <f t="shared" si="10"/>
        <v>0</v>
      </c>
      <c r="V8" s="13">
        <f t="shared" si="10"/>
        <v>0</v>
      </c>
      <c r="W8" s="13">
        <f t="shared" si="10"/>
        <v>0</v>
      </c>
      <c r="X8" s="13">
        <f t="shared" si="10"/>
        <v>0</v>
      </c>
      <c r="Y8" s="13">
        <f t="shared" si="10"/>
        <v>0</v>
      </c>
      <c r="Z8" s="13">
        <f t="shared" si="10"/>
        <v>0</v>
      </c>
      <c r="AA8" s="13">
        <f t="shared" si="10"/>
        <v>0</v>
      </c>
      <c r="AB8" s="13">
        <f t="shared" si="10"/>
        <v>0</v>
      </c>
      <c r="AC8" s="26">
        <f t="shared" si="10"/>
        <v>0</v>
      </c>
      <c r="AD8" s="26">
        <f t="shared" si="4"/>
        <v>0</v>
      </c>
      <c r="AE8" s="26">
        <f t="shared" si="4"/>
        <v>0</v>
      </c>
      <c r="AF8" s="26">
        <f t="shared" si="4"/>
        <v>0</v>
      </c>
      <c r="AG8" s="26">
        <f t="shared" si="4"/>
        <v>0</v>
      </c>
      <c r="AH8" s="26">
        <f t="shared" si="4"/>
        <v>0</v>
      </c>
      <c r="AI8" s="37">
        <f t="shared" si="5"/>
        <v>0</v>
      </c>
      <c r="AJ8" s="13">
        <f t="shared" si="6"/>
        <v>0</v>
      </c>
    </row>
    <row r="9" spans="1:36" ht="14.6" x14ac:dyDescent="0.4">
      <c r="A9" s="15">
        <v>6</v>
      </c>
      <c r="B9" s="16" t="s">
        <v>101</v>
      </c>
      <c r="C9" s="186" t="s">
        <v>102</v>
      </c>
      <c r="D9" s="17">
        <f>VLOOKUP(C9,'[1]PREÇO ATUAL'!$A:$D,4,0)</f>
        <v>107.0915531472088</v>
      </c>
      <c r="E9" s="28">
        <v>3.5</v>
      </c>
      <c r="F9" s="28">
        <v>3.5</v>
      </c>
      <c r="G9" s="28">
        <v>3.5</v>
      </c>
      <c r="H9" s="28">
        <v>3.5</v>
      </c>
      <c r="I9" s="28">
        <v>3.5</v>
      </c>
      <c r="J9" s="28">
        <v>3.5</v>
      </c>
      <c r="K9" s="28">
        <v>3.5</v>
      </c>
      <c r="L9" s="28">
        <v>3.5</v>
      </c>
      <c r="M9" s="28">
        <v>3.5</v>
      </c>
      <c r="N9" s="28">
        <v>3.5</v>
      </c>
      <c r="O9" s="28">
        <v>3.5</v>
      </c>
      <c r="P9" s="28">
        <v>3.5</v>
      </c>
      <c r="Q9" s="28">
        <v>3.5</v>
      </c>
      <c r="R9" s="28">
        <v>3.5</v>
      </c>
      <c r="S9" s="28">
        <v>3.5</v>
      </c>
      <c r="T9" s="21">
        <f t="shared" ref="T9:AC9" si="11">$D9*E9</f>
        <v>374.82043601523083</v>
      </c>
      <c r="U9" s="21">
        <f t="shared" si="11"/>
        <v>374.82043601523083</v>
      </c>
      <c r="V9" s="21">
        <f t="shared" si="11"/>
        <v>374.82043601523083</v>
      </c>
      <c r="W9" s="21">
        <f t="shared" si="11"/>
        <v>374.82043601523083</v>
      </c>
      <c r="X9" s="21">
        <f t="shared" si="11"/>
        <v>374.82043601523083</v>
      </c>
      <c r="Y9" s="21">
        <f t="shared" si="11"/>
        <v>374.82043601523083</v>
      </c>
      <c r="Z9" s="21">
        <f t="shared" si="11"/>
        <v>374.82043601523083</v>
      </c>
      <c r="AA9" s="21">
        <f t="shared" si="11"/>
        <v>374.82043601523083</v>
      </c>
      <c r="AB9" s="21">
        <f t="shared" si="11"/>
        <v>374.82043601523083</v>
      </c>
      <c r="AC9" s="27">
        <f t="shared" si="11"/>
        <v>374.82043601523083</v>
      </c>
      <c r="AD9" s="27">
        <f t="shared" si="4"/>
        <v>374.82043601523083</v>
      </c>
      <c r="AE9" s="27">
        <f t="shared" si="4"/>
        <v>374.82043601523083</v>
      </c>
      <c r="AF9" s="27">
        <f t="shared" si="4"/>
        <v>374.82043601523083</v>
      </c>
      <c r="AG9" s="27">
        <f t="shared" si="4"/>
        <v>374.82043601523083</v>
      </c>
      <c r="AH9" s="27">
        <f t="shared" si="4"/>
        <v>374.82043601523083</v>
      </c>
      <c r="AI9" s="38">
        <f t="shared" si="5"/>
        <v>0.38715786670076169</v>
      </c>
      <c r="AJ9" s="21">
        <f>SUM(T9:AH9)</f>
        <v>5622.306540228461</v>
      </c>
    </row>
    <row r="10" spans="1:36" ht="14.6" x14ac:dyDescent="0.4">
      <c r="A10" s="7">
        <v>7</v>
      </c>
      <c r="B10" s="8" t="s">
        <v>38</v>
      </c>
      <c r="C10" s="185" t="s">
        <v>39</v>
      </c>
      <c r="D10" s="9">
        <f>VLOOKUP(C10,'[1]PREÇO ATUAL'!$A:$D,4,0)</f>
        <v>342</v>
      </c>
      <c r="E10" s="23">
        <v>0.85</v>
      </c>
      <c r="F10" s="23">
        <v>0.9</v>
      </c>
      <c r="G10" s="23">
        <v>0.85</v>
      </c>
      <c r="H10" s="23">
        <v>0.9</v>
      </c>
      <c r="I10" s="9">
        <v>0.95</v>
      </c>
      <c r="J10" s="9">
        <v>1.05</v>
      </c>
      <c r="K10" s="9">
        <v>0.85</v>
      </c>
      <c r="L10" s="9">
        <v>0.9</v>
      </c>
      <c r="M10" s="9">
        <v>0.85</v>
      </c>
      <c r="N10" s="23">
        <v>1</v>
      </c>
      <c r="O10" s="177">
        <v>0.85</v>
      </c>
      <c r="P10" s="9">
        <v>1.25</v>
      </c>
      <c r="Q10" s="9">
        <v>0.85</v>
      </c>
      <c r="R10" s="9">
        <v>0.9</v>
      </c>
      <c r="S10" s="9">
        <v>0.95</v>
      </c>
      <c r="T10" s="13">
        <f>D10*E10</f>
        <v>290.7</v>
      </c>
      <c r="U10" s="13">
        <f t="shared" ref="U10:AC10" si="12">$D10*F10</f>
        <v>307.8</v>
      </c>
      <c r="V10" s="13">
        <f t="shared" si="12"/>
        <v>290.7</v>
      </c>
      <c r="W10" s="13">
        <f t="shared" si="12"/>
        <v>307.8</v>
      </c>
      <c r="X10" s="13">
        <f t="shared" si="12"/>
        <v>324.89999999999998</v>
      </c>
      <c r="Y10" s="13">
        <f t="shared" si="12"/>
        <v>359.1</v>
      </c>
      <c r="Z10" s="13">
        <f t="shared" si="12"/>
        <v>290.7</v>
      </c>
      <c r="AA10" s="13">
        <f t="shared" si="12"/>
        <v>307.8</v>
      </c>
      <c r="AB10" s="13">
        <f t="shared" si="12"/>
        <v>290.7</v>
      </c>
      <c r="AC10" s="26">
        <f t="shared" si="12"/>
        <v>342</v>
      </c>
      <c r="AD10" s="26">
        <f t="shared" si="4"/>
        <v>290.7</v>
      </c>
      <c r="AE10" s="26">
        <f t="shared" si="4"/>
        <v>427.5</v>
      </c>
      <c r="AF10" s="26">
        <f t="shared" si="4"/>
        <v>290.7</v>
      </c>
      <c r="AG10" s="26">
        <f t="shared" si="4"/>
        <v>307.8</v>
      </c>
      <c r="AH10" s="26">
        <f t="shared" si="4"/>
        <v>324.89999999999998</v>
      </c>
      <c r="AI10" s="37">
        <f t="shared" si="5"/>
        <v>0.32735160446219524</v>
      </c>
      <c r="AJ10" s="13">
        <f t="shared" si="6"/>
        <v>4753.7999999999993</v>
      </c>
    </row>
    <row r="11" spans="1:36" ht="14.6" x14ac:dyDescent="0.4">
      <c r="H11" s="39"/>
    </row>
    <row r="12" spans="1:36" ht="15.75" customHeight="1" x14ac:dyDescent="0.4">
      <c r="A12" s="222" t="s">
        <v>131</v>
      </c>
      <c r="B12" s="223"/>
      <c r="C12" s="223"/>
      <c r="D12" s="234"/>
      <c r="E12" s="126" t="s">
        <v>3</v>
      </c>
      <c r="F12" s="133"/>
      <c r="G12" s="133"/>
      <c r="H12" s="133"/>
      <c r="I12" s="133"/>
      <c r="J12" s="133"/>
      <c r="K12" s="133"/>
      <c r="L12" s="133"/>
      <c r="M12" s="133"/>
      <c r="N12" s="134"/>
      <c r="O12" s="133"/>
      <c r="P12" s="133"/>
      <c r="Q12" s="133"/>
      <c r="R12" s="133"/>
      <c r="S12" s="133"/>
      <c r="T12" s="125" t="s">
        <v>4</v>
      </c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219" t="s">
        <v>5</v>
      </c>
      <c r="AJ12" s="220"/>
    </row>
    <row r="13" spans="1:36" ht="15" customHeight="1" x14ac:dyDescent="0.4">
      <c r="A13" s="224"/>
      <c r="B13" s="225"/>
      <c r="C13" s="225"/>
      <c r="D13" s="235"/>
      <c r="E13" s="130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2">
        <f>MROUND(SUM(T15:T22),1)</f>
        <v>814</v>
      </c>
      <c r="U13" s="2">
        <f t="shared" ref="U13:AC13" si="13">MROUND(SUM(U15:U22),1)</f>
        <v>831</v>
      </c>
      <c r="V13" s="2">
        <f t="shared" si="13"/>
        <v>994</v>
      </c>
      <c r="W13" s="2">
        <f t="shared" si="13"/>
        <v>831</v>
      </c>
      <c r="X13" s="2">
        <f t="shared" si="13"/>
        <v>848</v>
      </c>
      <c r="Y13" s="2">
        <f t="shared" si="13"/>
        <v>1572</v>
      </c>
      <c r="Z13" s="2">
        <f t="shared" si="13"/>
        <v>814</v>
      </c>
      <c r="AA13" s="2">
        <f t="shared" si="13"/>
        <v>831</v>
      </c>
      <c r="AB13" s="2">
        <f t="shared" si="13"/>
        <v>994</v>
      </c>
      <c r="AC13" s="2">
        <f t="shared" si="13"/>
        <v>865</v>
      </c>
      <c r="AD13" s="2">
        <f t="shared" ref="AD13:AH13" si="14">MROUND(SUM(AD15:AD22),1)</f>
        <v>814</v>
      </c>
      <c r="AE13" s="2">
        <f t="shared" si="14"/>
        <v>1973</v>
      </c>
      <c r="AF13" s="2">
        <f t="shared" si="14"/>
        <v>814</v>
      </c>
      <c r="AG13" s="2">
        <f t="shared" si="14"/>
        <v>831</v>
      </c>
      <c r="AH13" s="2">
        <f t="shared" si="14"/>
        <v>1028</v>
      </c>
      <c r="AI13" s="221">
        <f>SUM(T13:AH13)</f>
        <v>14854</v>
      </c>
      <c r="AJ13" s="220"/>
    </row>
    <row r="14" spans="1:36" ht="14.6" x14ac:dyDescent="0.4">
      <c r="A14" s="3" t="s">
        <v>6</v>
      </c>
      <c r="B14" s="3" t="s">
        <v>7</v>
      </c>
      <c r="C14" s="3" t="s">
        <v>8</v>
      </c>
      <c r="D14" s="4" t="s">
        <v>9</v>
      </c>
      <c r="E14" s="5" t="s">
        <v>10</v>
      </c>
      <c r="F14" s="5" t="s">
        <v>11</v>
      </c>
      <c r="G14" s="5" t="s">
        <v>12</v>
      </c>
      <c r="H14" s="5" t="s">
        <v>13</v>
      </c>
      <c r="I14" s="5" t="s">
        <v>14</v>
      </c>
      <c r="J14" s="5" t="s">
        <v>15</v>
      </c>
      <c r="K14" s="5" t="s">
        <v>16</v>
      </c>
      <c r="L14" s="5" t="s">
        <v>17</v>
      </c>
      <c r="M14" s="5" t="s">
        <v>18</v>
      </c>
      <c r="N14" s="5" t="s">
        <v>19</v>
      </c>
      <c r="O14" s="5" t="s">
        <v>116</v>
      </c>
      <c r="P14" s="5" t="s">
        <v>117</v>
      </c>
      <c r="Q14" s="5" t="s">
        <v>118</v>
      </c>
      <c r="R14" s="5" t="s">
        <v>119</v>
      </c>
      <c r="S14" s="5" t="s">
        <v>120</v>
      </c>
      <c r="T14" s="36">
        <v>10000</v>
      </c>
      <c r="U14" s="36">
        <v>20000</v>
      </c>
      <c r="V14" s="36">
        <v>30000</v>
      </c>
      <c r="W14" s="36">
        <v>40000</v>
      </c>
      <c r="X14" s="36">
        <v>50000</v>
      </c>
      <c r="Y14" s="36">
        <v>60000</v>
      </c>
      <c r="Z14" s="36">
        <v>70000</v>
      </c>
      <c r="AA14" s="36">
        <v>80000</v>
      </c>
      <c r="AB14" s="36">
        <v>90000</v>
      </c>
      <c r="AC14" s="36">
        <v>100000</v>
      </c>
      <c r="AD14" s="36">
        <f>AC14+10000</f>
        <v>110000</v>
      </c>
      <c r="AE14" s="36">
        <f t="shared" ref="AE14:AH14" si="15">AD14+10000</f>
        <v>120000</v>
      </c>
      <c r="AF14" s="36">
        <f t="shared" si="15"/>
        <v>130000</v>
      </c>
      <c r="AG14" s="36">
        <f t="shared" si="15"/>
        <v>140000</v>
      </c>
      <c r="AH14" s="36">
        <f t="shared" si="15"/>
        <v>150000</v>
      </c>
      <c r="AI14" s="52">
        <f>SUM(AI15:AI22)</f>
        <v>1.0228558587128811</v>
      </c>
      <c r="AJ14" s="3" t="s">
        <v>21</v>
      </c>
    </row>
    <row r="15" spans="1:36" ht="14.6" x14ac:dyDescent="0.4">
      <c r="A15" s="7">
        <v>1</v>
      </c>
      <c r="B15" s="8" t="s">
        <v>22</v>
      </c>
      <c r="C15" s="185" t="s">
        <v>97</v>
      </c>
      <c r="D15" s="9">
        <f>VLOOKUP(C15,'[1]PREÇO ATUAL'!$A:$D,4,0)</f>
        <v>112.46</v>
      </c>
      <c r="E15" s="10">
        <v>1</v>
      </c>
      <c r="F15" s="10">
        <v>1</v>
      </c>
      <c r="G15" s="10">
        <v>1</v>
      </c>
      <c r="H15" s="10">
        <v>1</v>
      </c>
      <c r="I15" s="11">
        <v>1</v>
      </c>
      <c r="J15" s="11">
        <v>1</v>
      </c>
      <c r="K15" s="11">
        <v>1</v>
      </c>
      <c r="L15" s="11">
        <v>1</v>
      </c>
      <c r="M15" s="11">
        <v>1</v>
      </c>
      <c r="N15" s="10">
        <v>1</v>
      </c>
      <c r="O15" s="10">
        <v>1</v>
      </c>
      <c r="P15" s="10">
        <v>1</v>
      </c>
      <c r="Q15" s="10">
        <v>1</v>
      </c>
      <c r="R15" s="10">
        <v>1</v>
      </c>
      <c r="S15" s="10">
        <v>1</v>
      </c>
      <c r="T15" s="13">
        <f t="shared" ref="T15:T21" si="16">$D15*E15</f>
        <v>112.46</v>
      </c>
      <c r="U15" s="13">
        <f t="shared" ref="U15:U22" si="17">$D15*F15</f>
        <v>112.46</v>
      </c>
      <c r="V15" s="13">
        <f t="shared" ref="V15:V22" si="18">$D15*G15</f>
        <v>112.46</v>
      </c>
      <c r="W15" s="13">
        <f t="shared" ref="W15:W22" si="19">$D15*H15</f>
        <v>112.46</v>
      </c>
      <c r="X15" s="13">
        <f t="shared" ref="X15:X22" si="20">$D15*I15</f>
        <v>112.46</v>
      </c>
      <c r="Y15" s="13">
        <f t="shared" ref="Y15:Y22" si="21">$D15*J15</f>
        <v>112.46</v>
      </c>
      <c r="Z15" s="13">
        <f t="shared" ref="Z15:Z22" si="22">$D15*K15</f>
        <v>112.46</v>
      </c>
      <c r="AA15" s="13">
        <f t="shared" ref="AA15:AA22" si="23">$D15*L15</f>
        <v>112.46</v>
      </c>
      <c r="AB15" s="13">
        <f t="shared" ref="AB15:AB22" si="24">$D15*M15</f>
        <v>112.46</v>
      </c>
      <c r="AC15" s="26">
        <f t="shared" ref="AC15:AC22" si="25">$D15*N15</f>
        <v>112.46</v>
      </c>
      <c r="AD15" s="26">
        <f t="shared" ref="AD15:AD22" si="26">$D15*O15</f>
        <v>112.46</v>
      </c>
      <c r="AE15" s="26">
        <f t="shared" ref="AE15:AE22" si="27">$D15*P15</f>
        <v>112.46</v>
      </c>
      <c r="AF15" s="26">
        <f t="shared" ref="AF15:AF22" si="28">$D15*Q15</f>
        <v>112.46</v>
      </c>
      <c r="AG15" s="26">
        <f t="shared" ref="AG15:AG22" si="29">$D15*R15</f>
        <v>112.46</v>
      </c>
      <c r="AH15" s="26">
        <f t="shared" ref="AH15:AH22" si="30">$D15*S15</f>
        <v>112.46</v>
      </c>
      <c r="AI15" s="37">
        <f t="shared" ref="AI15:AI22" si="31">AJ15/$AI$2</f>
        <v>0.11616168571822065</v>
      </c>
      <c r="AJ15" s="13">
        <f>SUM(T15:AH15)</f>
        <v>1686.9000000000003</v>
      </c>
    </row>
    <row r="16" spans="1:36" ht="14.6" x14ac:dyDescent="0.4">
      <c r="A16" s="15">
        <v>2</v>
      </c>
      <c r="B16" s="16" t="s">
        <v>24</v>
      </c>
      <c r="C16" s="186" t="s">
        <v>98</v>
      </c>
      <c r="D16" s="17">
        <f>VLOOKUP(C16,'[1]PREÇO ATUAL'!$A:$D,4,0)</f>
        <v>35.9</v>
      </c>
      <c r="E16" s="18">
        <v>1</v>
      </c>
      <c r="F16" s="18">
        <v>1</v>
      </c>
      <c r="G16" s="18">
        <v>1</v>
      </c>
      <c r="H16" s="18">
        <v>1</v>
      </c>
      <c r="I16" s="19">
        <v>1</v>
      </c>
      <c r="J16" s="19">
        <v>1</v>
      </c>
      <c r="K16" s="19">
        <v>1</v>
      </c>
      <c r="L16" s="19">
        <v>1</v>
      </c>
      <c r="M16" s="19">
        <v>1</v>
      </c>
      <c r="N16" s="18">
        <v>1</v>
      </c>
      <c r="O16" s="18">
        <v>1</v>
      </c>
      <c r="P16" s="18">
        <v>1</v>
      </c>
      <c r="Q16" s="18">
        <v>1</v>
      </c>
      <c r="R16" s="18">
        <v>1</v>
      </c>
      <c r="S16" s="18">
        <v>1</v>
      </c>
      <c r="T16" s="21">
        <f t="shared" si="16"/>
        <v>35.9</v>
      </c>
      <c r="U16" s="21">
        <f t="shared" si="17"/>
        <v>35.9</v>
      </c>
      <c r="V16" s="21">
        <f t="shared" si="18"/>
        <v>35.9</v>
      </c>
      <c r="W16" s="21">
        <f t="shared" si="19"/>
        <v>35.9</v>
      </c>
      <c r="X16" s="21">
        <f t="shared" si="20"/>
        <v>35.9</v>
      </c>
      <c r="Y16" s="21">
        <f t="shared" si="21"/>
        <v>35.9</v>
      </c>
      <c r="Z16" s="21">
        <f t="shared" si="22"/>
        <v>35.9</v>
      </c>
      <c r="AA16" s="21">
        <f t="shared" si="23"/>
        <v>35.9</v>
      </c>
      <c r="AB16" s="21">
        <f t="shared" si="24"/>
        <v>35.9</v>
      </c>
      <c r="AC16" s="27">
        <f t="shared" si="25"/>
        <v>35.9</v>
      </c>
      <c r="AD16" s="27">
        <f t="shared" si="26"/>
        <v>35.9</v>
      </c>
      <c r="AE16" s="27">
        <f t="shared" si="27"/>
        <v>35.9</v>
      </c>
      <c r="AF16" s="27">
        <f t="shared" si="28"/>
        <v>35.9</v>
      </c>
      <c r="AG16" s="27">
        <f t="shared" si="29"/>
        <v>35.9</v>
      </c>
      <c r="AH16" s="27">
        <f t="shared" si="30"/>
        <v>35.9</v>
      </c>
      <c r="AI16" s="38">
        <f t="shared" si="31"/>
        <v>3.7081669191571402E-2</v>
      </c>
      <c r="AJ16" s="21">
        <f>SUM(T16:AH16)</f>
        <v>538.49999999999989</v>
      </c>
    </row>
    <row r="17" spans="1:36" ht="14.6" x14ac:dyDescent="0.4">
      <c r="A17" s="7">
        <v>3</v>
      </c>
      <c r="B17" s="8" t="s">
        <v>26</v>
      </c>
      <c r="C17" s="185" t="s">
        <v>99</v>
      </c>
      <c r="D17" s="9">
        <f>VLOOKUP(C17,'[1]PREÇO ATUAL'!$A:$D,4,0)</f>
        <v>180.21</v>
      </c>
      <c r="E17" s="10"/>
      <c r="F17" s="10"/>
      <c r="G17" s="10">
        <v>1</v>
      </c>
      <c r="H17" s="10"/>
      <c r="I17" s="11"/>
      <c r="J17" s="11">
        <v>1</v>
      </c>
      <c r="K17" s="11"/>
      <c r="L17" s="11"/>
      <c r="M17" s="11">
        <v>1</v>
      </c>
      <c r="N17" s="10"/>
      <c r="O17" s="154"/>
      <c r="P17" s="11">
        <v>1</v>
      </c>
      <c r="Q17" s="11"/>
      <c r="R17" s="11"/>
      <c r="S17" s="11">
        <v>1</v>
      </c>
      <c r="T17" s="13">
        <f t="shared" si="16"/>
        <v>0</v>
      </c>
      <c r="U17" s="13">
        <f t="shared" si="17"/>
        <v>0</v>
      </c>
      <c r="V17" s="13">
        <f t="shared" si="18"/>
        <v>180.21</v>
      </c>
      <c r="W17" s="13">
        <f t="shared" si="19"/>
        <v>0</v>
      </c>
      <c r="X17" s="13">
        <f t="shared" si="20"/>
        <v>0</v>
      </c>
      <c r="Y17" s="13">
        <f t="shared" si="21"/>
        <v>180.21</v>
      </c>
      <c r="Z17" s="13">
        <f t="shared" si="22"/>
        <v>0</v>
      </c>
      <c r="AA17" s="13">
        <f t="shared" si="23"/>
        <v>0</v>
      </c>
      <c r="AB17" s="13">
        <f t="shared" si="24"/>
        <v>180.21</v>
      </c>
      <c r="AC17" s="26">
        <f t="shared" si="25"/>
        <v>0</v>
      </c>
      <c r="AD17" s="26">
        <f t="shared" si="26"/>
        <v>0</v>
      </c>
      <c r="AE17" s="26">
        <f t="shared" si="27"/>
        <v>180.21</v>
      </c>
      <c r="AF17" s="26">
        <f t="shared" si="28"/>
        <v>0</v>
      </c>
      <c r="AG17" s="26">
        <f t="shared" si="29"/>
        <v>0</v>
      </c>
      <c r="AH17" s="26">
        <f t="shared" si="30"/>
        <v>180.21</v>
      </c>
      <c r="AI17" s="37">
        <f t="shared" si="31"/>
        <v>6.2047238672359187E-2</v>
      </c>
      <c r="AJ17" s="13">
        <f t="shared" ref="AJ17:AJ22" si="32">SUM(T17:AH17)</f>
        <v>901.05000000000007</v>
      </c>
    </row>
    <row r="18" spans="1:36" ht="14.6" x14ac:dyDescent="0.4">
      <c r="A18" s="15">
        <v>4</v>
      </c>
      <c r="B18" s="16" t="s">
        <v>28</v>
      </c>
      <c r="C18" s="186" t="s">
        <v>100</v>
      </c>
      <c r="D18" s="17">
        <f>VLOOKUP(C18,'[1]PREÇO ATUAL'!$A:$D,4,0)</f>
        <v>169.9</v>
      </c>
      <c r="E18" s="18"/>
      <c r="F18" s="18"/>
      <c r="G18" s="18"/>
      <c r="H18" s="18"/>
      <c r="I18" s="19"/>
      <c r="J18" s="19">
        <v>3</v>
      </c>
      <c r="K18" s="19"/>
      <c r="L18" s="19"/>
      <c r="M18" s="19"/>
      <c r="N18" s="18"/>
      <c r="O18" s="155"/>
      <c r="P18" s="19">
        <v>3</v>
      </c>
      <c r="Q18" s="19"/>
      <c r="R18" s="19"/>
      <c r="S18" s="19"/>
      <c r="T18" s="21">
        <f t="shared" si="16"/>
        <v>0</v>
      </c>
      <c r="U18" s="21">
        <f t="shared" si="17"/>
        <v>0</v>
      </c>
      <c r="V18" s="21">
        <f t="shared" si="18"/>
        <v>0</v>
      </c>
      <c r="W18" s="21">
        <f t="shared" si="19"/>
        <v>0</v>
      </c>
      <c r="X18" s="21">
        <f t="shared" si="20"/>
        <v>0</v>
      </c>
      <c r="Y18" s="21">
        <f t="shared" si="21"/>
        <v>509.70000000000005</v>
      </c>
      <c r="Z18" s="21">
        <f t="shared" si="22"/>
        <v>0</v>
      </c>
      <c r="AA18" s="21">
        <f t="shared" si="23"/>
        <v>0</v>
      </c>
      <c r="AB18" s="21">
        <f t="shared" si="24"/>
        <v>0</v>
      </c>
      <c r="AC18" s="27">
        <f t="shared" si="25"/>
        <v>0</v>
      </c>
      <c r="AD18" s="27">
        <f t="shared" si="26"/>
        <v>0</v>
      </c>
      <c r="AE18" s="27">
        <f t="shared" si="27"/>
        <v>509.70000000000005</v>
      </c>
      <c r="AF18" s="27">
        <f t="shared" si="28"/>
        <v>0</v>
      </c>
      <c r="AG18" s="27">
        <f t="shared" si="29"/>
        <v>0</v>
      </c>
      <c r="AH18" s="27">
        <f t="shared" si="30"/>
        <v>0</v>
      </c>
      <c r="AI18" s="38">
        <f t="shared" si="31"/>
        <v>7.0196942569893964E-2</v>
      </c>
      <c r="AJ18" s="21">
        <f>SUM(T18:AH18)</f>
        <v>1019.4000000000001</v>
      </c>
    </row>
    <row r="19" spans="1:36" ht="14.6" x14ac:dyDescent="0.4">
      <c r="A19" s="7">
        <v>5</v>
      </c>
      <c r="B19" s="8" t="s">
        <v>34</v>
      </c>
      <c r="C19" s="185" t="s">
        <v>35</v>
      </c>
      <c r="D19" s="9">
        <f>VLOOKUP(C19,'[1]PREÇO ATUAL'!$A:$D,4,0)</f>
        <v>33.622493083850472</v>
      </c>
      <c r="E19" s="10"/>
      <c r="F19" s="10"/>
      <c r="G19" s="10"/>
      <c r="H19" s="10"/>
      <c r="I19" s="11"/>
      <c r="J19" s="11"/>
      <c r="K19" s="11"/>
      <c r="L19" s="11"/>
      <c r="M19" s="11"/>
      <c r="N19" s="10"/>
      <c r="O19" s="154"/>
      <c r="P19" s="11"/>
      <c r="Q19" s="11"/>
      <c r="R19" s="11"/>
      <c r="S19" s="11"/>
      <c r="T19" s="13">
        <f t="shared" si="16"/>
        <v>0</v>
      </c>
      <c r="U19" s="13">
        <f t="shared" si="17"/>
        <v>0</v>
      </c>
      <c r="V19" s="13">
        <f t="shared" si="18"/>
        <v>0</v>
      </c>
      <c r="W19" s="13">
        <f t="shared" si="19"/>
        <v>0</v>
      </c>
      <c r="X19" s="13">
        <f t="shared" si="20"/>
        <v>0</v>
      </c>
      <c r="Y19" s="13">
        <f t="shared" si="21"/>
        <v>0</v>
      </c>
      <c r="Z19" s="13">
        <f t="shared" si="22"/>
        <v>0</v>
      </c>
      <c r="AA19" s="13">
        <f t="shared" si="23"/>
        <v>0</v>
      </c>
      <c r="AB19" s="13">
        <f t="shared" si="24"/>
        <v>0</v>
      </c>
      <c r="AC19" s="26">
        <f t="shared" si="25"/>
        <v>0</v>
      </c>
      <c r="AD19" s="26">
        <f t="shared" si="26"/>
        <v>0</v>
      </c>
      <c r="AE19" s="26">
        <f t="shared" si="27"/>
        <v>0</v>
      </c>
      <c r="AF19" s="26">
        <f t="shared" si="28"/>
        <v>0</v>
      </c>
      <c r="AG19" s="26">
        <f t="shared" si="29"/>
        <v>0</v>
      </c>
      <c r="AH19" s="26">
        <f t="shared" si="30"/>
        <v>0</v>
      </c>
      <c r="AI19" s="37">
        <f t="shared" si="31"/>
        <v>0</v>
      </c>
      <c r="AJ19" s="13">
        <f t="shared" si="32"/>
        <v>0</v>
      </c>
    </row>
    <row r="20" spans="1:36" ht="14.6" x14ac:dyDescent="0.4">
      <c r="A20" s="15">
        <v>6</v>
      </c>
      <c r="B20" s="16" t="s">
        <v>47</v>
      </c>
      <c r="C20" s="186" t="s">
        <v>33</v>
      </c>
      <c r="D20" s="17">
        <f>VLOOKUP(C20,'[1]PREÇO ATUAL'!$A:$D,4,0)</f>
        <v>165.97812000000002</v>
      </c>
      <c r="E20" s="28"/>
      <c r="F20" s="28"/>
      <c r="G20" s="28"/>
      <c r="H20" s="28"/>
      <c r="I20" s="29"/>
      <c r="J20" s="29"/>
      <c r="K20" s="29"/>
      <c r="L20" s="29"/>
      <c r="M20" s="29"/>
      <c r="N20" s="28"/>
      <c r="O20" s="160"/>
      <c r="P20" s="158">
        <v>2</v>
      </c>
      <c r="Q20" s="29"/>
      <c r="R20" s="29"/>
      <c r="S20" s="29"/>
      <c r="T20" s="21">
        <f t="shared" ref="T20" si="33">$D20*E20</f>
        <v>0</v>
      </c>
      <c r="U20" s="21">
        <f t="shared" ref="U20" si="34">$D20*F20</f>
        <v>0</v>
      </c>
      <c r="V20" s="21">
        <f t="shared" ref="V20" si="35">$D20*G20</f>
        <v>0</v>
      </c>
      <c r="W20" s="21">
        <f t="shared" ref="W20" si="36">$D20*H20</f>
        <v>0</v>
      </c>
      <c r="X20" s="21">
        <f t="shared" ref="X20" si="37">$D20*I20</f>
        <v>0</v>
      </c>
      <c r="Y20" s="21">
        <f t="shared" ref="Y20" si="38">$D20*J20</f>
        <v>0</v>
      </c>
      <c r="Z20" s="21">
        <f t="shared" ref="Z20" si="39">$D20*K20</f>
        <v>0</v>
      </c>
      <c r="AA20" s="21">
        <f t="shared" ref="AA20" si="40">$D20*L20</f>
        <v>0</v>
      </c>
      <c r="AB20" s="21">
        <f t="shared" ref="AB20" si="41">$D20*M20</f>
        <v>0</v>
      </c>
      <c r="AC20" s="27">
        <f t="shared" ref="AC20" si="42">$D20*N20</f>
        <v>0</v>
      </c>
      <c r="AD20" s="27">
        <f t="shared" si="26"/>
        <v>0</v>
      </c>
      <c r="AE20" s="27">
        <f t="shared" si="27"/>
        <v>331.95624000000004</v>
      </c>
      <c r="AF20" s="27">
        <f t="shared" si="28"/>
        <v>0</v>
      </c>
      <c r="AG20" s="27">
        <f t="shared" si="29"/>
        <v>0</v>
      </c>
      <c r="AH20" s="27">
        <f t="shared" si="30"/>
        <v>0</v>
      </c>
      <c r="AI20" s="38">
        <f t="shared" ref="AI20" si="43">AJ20/$AI$2</f>
        <v>2.2858851397879083E-2</v>
      </c>
      <c r="AJ20" s="21">
        <f t="shared" si="32"/>
        <v>331.95624000000004</v>
      </c>
    </row>
    <row r="21" spans="1:36" ht="14.6" x14ac:dyDescent="0.4">
      <c r="A21" s="7">
        <v>7</v>
      </c>
      <c r="B21" s="8" t="s">
        <v>101</v>
      </c>
      <c r="C21" s="185" t="s">
        <v>102</v>
      </c>
      <c r="D21" s="9">
        <f>VLOOKUP(C21,'[1]PREÇO ATUAL'!$A:$D,4,0)</f>
        <v>107.0915531472088</v>
      </c>
      <c r="E21" s="45">
        <v>3.5</v>
      </c>
      <c r="F21" s="45">
        <v>3.5</v>
      </c>
      <c r="G21" s="45">
        <v>3.5</v>
      </c>
      <c r="H21" s="45">
        <v>3.5</v>
      </c>
      <c r="I21" s="46">
        <v>3.5</v>
      </c>
      <c r="J21" s="46">
        <v>3.5</v>
      </c>
      <c r="K21" s="46">
        <v>3.5</v>
      </c>
      <c r="L21" s="46">
        <v>3.5</v>
      </c>
      <c r="M21" s="46">
        <v>3.5</v>
      </c>
      <c r="N21" s="45">
        <v>3.5</v>
      </c>
      <c r="O21" s="157">
        <v>3.5</v>
      </c>
      <c r="P21" s="46">
        <v>3.5</v>
      </c>
      <c r="Q21" s="46">
        <v>3.5</v>
      </c>
      <c r="R21" s="46">
        <v>3.5</v>
      </c>
      <c r="S21" s="46">
        <v>3.5</v>
      </c>
      <c r="T21" s="13">
        <f t="shared" si="16"/>
        <v>374.82043601523083</v>
      </c>
      <c r="U21" s="13">
        <f t="shared" si="17"/>
        <v>374.82043601523083</v>
      </c>
      <c r="V21" s="13">
        <f t="shared" si="18"/>
        <v>374.82043601523083</v>
      </c>
      <c r="W21" s="13">
        <f t="shared" si="19"/>
        <v>374.82043601523083</v>
      </c>
      <c r="X21" s="13">
        <f t="shared" si="20"/>
        <v>374.82043601523083</v>
      </c>
      <c r="Y21" s="13">
        <f t="shared" si="21"/>
        <v>374.82043601523083</v>
      </c>
      <c r="Z21" s="13">
        <f t="shared" si="22"/>
        <v>374.82043601523083</v>
      </c>
      <c r="AA21" s="13">
        <f t="shared" si="23"/>
        <v>374.82043601523083</v>
      </c>
      <c r="AB21" s="13">
        <f t="shared" si="24"/>
        <v>374.82043601523083</v>
      </c>
      <c r="AC21" s="26">
        <f t="shared" si="25"/>
        <v>374.82043601523083</v>
      </c>
      <c r="AD21" s="26">
        <f t="shared" si="26"/>
        <v>374.82043601523083</v>
      </c>
      <c r="AE21" s="26">
        <f t="shared" si="27"/>
        <v>374.82043601523083</v>
      </c>
      <c r="AF21" s="26">
        <f t="shared" si="28"/>
        <v>374.82043601523083</v>
      </c>
      <c r="AG21" s="26">
        <f t="shared" si="29"/>
        <v>374.82043601523083</v>
      </c>
      <c r="AH21" s="26">
        <f t="shared" si="30"/>
        <v>374.82043601523083</v>
      </c>
      <c r="AI21" s="37">
        <f t="shared" si="31"/>
        <v>0.38715786670076169</v>
      </c>
      <c r="AJ21" s="13">
        <f t="shared" si="32"/>
        <v>5622.306540228461</v>
      </c>
    </row>
    <row r="22" spans="1:36" ht="14.6" x14ac:dyDescent="0.4">
      <c r="A22" s="15">
        <v>8</v>
      </c>
      <c r="B22" s="16" t="s">
        <v>38</v>
      </c>
      <c r="C22" s="186" t="s">
        <v>39</v>
      </c>
      <c r="D22" s="17">
        <f>VLOOKUP(C22,'[1]PREÇO ATUAL'!$A:$D,4,0)</f>
        <v>342</v>
      </c>
      <c r="E22" s="28">
        <v>0.85</v>
      </c>
      <c r="F22" s="28">
        <v>0.9</v>
      </c>
      <c r="G22" s="28">
        <v>0.85</v>
      </c>
      <c r="H22" s="28">
        <v>0.9</v>
      </c>
      <c r="I22" s="29">
        <v>0.95</v>
      </c>
      <c r="J22" s="29">
        <v>1.05</v>
      </c>
      <c r="K22" s="29">
        <v>0.85</v>
      </c>
      <c r="L22" s="29">
        <v>0.9</v>
      </c>
      <c r="M22" s="29">
        <v>0.85</v>
      </c>
      <c r="N22" s="28">
        <v>1</v>
      </c>
      <c r="O22" s="160">
        <v>0.85</v>
      </c>
      <c r="P22" s="29">
        <v>1.25</v>
      </c>
      <c r="Q22" s="29">
        <v>0.85</v>
      </c>
      <c r="R22" s="29">
        <v>0.9</v>
      </c>
      <c r="S22" s="29">
        <v>0.95</v>
      </c>
      <c r="T22" s="21">
        <f>D22*E22</f>
        <v>290.7</v>
      </c>
      <c r="U22" s="21">
        <f t="shared" si="17"/>
        <v>307.8</v>
      </c>
      <c r="V22" s="21">
        <f t="shared" si="18"/>
        <v>290.7</v>
      </c>
      <c r="W22" s="21">
        <f t="shared" si="19"/>
        <v>307.8</v>
      </c>
      <c r="X22" s="21">
        <f t="shared" si="20"/>
        <v>324.89999999999998</v>
      </c>
      <c r="Y22" s="21">
        <f t="shared" si="21"/>
        <v>359.1</v>
      </c>
      <c r="Z22" s="21">
        <f t="shared" si="22"/>
        <v>290.7</v>
      </c>
      <c r="AA22" s="21">
        <f t="shared" si="23"/>
        <v>307.8</v>
      </c>
      <c r="AB22" s="21">
        <f t="shared" si="24"/>
        <v>290.7</v>
      </c>
      <c r="AC22" s="27">
        <f t="shared" si="25"/>
        <v>342</v>
      </c>
      <c r="AD22" s="27">
        <f t="shared" si="26"/>
        <v>290.7</v>
      </c>
      <c r="AE22" s="27">
        <f t="shared" si="27"/>
        <v>427.5</v>
      </c>
      <c r="AF22" s="27">
        <f t="shared" si="28"/>
        <v>290.7</v>
      </c>
      <c r="AG22" s="27">
        <f t="shared" si="29"/>
        <v>307.8</v>
      </c>
      <c r="AH22" s="27">
        <f t="shared" si="30"/>
        <v>324.89999999999998</v>
      </c>
      <c r="AI22" s="38">
        <f t="shared" si="31"/>
        <v>0.32735160446219524</v>
      </c>
      <c r="AJ22" s="21">
        <f t="shared" si="32"/>
        <v>4753.7999999999993</v>
      </c>
    </row>
    <row r="23" spans="1:36" ht="15.75" customHeight="1" x14ac:dyDescent="0.4"/>
    <row r="24" spans="1:36" ht="15.75" customHeight="1" x14ac:dyDescent="0.4"/>
    <row r="25" spans="1:36" ht="15.75" customHeight="1" x14ac:dyDescent="0.4"/>
    <row r="26" spans="1:36" ht="15.75" customHeight="1" x14ac:dyDescent="0.4"/>
    <row r="27" spans="1:36" ht="15.75" customHeight="1" x14ac:dyDescent="0.4"/>
    <row r="28" spans="1:36" ht="15.75" customHeight="1" x14ac:dyDescent="0.4"/>
    <row r="29" spans="1:36" ht="15.75" customHeight="1" x14ac:dyDescent="0.4"/>
    <row r="30" spans="1:36" ht="15.75" customHeight="1" x14ac:dyDescent="0.4"/>
    <row r="31" spans="1:36" ht="15.75" customHeight="1" x14ac:dyDescent="0.4"/>
    <row r="32" spans="1:36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</sheetData>
  <mergeCells count="5">
    <mergeCell ref="AI1:AJ1"/>
    <mergeCell ref="AI2:AJ2"/>
    <mergeCell ref="A12:D13"/>
    <mergeCell ref="AI12:AJ12"/>
    <mergeCell ref="AI13:AJ13"/>
  </mergeCells>
  <pageMargins left="0.511811024" right="0.511811024" top="0.78740157499999996" bottom="0.78740157499999996" header="0" footer="0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ilha20">
    <tabColor rgb="FF00FF00"/>
  </sheetPr>
  <dimension ref="A1:AJ985"/>
  <sheetViews>
    <sheetView showGridLines="0" workbookViewId="0">
      <pane xSplit="4" topLeftCell="F1" activePane="topRight" state="frozen"/>
      <selection activeCell="B23" sqref="B23"/>
      <selection pane="topRight" activeCell="B29" sqref="B29"/>
    </sheetView>
  </sheetViews>
  <sheetFormatPr defaultColWidth="14.3828125" defaultRowHeight="15" customHeight="1" x14ac:dyDescent="0.4"/>
  <cols>
    <col min="1" max="1" width="3.69140625" customWidth="1"/>
    <col min="2" max="2" width="50" bestFit="1" customWidth="1"/>
    <col min="3" max="3" width="16.84375" customWidth="1"/>
    <col min="4" max="4" width="8.69140625" customWidth="1"/>
    <col min="5" max="19" width="5.15234375" bestFit="1" customWidth="1"/>
    <col min="20" max="20" width="14.15234375" customWidth="1"/>
    <col min="21" max="22" width="13.3828125" customWidth="1"/>
    <col min="23" max="23" width="15.3828125" customWidth="1"/>
    <col min="24" max="24" width="13.3828125" customWidth="1"/>
    <col min="25" max="25" width="15.3828125" customWidth="1"/>
    <col min="26" max="26" width="13.3828125" customWidth="1"/>
    <col min="27" max="27" width="15.3828125" customWidth="1"/>
    <col min="28" max="28" width="15.69140625" customWidth="1"/>
    <col min="29" max="29" width="14.53515625" customWidth="1"/>
    <col min="30" max="30" width="13.69140625" bestFit="1" customWidth="1"/>
    <col min="31" max="31" width="15.69140625" bestFit="1" customWidth="1"/>
    <col min="32" max="34" width="13.69140625" bestFit="1" customWidth="1"/>
    <col min="35" max="35" width="9.15234375" customWidth="1"/>
    <col min="36" max="36" width="15.53515625" customWidth="1"/>
  </cols>
  <sheetData>
    <row r="1" spans="1:36" ht="14.6" x14ac:dyDescent="0.4">
      <c r="A1" s="222" t="s">
        <v>132</v>
      </c>
      <c r="B1" s="223"/>
      <c r="C1" s="223"/>
      <c r="D1" s="223"/>
      <c r="E1" s="226" t="s">
        <v>3</v>
      </c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32"/>
      <c r="T1" s="230" t="s">
        <v>4</v>
      </c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231"/>
      <c r="AH1" s="231"/>
      <c r="AI1" s="219" t="s">
        <v>5</v>
      </c>
      <c r="AJ1" s="220"/>
    </row>
    <row r="2" spans="1:36" ht="14.6" x14ac:dyDescent="0.4">
      <c r="A2" s="224"/>
      <c r="B2" s="225"/>
      <c r="C2" s="225"/>
      <c r="D2" s="225"/>
      <c r="E2" s="228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33"/>
      <c r="T2" s="2">
        <f>MROUND(SUM(T4:T11),1)</f>
        <v>670</v>
      </c>
      <c r="U2" s="2">
        <f t="shared" ref="U2:AC2" si="0">MROUND(SUM(U4:U11),1)</f>
        <v>757</v>
      </c>
      <c r="V2" s="2">
        <f t="shared" si="0"/>
        <v>760</v>
      </c>
      <c r="W2" s="2">
        <f t="shared" si="0"/>
        <v>1563</v>
      </c>
      <c r="X2" s="2">
        <f t="shared" si="0"/>
        <v>721</v>
      </c>
      <c r="Y2" s="2">
        <f t="shared" si="0"/>
        <v>990</v>
      </c>
      <c r="Z2" s="2">
        <f t="shared" si="0"/>
        <v>670</v>
      </c>
      <c r="AA2" s="2">
        <f t="shared" si="0"/>
        <v>1563</v>
      </c>
      <c r="AB2" s="2">
        <f t="shared" si="0"/>
        <v>760</v>
      </c>
      <c r="AC2" s="2">
        <f t="shared" si="0"/>
        <v>808</v>
      </c>
      <c r="AD2" s="2">
        <f t="shared" ref="AD2:AH2" si="1">MROUND(SUM(AD4:AD11),1)</f>
        <v>760</v>
      </c>
      <c r="AE2" s="2">
        <f t="shared" si="1"/>
        <v>1706</v>
      </c>
      <c r="AF2" s="2">
        <f t="shared" si="1"/>
        <v>760</v>
      </c>
      <c r="AG2" s="2">
        <f t="shared" si="1"/>
        <v>757</v>
      </c>
      <c r="AH2" s="2">
        <f t="shared" si="1"/>
        <v>811</v>
      </c>
      <c r="AI2" s="221">
        <f>SUM(T2:AH2)</f>
        <v>14056</v>
      </c>
      <c r="AJ2" s="220"/>
    </row>
    <row r="3" spans="1:36" ht="14.6" x14ac:dyDescent="0.4">
      <c r="A3" s="3" t="s">
        <v>6</v>
      </c>
      <c r="B3" s="3" t="s">
        <v>7</v>
      </c>
      <c r="C3" s="3" t="s">
        <v>8</v>
      </c>
      <c r="D3" s="4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18</v>
      </c>
      <c r="N3" s="5" t="s">
        <v>19</v>
      </c>
      <c r="O3" s="5" t="s">
        <v>116</v>
      </c>
      <c r="P3" s="5" t="s">
        <v>117</v>
      </c>
      <c r="Q3" s="5" t="s">
        <v>118</v>
      </c>
      <c r="R3" s="5" t="s">
        <v>119</v>
      </c>
      <c r="S3" s="5" t="s">
        <v>120</v>
      </c>
      <c r="T3" s="36">
        <v>10000</v>
      </c>
      <c r="U3" s="36">
        <v>20000</v>
      </c>
      <c r="V3" s="36">
        <v>30000</v>
      </c>
      <c r="W3" s="36">
        <v>40000</v>
      </c>
      <c r="X3" s="36">
        <v>50000</v>
      </c>
      <c r="Y3" s="36">
        <v>60000</v>
      </c>
      <c r="Z3" s="36">
        <v>70000</v>
      </c>
      <c r="AA3" s="36">
        <v>80000</v>
      </c>
      <c r="AB3" s="36">
        <v>90000</v>
      </c>
      <c r="AC3" s="36">
        <v>100000</v>
      </c>
      <c r="AD3" s="36">
        <f>AC3+10000</f>
        <v>110000</v>
      </c>
      <c r="AE3" s="36">
        <f t="shared" ref="AE3:AH3" si="2">AD3+10000</f>
        <v>120000</v>
      </c>
      <c r="AF3" s="36">
        <f t="shared" si="2"/>
        <v>130000</v>
      </c>
      <c r="AG3" s="36">
        <f t="shared" si="2"/>
        <v>140000</v>
      </c>
      <c r="AH3" s="36">
        <f t="shared" si="2"/>
        <v>150000</v>
      </c>
      <c r="AI3" s="52">
        <f>SUM(AI4:AI11)</f>
        <v>0.99994716455398747</v>
      </c>
      <c r="AJ3" s="3" t="s">
        <v>21</v>
      </c>
    </row>
    <row r="4" spans="1:36" ht="14.6" x14ac:dyDescent="0.4">
      <c r="A4" s="7">
        <v>1</v>
      </c>
      <c r="B4" s="8" t="s">
        <v>22</v>
      </c>
      <c r="C4" s="185" t="s">
        <v>23</v>
      </c>
      <c r="D4" s="9">
        <f>VLOOKUP(C4,'[1]PREÇO ATUAL'!$A:$D,4,0)</f>
        <v>79.900000000000006</v>
      </c>
      <c r="E4" s="10">
        <v>1</v>
      </c>
      <c r="F4" s="10">
        <v>1</v>
      </c>
      <c r="G4" s="10">
        <v>1</v>
      </c>
      <c r="H4" s="10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0">
        <v>1</v>
      </c>
      <c r="O4" s="11">
        <v>1</v>
      </c>
      <c r="P4" s="10">
        <v>1</v>
      </c>
      <c r="Q4" s="11">
        <v>1</v>
      </c>
      <c r="R4" s="10">
        <v>1</v>
      </c>
      <c r="S4" s="11">
        <v>1</v>
      </c>
      <c r="T4" s="13">
        <f t="shared" ref="T4:AC4" si="3">$D4*E4</f>
        <v>79.900000000000006</v>
      </c>
      <c r="U4" s="13">
        <f t="shared" si="3"/>
        <v>79.900000000000006</v>
      </c>
      <c r="V4" s="13">
        <f t="shared" si="3"/>
        <v>79.900000000000006</v>
      </c>
      <c r="W4" s="13">
        <f t="shared" si="3"/>
        <v>79.900000000000006</v>
      </c>
      <c r="X4" s="13">
        <f t="shared" si="3"/>
        <v>79.900000000000006</v>
      </c>
      <c r="Y4" s="13">
        <f t="shared" si="3"/>
        <v>79.900000000000006</v>
      </c>
      <c r="Z4" s="13">
        <f t="shared" si="3"/>
        <v>79.900000000000006</v>
      </c>
      <c r="AA4" s="13">
        <f t="shared" si="3"/>
        <v>79.900000000000006</v>
      </c>
      <c r="AB4" s="13">
        <f t="shared" si="3"/>
        <v>79.900000000000006</v>
      </c>
      <c r="AC4" s="26">
        <f t="shared" si="3"/>
        <v>79.900000000000006</v>
      </c>
      <c r="AD4" s="26">
        <f t="shared" ref="AD4:AH9" si="4">$D4*O4</f>
        <v>79.900000000000006</v>
      </c>
      <c r="AE4" s="26">
        <f t="shared" si="4"/>
        <v>79.900000000000006</v>
      </c>
      <c r="AF4" s="26">
        <f t="shared" si="4"/>
        <v>79.900000000000006</v>
      </c>
      <c r="AG4" s="26">
        <f t="shared" si="4"/>
        <v>79.900000000000006</v>
      </c>
      <c r="AH4" s="26">
        <f t="shared" si="4"/>
        <v>79.900000000000006</v>
      </c>
      <c r="AI4" s="37">
        <f t="shared" ref="AI4:AI11" si="5">AJ4/$AI$2</f>
        <v>8.5266078542970969E-2</v>
      </c>
      <c r="AJ4" s="13">
        <f>SUM(T4:AH4)</f>
        <v>1198.5</v>
      </c>
    </row>
    <row r="5" spans="1:36" ht="14.6" x14ac:dyDescent="0.4">
      <c r="A5" s="15">
        <v>2</v>
      </c>
      <c r="B5" s="16" t="s">
        <v>24</v>
      </c>
      <c r="C5" s="186" t="s">
        <v>25</v>
      </c>
      <c r="D5" s="17">
        <f>VLOOKUP(C5,'[1]PREÇO ATUAL'!$A:$D,4,0)</f>
        <v>35.9</v>
      </c>
      <c r="E5" s="18"/>
      <c r="F5" s="18">
        <v>1</v>
      </c>
      <c r="G5" s="18"/>
      <c r="H5" s="18">
        <v>1</v>
      </c>
      <c r="I5" s="19"/>
      <c r="J5" s="19">
        <v>1</v>
      </c>
      <c r="K5" s="19"/>
      <c r="L5" s="19">
        <v>1</v>
      </c>
      <c r="M5" s="19"/>
      <c r="N5" s="18">
        <v>1</v>
      </c>
      <c r="O5" s="19"/>
      <c r="P5" s="18">
        <v>1</v>
      </c>
      <c r="Q5" s="19"/>
      <c r="R5" s="18">
        <v>1</v>
      </c>
      <c r="S5" s="19"/>
      <c r="T5" s="21">
        <f t="shared" ref="T5:AC5" si="6">$D5*E5</f>
        <v>0</v>
      </c>
      <c r="U5" s="21">
        <f t="shared" si="6"/>
        <v>35.9</v>
      </c>
      <c r="V5" s="21">
        <f t="shared" si="6"/>
        <v>0</v>
      </c>
      <c r="W5" s="21">
        <f t="shared" si="6"/>
        <v>35.9</v>
      </c>
      <c r="X5" s="21">
        <f t="shared" si="6"/>
        <v>0</v>
      </c>
      <c r="Y5" s="21">
        <f t="shared" si="6"/>
        <v>35.9</v>
      </c>
      <c r="Z5" s="21">
        <f t="shared" si="6"/>
        <v>0</v>
      </c>
      <c r="AA5" s="21">
        <f t="shared" si="6"/>
        <v>35.9</v>
      </c>
      <c r="AB5" s="21">
        <f t="shared" si="6"/>
        <v>0</v>
      </c>
      <c r="AC5" s="27">
        <f t="shared" si="6"/>
        <v>35.9</v>
      </c>
      <c r="AD5" s="27">
        <f t="shared" si="4"/>
        <v>0</v>
      </c>
      <c r="AE5" s="27">
        <f t="shared" si="4"/>
        <v>35.9</v>
      </c>
      <c r="AF5" s="27">
        <f t="shared" si="4"/>
        <v>0</v>
      </c>
      <c r="AG5" s="27">
        <f t="shared" si="4"/>
        <v>35.9</v>
      </c>
      <c r="AH5" s="27">
        <f t="shared" si="4"/>
        <v>0</v>
      </c>
      <c r="AI5" s="38">
        <f t="shared" si="5"/>
        <v>1.7878486055776893E-2</v>
      </c>
      <c r="AJ5" s="21">
        <f t="shared" ref="AJ5:AJ11" si="7">SUM(T5:AH5)</f>
        <v>251.3</v>
      </c>
    </row>
    <row r="6" spans="1:36" ht="14.6" x14ac:dyDescent="0.4">
      <c r="A6" s="7">
        <v>3</v>
      </c>
      <c r="B6" s="8" t="s">
        <v>26</v>
      </c>
      <c r="C6" s="185" t="s">
        <v>27</v>
      </c>
      <c r="D6" s="9">
        <f>VLOOKUP(C6,'[1]PREÇO ATUAL'!$A:$D,4,0)</f>
        <v>89.9</v>
      </c>
      <c r="E6" s="10"/>
      <c r="F6" s="10"/>
      <c r="G6" s="10">
        <v>1</v>
      </c>
      <c r="H6" s="10"/>
      <c r="I6" s="11"/>
      <c r="J6" s="11">
        <v>1</v>
      </c>
      <c r="K6" s="11"/>
      <c r="L6" s="11"/>
      <c r="M6" s="11">
        <v>1</v>
      </c>
      <c r="N6" s="10"/>
      <c r="O6" s="11">
        <v>1</v>
      </c>
      <c r="P6" s="10"/>
      <c r="Q6" s="11">
        <v>1</v>
      </c>
      <c r="R6" s="10"/>
      <c r="S6" s="11">
        <v>1</v>
      </c>
      <c r="T6" s="13">
        <f t="shared" ref="T6:AC6" si="8">$D6*E6</f>
        <v>0</v>
      </c>
      <c r="U6" s="13">
        <f t="shared" si="8"/>
        <v>0</v>
      </c>
      <c r="V6" s="13">
        <f t="shared" si="8"/>
        <v>89.9</v>
      </c>
      <c r="W6" s="13">
        <f t="shared" si="8"/>
        <v>0</v>
      </c>
      <c r="X6" s="13">
        <f t="shared" si="8"/>
        <v>0</v>
      </c>
      <c r="Y6" s="13">
        <f t="shared" si="8"/>
        <v>89.9</v>
      </c>
      <c r="Z6" s="13">
        <f t="shared" si="8"/>
        <v>0</v>
      </c>
      <c r="AA6" s="13">
        <f t="shared" si="8"/>
        <v>0</v>
      </c>
      <c r="AB6" s="13">
        <f t="shared" si="8"/>
        <v>89.9</v>
      </c>
      <c r="AC6" s="26">
        <f t="shared" si="8"/>
        <v>0</v>
      </c>
      <c r="AD6" s="26">
        <f t="shared" si="4"/>
        <v>89.9</v>
      </c>
      <c r="AE6" s="26">
        <f t="shared" si="4"/>
        <v>0</v>
      </c>
      <c r="AF6" s="26">
        <f t="shared" si="4"/>
        <v>89.9</v>
      </c>
      <c r="AG6" s="26">
        <f t="shared" si="4"/>
        <v>0</v>
      </c>
      <c r="AH6" s="26">
        <f t="shared" si="4"/>
        <v>89.9</v>
      </c>
      <c r="AI6" s="37">
        <f t="shared" si="5"/>
        <v>3.8375071143995444E-2</v>
      </c>
      <c r="AJ6" s="13">
        <f t="shared" si="7"/>
        <v>539.4</v>
      </c>
    </row>
    <row r="7" spans="1:36" ht="14.6" x14ac:dyDescent="0.4">
      <c r="A7" s="15">
        <v>4</v>
      </c>
      <c r="B7" s="16" t="s">
        <v>28</v>
      </c>
      <c r="C7" s="186" t="s">
        <v>29</v>
      </c>
      <c r="D7" s="17">
        <f>VLOOKUP(C7,'[1]PREÇO ATUAL'!$A:$D,4,0)</f>
        <v>175.9</v>
      </c>
      <c r="E7" s="18"/>
      <c r="F7" s="18"/>
      <c r="G7" s="18"/>
      <c r="H7" s="18">
        <v>4</v>
      </c>
      <c r="I7" s="19"/>
      <c r="J7" s="19"/>
      <c r="K7" s="19"/>
      <c r="L7" s="19">
        <v>4</v>
      </c>
      <c r="M7" s="19"/>
      <c r="N7" s="18"/>
      <c r="O7" s="155"/>
      <c r="P7" s="19">
        <v>4</v>
      </c>
      <c r="Q7" s="19"/>
      <c r="R7" s="19"/>
      <c r="S7" s="19"/>
      <c r="T7" s="21">
        <f t="shared" ref="T7:AC7" si="9">$D7*E7</f>
        <v>0</v>
      </c>
      <c r="U7" s="21">
        <f t="shared" si="9"/>
        <v>0</v>
      </c>
      <c r="V7" s="21">
        <f t="shared" si="9"/>
        <v>0</v>
      </c>
      <c r="W7" s="21">
        <f t="shared" si="9"/>
        <v>703.6</v>
      </c>
      <c r="X7" s="21">
        <f t="shared" si="9"/>
        <v>0</v>
      </c>
      <c r="Y7" s="21">
        <f t="shared" si="9"/>
        <v>0</v>
      </c>
      <c r="Z7" s="21">
        <f t="shared" si="9"/>
        <v>0</v>
      </c>
      <c r="AA7" s="21">
        <f t="shared" si="9"/>
        <v>703.6</v>
      </c>
      <c r="AB7" s="21">
        <f t="shared" si="9"/>
        <v>0</v>
      </c>
      <c r="AC7" s="27">
        <f t="shared" si="9"/>
        <v>0</v>
      </c>
      <c r="AD7" s="27">
        <f t="shared" si="4"/>
        <v>0</v>
      </c>
      <c r="AE7" s="27">
        <f t="shared" si="4"/>
        <v>703.6</v>
      </c>
      <c r="AF7" s="27">
        <f t="shared" si="4"/>
        <v>0</v>
      </c>
      <c r="AG7" s="27">
        <f t="shared" si="4"/>
        <v>0</v>
      </c>
      <c r="AH7" s="27">
        <f t="shared" si="4"/>
        <v>0</v>
      </c>
      <c r="AI7" s="38">
        <f t="shared" si="5"/>
        <v>0.15017074558907229</v>
      </c>
      <c r="AJ7" s="21">
        <f t="shared" si="7"/>
        <v>2110.8000000000002</v>
      </c>
    </row>
    <row r="8" spans="1:36" ht="15.75" customHeight="1" x14ac:dyDescent="0.4">
      <c r="A8" s="7">
        <v>5</v>
      </c>
      <c r="B8" s="8" t="s">
        <v>30</v>
      </c>
      <c r="C8" s="185" t="s">
        <v>31</v>
      </c>
      <c r="D8" s="9">
        <f>VLOOKUP(C8,'[1]PREÇO ATUAL'!$A:$D,4,0)</f>
        <v>143.22999999999999</v>
      </c>
      <c r="E8" s="10"/>
      <c r="F8" s="10"/>
      <c r="G8" s="10"/>
      <c r="H8" s="10"/>
      <c r="I8" s="11"/>
      <c r="J8" s="11">
        <v>1</v>
      </c>
      <c r="K8" s="11"/>
      <c r="L8" s="11"/>
      <c r="M8" s="11"/>
      <c r="N8" s="10"/>
      <c r="O8" s="154"/>
      <c r="P8" s="11">
        <v>1</v>
      </c>
      <c r="Q8" s="11"/>
      <c r="R8" s="11"/>
      <c r="S8" s="11"/>
      <c r="T8" s="13">
        <f t="shared" ref="T8:AC8" si="10">$D8*E8</f>
        <v>0</v>
      </c>
      <c r="U8" s="13">
        <f t="shared" si="10"/>
        <v>0</v>
      </c>
      <c r="V8" s="13">
        <f t="shared" si="10"/>
        <v>0</v>
      </c>
      <c r="W8" s="13">
        <f t="shared" si="10"/>
        <v>0</v>
      </c>
      <c r="X8" s="13">
        <f t="shared" si="10"/>
        <v>0</v>
      </c>
      <c r="Y8" s="13">
        <f t="shared" si="10"/>
        <v>143.22999999999999</v>
      </c>
      <c r="Z8" s="13">
        <f t="shared" si="10"/>
        <v>0</v>
      </c>
      <c r="AA8" s="13">
        <f t="shared" si="10"/>
        <v>0</v>
      </c>
      <c r="AB8" s="13">
        <f t="shared" si="10"/>
        <v>0</v>
      </c>
      <c r="AC8" s="26">
        <f t="shared" si="10"/>
        <v>0</v>
      </c>
      <c r="AD8" s="26">
        <f t="shared" si="4"/>
        <v>0</v>
      </c>
      <c r="AE8" s="26">
        <f t="shared" si="4"/>
        <v>143.22999999999999</v>
      </c>
      <c r="AF8" s="26">
        <f t="shared" si="4"/>
        <v>0</v>
      </c>
      <c r="AG8" s="26">
        <f t="shared" si="4"/>
        <v>0</v>
      </c>
      <c r="AH8" s="26">
        <f t="shared" si="4"/>
        <v>0</v>
      </c>
      <c r="AI8" s="37">
        <f t="shared" si="5"/>
        <v>2.0379908935685826E-2</v>
      </c>
      <c r="AJ8" s="13">
        <f t="shared" si="7"/>
        <v>286.45999999999998</v>
      </c>
    </row>
    <row r="9" spans="1:36" ht="15.75" customHeight="1" x14ac:dyDescent="0.4">
      <c r="A9" s="15">
        <v>6</v>
      </c>
      <c r="B9" s="16" t="s">
        <v>34</v>
      </c>
      <c r="C9" s="186" t="s">
        <v>35</v>
      </c>
      <c r="D9" s="17">
        <f>VLOOKUP(C9,'[1]PREÇO ATUAL'!$A:$D,4,0)</f>
        <v>33.622493083850472</v>
      </c>
      <c r="E9" s="28"/>
      <c r="F9" s="28"/>
      <c r="G9" s="28"/>
      <c r="H9" s="18"/>
      <c r="I9" s="29"/>
      <c r="J9" s="29"/>
      <c r="K9" s="29"/>
      <c r="L9" s="19"/>
      <c r="M9" s="29"/>
      <c r="N9" s="28"/>
      <c r="O9" s="160"/>
      <c r="P9" s="29"/>
      <c r="Q9" s="29"/>
      <c r="R9" s="29"/>
      <c r="S9" s="29"/>
      <c r="T9" s="21">
        <v>0</v>
      </c>
      <c r="U9" s="21">
        <f t="shared" ref="U9:AC9" si="11">$D9*F9</f>
        <v>0</v>
      </c>
      <c r="V9" s="21">
        <f t="shared" si="11"/>
        <v>0</v>
      </c>
      <c r="W9" s="21">
        <f t="shared" si="11"/>
        <v>0</v>
      </c>
      <c r="X9" s="21">
        <f t="shared" si="11"/>
        <v>0</v>
      </c>
      <c r="Y9" s="21">
        <f t="shared" si="11"/>
        <v>0</v>
      </c>
      <c r="Z9" s="21">
        <f t="shared" si="11"/>
        <v>0</v>
      </c>
      <c r="AA9" s="21">
        <f t="shared" si="11"/>
        <v>0</v>
      </c>
      <c r="AB9" s="21">
        <f t="shared" si="11"/>
        <v>0</v>
      </c>
      <c r="AC9" s="27">
        <f t="shared" si="11"/>
        <v>0</v>
      </c>
      <c r="AD9" s="27">
        <f t="shared" si="4"/>
        <v>0</v>
      </c>
      <c r="AE9" s="27">
        <f t="shared" si="4"/>
        <v>0</v>
      </c>
      <c r="AF9" s="27">
        <f t="shared" si="4"/>
        <v>0</v>
      </c>
      <c r="AG9" s="27">
        <f t="shared" si="4"/>
        <v>0</v>
      </c>
      <c r="AH9" s="27">
        <f t="shared" si="4"/>
        <v>0</v>
      </c>
      <c r="AI9" s="38">
        <f t="shared" si="5"/>
        <v>0</v>
      </c>
      <c r="AJ9" s="21">
        <f t="shared" si="7"/>
        <v>0</v>
      </c>
    </row>
    <row r="10" spans="1:36" ht="15.75" customHeight="1" x14ac:dyDescent="0.4">
      <c r="A10" s="7">
        <v>7</v>
      </c>
      <c r="B10" s="8" t="s">
        <v>36</v>
      </c>
      <c r="C10" s="185" t="s">
        <v>37</v>
      </c>
      <c r="D10" s="9">
        <f>VLOOKUP(C10,'[1]PREÇO ATUAL'!$A:$D,4,0)</f>
        <v>94.126931447834295</v>
      </c>
      <c r="E10" s="23">
        <v>3.36</v>
      </c>
      <c r="F10" s="23">
        <v>3.36</v>
      </c>
      <c r="G10" s="23">
        <v>3.36</v>
      </c>
      <c r="H10" s="23">
        <v>3.36</v>
      </c>
      <c r="I10" s="23">
        <v>3.36</v>
      </c>
      <c r="J10" s="23">
        <v>3.36</v>
      </c>
      <c r="K10" s="23">
        <v>3.36</v>
      </c>
      <c r="L10" s="23">
        <v>3.36</v>
      </c>
      <c r="M10" s="23">
        <v>3.36</v>
      </c>
      <c r="N10" s="23">
        <v>3.36</v>
      </c>
      <c r="O10" s="23">
        <v>3.36</v>
      </c>
      <c r="P10" s="23">
        <v>3.36</v>
      </c>
      <c r="Q10" s="23">
        <v>3.36</v>
      </c>
      <c r="R10" s="23">
        <v>3.36</v>
      </c>
      <c r="S10" s="23">
        <v>3.36</v>
      </c>
      <c r="T10" s="13">
        <f t="shared" ref="T10:AC10" si="12">$D$10*E10</f>
        <v>316.26648966472322</v>
      </c>
      <c r="U10" s="13">
        <f t="shared" si="12"/>
        <v>316.26648966472322</v>
      </c>
      <c r="V10" s="13">
        <f t="shared" si="12"/>
        <v>316.26648966472322</v>
      </c>
      <c r="W10" s="13">
        <f t="shared" si="12"/>
        <v>316.26648966472322</v>
      </c>
      <c r="X10" s="13">
        <f t="shared" si="12"/>
        <v>316.26648966472322</v>
      </c>
      <c r="Y10" s="13">
        <f t="shared" si="12"/>
        <v>316.26648966472322</v>
      </c>
      <c r="Z10" s="13">
        <f t="shared" si="12"/>
        <v>316.26648966472322</v>
      </c>
      <c r="AA10" s="13">
        <f t="shared" si="12"/>
        <v>316.26648966472322</v>
      </c>
      <c r="AB10" s="13">
        <f t="shared" si="12"/>
        <v>316.26648966472322</v>
      </c>
      <c r="AC10" s="26">
        <f t="shared" si="12"/>
        <v>316.26648966472322</v>
      </c>
      <c r="AD10" s="26">
        <f t="shared" ref="AD10" si="13">$D$10*O10</f>
        <v>316.26648966472322</v>
      </c>
      <c r="AE10" s="26">
        <f t="shared" ref="AE10" si="14">$D$10*P10</f>
        <v>316.26648966472322</v>
      </c>
      <c r="AF10" s="26">
        <f t="shared" ref="AF10" si="15">$D$10*Q10</f>
        <v>316.26648966472322</v>
      </c>
      <c r="AG10" s="26">
        <f t="shared" ref="AG10" si="16">$D$10*R10</f>
        <v>316.26648966472322</v>
      </c>
      <c r="AH10" s="26">
        <f t="shared" ref="AH10" si="17">$D$10*S10</f>
        <v>316.26648966472322</v>
      </c>
      <c r="AI10" s="37">
        <f t="shared" si="5"/>
        <v>0.33750692551016281</v>
      </c>
      <c r="AJ10" s="13">
        <f t="shared" si="7"/>
        <v>4743.9973449708486</v>
      </c>
    </row>
    <row r="11" spans="1:36" ht="15.75" customHeight="1" x14ac:dyDescent="0.4">
      <c r="A11" s="15">
        <v>8</v>
      </c>
      <c r="B11" s="16" t="s">
        <v>38</v>
      </c>
      <c r="C11" s="186" t="s">
        <v>39</v>
      </c>
      <c r="D11" s="17">
        <f>VLOOKUP(C11,'[1]PREÇO ATUAL'!$A:$D,4,0)</f>
        <v>342</v>
      </c>
      <c r="E11" s="28">
        <v>0.8</v>
      </c>
      <c r="F11" s="28">
        <v>0.95</v>
      </c>
      <c r="G11" s="28">
        <v>0.8</v>
      </c>
      <c r="H11" s="28">
        <v>1.25</v>
      </c>
      <c r="I11" s="29">
        <v>0.95</v>
      </c>
      <c r="J11" s="29">
        <v>0.95</v>
      </c>
      <c r="K11" s="29">
        <v>0.8</v>
      </c>
      <c r="L11" s="29">
        <v>1.25</v>
      </c>
      <c r="M11" s="29">
        <v>0.8</v>
      </c>
      <c r="N11" s="28">
        <v>1.1000000000000001</v>
      </c>
      <c r="O11" s="160">
        <v>0.8</v>
      </c>
      <c r="P11" s="29">
        <v>1.25</v>
      </c>
      <c r="Q11" s="29">
        <v>0.8</v>
      </c>
      <c r="R11" s="29">
        <v>0.95</v>
      </c>
      <c r="S11" s="29">
        <v>0.95</v>
      </c>
      <c r="T11" s="21">
        <f>D11*E11</f>
        <v>273.60000000000002</v>
      </c>
      <c r="U11" s="21">
        <f t="shared" ref="U11:AC11" si="18">$D$11*F11</f>
        <v>324.89999999999998</v>
      </c>
      <c r="V11" s="21">
        <f t="shared" si="18"/>
        <v>273.60000000000002</v>
      </c>
      <c r="W11" s="21">
        <f t="shared" si="18"/>
        <v>427.5</v>
      </c>
      <c r="X11" s="21">
        <f t="shared" si="18"/>
        <v>324.89999999999998</v>
      </c>
      <c r="Y11" s="21">
        <f t="shared" si="18"/>
        <v>324.89999999999998</v>
      </c>
      <c r="Z11" s="21">
        <f t="shared" si="18"/>
        <v>273.60000000000002</v>
      </c>
      <c r="AA11" s="21">
        <f t="shared" si="18"/>
        <v>427.5</v>
      </c>
      <c r="AB11" s="21">
        <f t="shared" si="18"/>
        <v>273.60000000000002</v>
      </c>
      <c r="AC11" s="27">
        <f t="shared" si="18"/>
        <v>376.20000000000005</v>
      </c>
      <c r="AD11" s="27">
        <f t="shared" ref="AD11" si="19">$D$11*O11</f>
        <v>273.60000000000002</v>
      </c>
      <c r="AE11" s="27">
        <f t="shared" ref="AE11" si="20">$D$11*P11</f>
        <v>427.5</v>
      </c>
      <c r="AF11" s="27">
        <f t="shared" ref="AF11" si="21">$D$11*Q11</f>
        <v>273.60000000000002</v>
      </c>
      <c r="AG11" s="27">
        <f t="shared" ref="AG11" si="22">$D$11*R11</f>
        <v>324.89999999999998</v>
      </c>
      <c r="AH11" s="27">
        <f t="shared" ref="AH11" si="23">$D$11*S11</f>
        <v>324.89999999999998</v>
      </c>
      <c r="AI11" s="38">
        <f t="shared" si="5"/>
        <v>0.35036994877632321</v>
      </c>
      <c r="AJ11" s="21">
        <f t="shared" si="7"/>
        <v>4924.7999999999993</v>
      </c>
    </row>
    <row r="12" spans="1:36" ht="15.75" customHeight="1" x14ac:dyDescent="0.4">
      <c r="H12" s="54"/>
    </row>
    <row r="13" spans="1:36" ht="14.6" x14ac:dyDescent="0.4">
      <c r="A13" s="222" t="s">
        <v>133</v>
      </c>
      <c r="B13" s="223"/>
      <c r="C13" s="223"/>
      <c r="D13" s="223"/>
      <c r="E13" s="226" t="s">
        <v>3</v>
      </c>
      <c r="F13" s="227"/>
      <c r="G13" s="227"/>
      <c r="H13" s="227"/>
      <c r="I13" s="227"/>
      <c r="J13" s="227"/>
      <c r="K13" s="227"/>
      <c r="L13" s="227"/>
      <c r="M13" s="227"/>
      <c r="N13" s="227"/>
      <c r="O13" s="227"/>
      <c r="P13" s="227"/>
      <c r="Q13" s="227"/>
      <c r="R13" s="227"/>
      <c r="S13" s="232"/>
      <c r="T13" s="230" t="s">
        <v>4</v>
      </c>
      <c r="U13" s="231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19" t="s">
        <v>5</v>
      </c>
      <c r="AJ13" s="220"/>
    </row>
    <row r="14" spans="1:36" ht="14.6" x14ac:dyDescent="0.4">
      <c r="A14" s="224"/>
      <c r="B14" s="225"/>
      <c r="C14" s="225"/>
      <c r="D14" s="225"/>
      <c r="E14" s="228"/>
      <c r="F14" s="229"/>
      <c r="G14" s="229"/>
      <c r="H14" s="229"/>
      <c r="I14" s="229"/>
      <c r="J14" s="229"/>
      <c r="K14" s="229"/>
      <c r="L14" s="229"/>
      <c r="M14" s="229"/>
      <c r="N14" s="229"/>
      <c r="O14" s="229"/>
      <c r="P14" s="229"/>
      <c r="Q14" s="229"/>
      <c r="R14" s="229"/>
      <c r="S14" s="233"/>
      <c r="T14" s="2">
        <f>MROUND(SUM(T16:T24),1)</f>
        <v>670</v>
      </c>
      <c r="U14" s="2">
        <f t="shared" ref="U14:AC14" si="24">MROUND(SUM(U16:U24),1)</f>
        <v>757</v>
      </c>
      <c r="V14" s="2">
        <f t="shared" si="24"/>
        <v>760</v>
      </c>
      <c r="W14" s="2">
        <f t="shared" si="24"/>
        <v>1563</v>
      </c>
      <c r="X14" s="2">
        <f t="shared" si="24"/>
        <v>721</v>
      </c>
      <c r="Y14" s="2">
        <f t="shared" si="24"/>
        <v>990</v>
      </c>
      <c r="Z14" s="2">
        <f t="shared" si="24"/>
        <v>670</v>
      </c>
      <c r="AA14" s="2">
        <f t="shared" si="24"/>
        <v>1563</v>
      </c>
      <c r="AB14" s="2">
        <f t="shared" si="24"/>
        <v>760</v>
      </c>
      <c r="AC14" s="2">
        <f t="shared" si="24"/>
        <v>808</v>
      </c>
      <c r="AD14" s="2">
        <f t="shared" ref="AD14:AH14" si="25">MROUND(SUM(AD16:AD24),1)</f>
        <v>670</v>
      </c>
      <c r="AE14" s="2">
        <f t="shared" si="25"/>
        <v>2128</v>
      </c>
      <c r="AF14" s="2">
        <f t="shared" si="25"/>
        <v>670</v>
      </c>
      <c r="AG14" s="2">
        <f t="shared" si="25"/>
        <v>757</v>
      </c>
      <c r="AH14" s="2">
        <f t="shared" si="25"/>
        <v>811</v>
      </c>
      <c r="AI14" s="221">
        <f>SUM(T14:AH14)</f>
        <v>14298</v>
      </c>
      <c r="AJ14" s="220"/>
    </row>
    <row r="15" spans="1:36" ht="14.6" x14ac:dyDescent="0.4">
      <c r="A15" s="3" t="s">
        <v>6</v>
      </c>
      <c r="B15" s="3" t="s">
        <v>7</v>
      </c>
      <c r="C15" s="3" t="s">
        <v>8</v>
      </c>
      <c r="D15" s="4" t="s">
        <v>9</v>
      </c>
      <c r="E15" s="5" t="s">
        <v>10</v>
      </c>
      <c r="F15" s="5" t="s">
        <v>11</v>
      </c>
      <c r="G15" s="5" t="s">
        <v>12</v>
      </c>
      <c r="H15" s="5" t="s">
        <v>13</v>
      </c>
      <c r="I15" s="5" t="s">
        <v>14</v>
      </c>
      <c r="J15" s="5" t="s">
        <v>15</v>
      </c>
      <c r="K15" s="5" t="s">
        <v>16</v>
      </c>
      <c r="L15" s="5" t="s">
        <v>17</v>
      </c>
      <c r="M15" s="5" t="s">
        <v>18</v>
      </c>
      <c r="N15" s="5" t="s">
        <v>19</v>
      </c>
      <c r="O15" s="5" t="s">
        <v>116</v>
      </c>
      <c r="P15" s="5" t="s">
        <v>117</v>
      </c>
      <c r="Q15" s="5" t="s">
        <v>118</v>
      </c>
      <c r="R15" s="5" t="s">
        <v>119</v>
      </c>
      <c r="S15" s="5" t="s">
        <v>120</v>
      </c>
      <c r="T15" s="36">
        <v>10000</v>
      </c>
      <c r="U15" s="36">
        <v>20000</v>
      </c>
      <c r="V15" s="36">
        <v>30000</v>
      </c>
      <c r="W15" s="36">
        <v>40000</v>
      </c>
      <c r="X15" s="36">
        <v>50000</v>
      </c>
      <c r="Y15" s="36">
        <v>60000</v>
      </c>
      <c r="Z15" s="36">
        <v>70000</v>
      </c>
      <c r="AA15" s="36">
        <v>80000</v>
      </c>
      <c r="AB15" s="36">
        <v>90000</v>
      </c>
      <c r="AC15" s="36">
        <v>100000</v>
      </c>
      <c r="AD15" s="36">
        <f>AC15+10000</f>
        <v>110000</v>
      </c>
      <c r="AE15" s="36">
        <f t="shared" ref="AE15:AH15" si="26">AD15+10000</f>
        <v>120000</v>
      </c>
      <c r="AF15" s="36">
        <f t="shared" si="26"/>
        <v>130000</v>
      </c>
      <c r="AG15" s="36">
        <f t="shared" si="26"/>
        <v>140000</v>
      </c>
      <c r="AH15" s="36">
        <f t="shared" si="26"/>
        <v>150000</v>
      </c>
      <c r="AI15" s="52">
        <f>SUM(AI16:AI24)</f>
        <v>1.0171680125904132</v>
      </c>
      <c r="AJ15" s="3" t="s">
        <v>21</v>
      </c>
    </row>
    <row r="16" spans="1:36" ht="14.6" x14ac:dyDescent="0.4">
      <c r="A16" s="7">
        <v>1</v>
      </c>
      <c r="B16" s="8" t="s">
        <v>22</v>
      </c>
      <c r="C16" s="185" t="s">
        <v>23</v>
      </c>
      <c r="D16" s="9">
        <f>VLOOKUP(C16,'[1]PREÇO ATUAL'!$A:$D,4,0)</f>
        <v>79.900000000000006</v>
      </c>
      <c r="E16" s="10">
        <v>1</v>
      </c>
      <c r="F16" s="10">
        <v>1</v>
      </c>
      <c r="G16" s="10">
        <v>1</v>
      </c>
      <c r="H16" s="10">
        <v>1</v>
      </c>
      <c r="I16" s="11">
        <v>1</v>
      </c>
      <c r="J16" s="11">
        <v>1</v>
      </c>
      <c r="K16" s="11">
        <v>1</v>
      </c>
      <c r="L16" s="11">
        <v>1</v>
      </c>
      <c r="M16" s="11">
        <v>1</v>
      </c>
      <c r="N16" s="10">
        <v>1</v>
      </c>
      <c r="O16" s="11">
        <v>1</v>
      </c>
      <c r="P16" s="10">
        <v>1</v>
      </c>
      <c r="Q16" s="11">
        <v>1</v>
      </c>
      <c r="R16" s="10">
        <v>1</v>
      </c>
      <c r="S16" s="10">
        <v>1</v>
      </c>
      <c r="T16" s="13">
        <f t="shared" ref="T16:T20" si="27">$D16*E16</f>
        <v>79.900000000000006</v>
      </c>
      <c r="U16" s="13">
        <f t="shared" ref="U16:U21" si="28">$D16*F16</f>
        <v>79.900000000000006</v>
      </c>
      <c r="V16" s="13">
        <f t="shared" ref="V16:V21" si="29">$D16*G16</f>
        <v>79.900000000000006</v>
      </c>
      <c r="W16" s="13">
        <f t="shared" ref="W16:W21" si="30">$D16*H16</f>
        <v>79.900000000000006</v>
      </c>
      <c r="X16" s="13">
        <f t="shared" ref="X16:X21" si="31">$D16*I16</f>
        <v>79.900000000000006</v>
      </c>
      <c r="Y16" s="13">
        <f t="shared" ref="Y16:Y21" si="32">$D16*J16</f>
        <v>79.900000000000006</v>
      </c>
      <c r="Z16" s="13">
        <f t="shared" ref="Z16:Z21" si="33">$D16*K16</f>
        <v>79.900000000000006</v>
      </c>
      <c r="AA16" s="13">
        <f t="shared" ref="AA16:AA21" si="34">$D16*L16</f>
        <v>79.900000000000006</v>
      </c>
      <c r="AB16" s="13">
        <f t="shared" ref="AB16:AB21" si="35">$D16*M16</f>
        <v>79.900000000000006</v>
      </c>
      <c r="AC16" s="26">
        <f t="shared" ref="AC16:AC21" si="36">$D16*N16</f>
        <v>79.900000000000006</v>
      </c>
      <c r="AD16" s="26">
        <f t="shared" ref="AD16:AD22" si="37">$D16*O16</f>
        <v>79.900000000000006</v>
      </c>
      <c r="AE16" s="26">
        <f t="shared" ref="AE16:AE21" si="38">$D16*P16</f>
        <v>79.900000000000006</v>
      </c>
      <c r="AF16" s="26">
        <f t="shared" ref="AF16:AF22" si="39">$D16*Q16</f>
        <v>79.900000000000006</v>
      </c>
      <c r="AG16" s="26">
        <f t="shared" ref="AG16:AG22" si="40">$D16*R16</f>
        <v>79.900000000000006</v>
      </c>
      <c r="AH16" s="26">
        <f t="shared" ref="AH16:AH22" si="41">$D16*S16</f>
        <v>79.900000000000006</v>
      </c>
      <c r="AI16" s="37">
        <f t="shared" ref="AI16:AI24" si="42">AJ16/$AI$2</f>
        <v>8.5266078542970969E-2</v>
      </c>
      <c r="AJ16" s="13">
        <f>SUM(T16:AH16)</f>
        <v>1198.5</v>
      </c>
    </row>
    <row r="17" spans="1:36" ht="14.6" x14ac:dyDescent="0.4">
      <c r="A17" s="15">
        <v>2</v>
      </c>
      <c r="B17" s="16" t="s">
        <v>24</v>
      </c>
      <c r="C17" s="186" t="s">
        <v>25</v>
      </c>
      <c r="D17" s="17">
        <f>VLOOKUP(C17,'[1]PREÇO ATUAL'!$A:$D,4,0)</f>
        <v>35.9</v>
      </c>
      <c r="E17" s="18"/>
      <c r="F17" s="18">
        <v>1</v>
      </c>
      <c r="G17" s="18"/>
      <c r="H17" s="18">
        <v>1</v>
      </c>
      <c r="I17" s="19"/>
      <c r="J17" s="19">
        <v>1</v>
      </c>
      <c r="K17" s="19"/>
      <c r="L17" s="19">
        <v>1</v>
      </c>
      <c r="M17" s="19"/>
      <c r="N17" s="18">
        <v>1</v>
      </c>
      <c r="O17" s="19"/>
      <c r="P17" s="18">
        <v>1</v>
      </c>
      <c r="Q17" s="19"/>
      <c r="R17" s="18">
        <v>1</v>
      </c>
      <c r="S17" s="18"/>
      <c r="T17" s="21">
        <f t="shared" si="27"/>
        <v>0</v>
      </c>
      <c r="U17" s="21">
        <f t="shared" si="28"/>
        <v>35.9</v>
      </c>
      <c r="V17" s="21">
        <f t="shared" si="29"/>
        <v>0</v>
      </c>
      <c r="W17" s="21">
        <f t="shared" si="30"/>
        <v>35.9</v>
      </c>
      <c r="X17" s="21">
        <f t="shared" si="31"/>
        <v>0</v>
      </c>
      <c r="Y17" s="21">
        <f t="shared" si="32"/>
        <v>35.9</v>
      </c>
      <c r="Z17" s="21">
        <f t="shared" si="33"/>
        <v>0</v>
      </c>
      <c r="AA17" s="21">
        <f t="shared" si="34"/>
        <v>35.9</v>
      </c>
      <c r="AB17" s="21">
        <f t="shared" si="35"/>
        <v>0</v>
      </c>
      <c r="AC17" s="27">
        <f t="shared" si="36"/>
        <v>35.9</v>
      </c>
      <c r="AD17" s="27">
        <f t="shared" si="37"/>
        <v>0</v>
      </c>
      <c r="AE17" s="27">
        <f t="shared" si="38"/>
        <v>35.9</v>
      </c>
      <c r="AF17" s="27">
        <f t="shared" si="39"/>
        <v>0</v>
      </c>
      <c r="AG17" s="27">
        <f t="shared" si="40"/>
        <v>35.9</v>
      </c>
      <c r="AH17" s="27">
        <f t="shared" si="41"/>
        <v>0</v>
      </c>
      <c r="AI17" s="38">
        <f t="shared" si="42"/>
        <v>1.7878486055776893E-2</v>
      </c>
      <c r="AJ17" s="21">
        <f t="shared" ref="AJ17:AJ24" si="43">SUM(T17:AH17)</f>
        <v>251.3</v>
      </c>
    </row>
    <row r="18" spans="1:36" ht="14.6" x14ac:dyDescent="0.4">
      <c r="A18" s="7">
        <v>3</v>
      </c>
      <c r="B18" s="8" t="s">
        <v>26</v>
      </c>
      <c r="C18" s="185" t="s">
        <v>27</v>
      </c>
      <c r="D18" s="9">
        <f>VLOOKUP(C18,'[1]PREÇO ATUAL'!$A:$D,4,0)</f>
        <v>89.9</v>
      </c>
      <c r="E18" s="10"/>
      <c r="F18" s="10"/>
      <c r="G18" s="10">
        <v>1</v>
      </c>
      <c r="H18" s="10"/>
      <c r="I18" s="11"/>
      <c r="J18" s="11">
        <v>1</v>
      </c>
      <c r="K18" s="11"/>
      <c r="L18" s="11"/>
      <c r="M18" s="11">
        <v>1</v>
      </c>
      <c r="N18" s="10"/>
      <c r="O18" s="154"/>
      <c r="P18" s="11">
        <v>1</v>
      </c>
      <c r="Q18" s="11"/>
      <c r="R18" s="11"/>
      <c r="S18" s="11">
        <v>1</v>
      </c>
      <c r="T18" s="13">
        <f t="shared" si="27"/>
        <v>0</v>
      </c>
      <c r="U18" s="13">
        <f t="shared" si="28"/>
        <v>0</v>
      </c>
      <c r="V18" s="13">
        <f t="shared" si="29"/>
        <v>89.9</v>
      </c>
      <c r="W18" s="13">
        <f t="shared" si="30"/>
        <v>0</v>
      </c>
      <c r="X18" s="13">
        <f t="shared" si="31"/>
        <v>0</v>
      </c>
      <c r="Y18" s="13">
        <f t="shared" si="32"/>
        <v>89.9</v>
      </c>
      <c r="Z18" s="13">
        <f t="shared" si="33"/>
        <v>0</v>
      </c>
      <c r="AA18" s="13">
        <f t="shared" si="34"/>
        <v>0</v>
      </c>
      <c r="AB18" s="13">
        <f t="shared" si="35"/>
        <v>89.9</v>
      </c>
      <c r="AC18" s="26">
        <f t="shared" si="36"/>
        <v>0</v>
      </c>
      <c r="AD18" s="26">
        <f t="shared" si="37"/>
        <v>0</v>
      </c>
      <c r="AE18" s="26">
        <f t="shared" si="38"/>
        <v>89.9</v>
      </c>
      <c r="AF18" s="26">
        <f t="shared" si="39"/>
        <v>0</v>
      </c>
      <c r="AG18" s="26">
        <f t="shared" si="40"/>
        <v>0</v>
      </c>
      <c r="AH18" s="26">
        <f t="shared" si="41"/>
        <v>89.9</v>
      </c>
      <c r="AI18" s="37">
        <f t="shared" si="42"/>
        <v>3.197922595332954E-2</v>
      </c>
      <c r="AJ18" s="13">
        <f t="shared" si="43"/>
        <v>449.5</v>
      </c>
    </row>
    <row r="19" spans="1:36" ht="14.6" x14ac:dyDescent="0.4">
      <c r="A19" s="15">
        <v>4</v>
      </c>
      <c r="B19" s="16" t="s">
        <v>28</v>
      </c>
      <c r="C19" s="186" t="s">
        <v>29</v>
      </c>
      <c r="D19" s="17">
        <f>VLOOKUP(C19,'[1]PREÇO ATUAL'!$A:$D,4,0)</f>
        <v>175.9</v>
      </c>
      <c r="E19" s="18"/>
      <c r="F19" s="18"/>
      <c r="G19" s="18"/>
      <c r="H19" s="18">
        <v>4</v>
      </c>
      <c r="I19" s="19"/>
      <c r="J19" s="19"/>
      <c r="K19" s="19"/>
      <c r="L19" s="19">
        <v>4</v>
      </c>
      <c r="M19" s="19"/>
      <c r="N19" s="18"/>
      <c r="O19" s="155"/>
      <c r="P19" s="19">
        <v>4</v>
      </c>
      <c r="Q19" s="19"/>
      <c r="R19" s="19"/>
      <c r="S19" s="19"/>
      <c r="T19" s="21">
        <f t="shared" si="27"/>
        <v>0</v>
      </c>
      <c r="U19" s="21">
        <f t="shared" si="28"/>
        <v>0</v>
      </c>
      <c r="V19" s="21">
        <f t="shared" si="29"/>
        <v>0</v>
      </c>
      <c r="W19" s="21">
        <f t="shared" si="30"/>
        <v>703.6</v>
      </c>
      <c r="X19" s="21">
        <f t="shared" si="31"/>
        <v>0</v>
      </c>
      <c r="Y19" s="21">
        <f t="shared" si="32"/>
        <v>0</v>
      </c>
      <c r="Z19" s="21">
        <f t="shared" si="33"/>
        <v>0</v>
      </c>
      <c r="AA19" s="21">
        <f t="shared" si="34"/>
        <v>703.6</v>
      </c>
      <c r="AB19" s="21">
        <f t="shared" si="35"/>
        <v>0</v>
      </c>
      <c r="AC19" s="27">
        <f t="shared" si="36"/>
        <v>0</v>
      </c>
      <c r="AD19" s="27">
        <f t="shared" si="37"/>
        <v>0</v>
      </c>
      <c r="AE19" s="27">
        <f t="shared" si="38"/>
        <v>703.6</v>
      </c>
      <c r="AF19" s="27">
        <f t="shared" si="39"/>
        <v>0</v>
      </c>
      <c r="AG19" s="27">
        <f t="shared" si="40"/>
        <v>0</v>
      </c>
      <c r="AH19" s="27">
        <f t="shared" si="41"/>
        <v>0</v>
      </c>
      <c r="AI19" s="38">
        <f t="shared" si="42"/>
        <v>0.15017074558907229</v>
      </c>
      <c r="AJ19" s="21">
        <f t="shared" si="43"/>
        <v>2110.8000000000002</v>
      </c>
    </row>
    <row r="20" spans="1:36" ht="15.75" customHeight="1" x14ac:dyDescent="0.4">
      <c r="A20" s="7">
        <v>5</v>
      </c>
      <c r="B20" s="8" t="s">
        <v>30</v>
      </c>
      <c r="C20" s="185" t="s">
        <v>31</v>
      </c>
      <c r="D20" s="9">
        <f>VLOOKUP(C20,'[1]PREÇO ATUAL'!$A:$D,4,0)</f>
        <v>143.22999999999999</v>
      </c>
      <c r="E20" s="10"/>
      <c r="F20" s="10"/>
      <c r="G20" s="10"/>
      <c r="H20" s="10"/>
      <c r="I20" s="11"/>
      <c r="J20" s="11">
        <v>1</v>
      </c>
      <c r="K20" s="11"/>
      <c r="L20" s="11"/>
      <c r="M20" s="11"/>
      <c r="N20" s="10"/>
      <c r="O20" s="154"/>
      <c r="P20" s="11">
        <v>1</v>
      </c>
      <c r="Q20" s="11"/>
      <c r="R20" s="11"/>
      <c r="S20" s="11"/>
      <c r="T20" s="13">
        <f t="shared" si="27"/>
        <v>0</v>
      </c>
      <c r="U20" s="13">
        <f t="shared" si="28"/>
        <v>0</v>
      </c>
      <c r="V20" s="13">
        <f t="shared" si="29"/>
        <v>0</v>
      </c>
      <c r="W20" s="13">
        <f t="shared" si="30"/>
        <v>0</v>
      </c>
      <c r="X20" s="13">
        <f t="shared" si="31"/>
        <v>0</v>
      </c>
      <c r="Y20" s="13">
        <f t="shared" si="32"/>
        <v>143.22999999999999</v>
      </c>
      <c r="Z20" s="13">
        <f t="shared" si="33"/>
        <v>0</v>
      </c>
      <c r="AA20" s="13">
        <f t="shared" si="34"/>
        <v>0</v>
      </c>
      <c r="AB20" s="13">
        <f t="shared" si="35"/>
        <v>0</v>
      </c>
      <c r="AC20" s="26">
        <f t="shared" si="36"/>
        <v>0</v>
      </c>
      <c r="AD20" s="26">
        <f t="shared" si="37"/>
        <v>0</v>
      </c>
      <c r="AE20" s="26">
        <f t="shared" si="38"/>
        <v>143.22999999999999</v>
      </c>
      <c r="AF20" s="26">
        <f t="shared" si="39"/>
        <v>0</v>
      </c>
      <c r="AG20" s="26">
        <f t="shared" si="40"/>
        <v>0</v>
      </c>
      <c r="AH20" s="26">
        <f t="shared" si="41"/>
        <v>0</v>
      </c>
      <c r="AI20" s="37">
        <f t="shared" si="42"/>
        <v>2.0379908935685826E-2</v>
      </c>
      <c r="AJ20" s="13">
        <f t="shared" si="43"/>
        <v>286.45999999999998</v>
      </c>
    </row>
    <row r="21" spans="1:36" ht="15.75" customHeight="1" x14ac:dyDescent="0.4">
      <c r="A21" s="15">
        <v>6</v>
      </c>
      <c r="B21" s="16" t="s">
        <v>34</v>
      </c>
      <c r="C21" s="186" t="s">
        <v>35</v>
      </c>
      <c r="D21" s="17">
        <f>VLOOKUP(C21,'[1]PREÇO ATUAL'!$A:$D,4,0)</f>
        <v>33.622493083850472</v>
      </c>
      <c r="E21" s="28"/>
      <c r="F21" s="28"/>
      <c r="G21" s="28"/>
      <c r="H21" s="18"/>
      <c r="I21" s="29"/>
      <c r="J21" s="29"/>
      <c r="K21" s="29"/>
      <c r="L21" s="19"/>
      <c r="M21" s="29"/>
      <c r="N21" s="28"/>
      <c r="O21" s="160"/>
      <c r="P21" s="29"/>
      <c r="Q21" s="29"/>
      <c r="R21" s="29"/>
      <c r="S21" s="29"/>
      <c r="T21" s="21">
        <v>0</v>
      </c>
      <c r="U21" s="21">
        <f t="shared" si="28"/>
        <v>0</v>
      </c>
      <c r="V21" s="21">
        <f t="shared" si="29"/>
        <v>0</v>
      </c>
      <c r="W21" s="21">
        <f t="shared" si="30"/>
        <v>0</v>
      </c>
      <c r="X21" s="21">
        <f t="shared" si="31"/>
        <v>0</v>
      </c>
      <c r="Y21" s="21">
        <f t="shared" si="32"/>
        <v>0</v>
      </c>
      <c r="Z21" s="21">
        <f t="shared" si="33"/>
        <v>0</v>
      </c>
      <c r="AA21" s="21">
        <f t="shared" si="34"/>
        <v>0</v>
      </c>
      <c r="AB21" s="21">
        <f t="shared" si="35"/>
        <v>0</v>
      </c>
      <c r="AC21" s="27">
        <f t="shared" si="36"/>
        <v>0</v>
      </c>
      <c r="AD21" s="27">
        <f t="shared" si="37"/>
        <v>0</v>
      </c>
      <c r="AE21" s="27">
        <f t="shared" si="38"/>
        <v>0</v>
      </c>
      <c r="AF21" s="27">
        <f t="shared" si="39"/>
        <v>0</v>
      </c>
      <c r="AG21" s="27">
        <f t="shared" si="40"/>
        <v>0</v>
      </c>
      <c r="AH21" s="27">
        <f t="shared" si="41"/>
        <v>0</v>
      </c>
      <c r="AI21" s="38">
        <f t="shared" si="42"/>
        <v>0</v>
      </c>
      <c r="AJ21" s="21">
        <f t="shared" si="43"/>
        <v>0</v>
      </c>
    </row>
    <row r="22" spans="1:36" ht="15.75" customHeight="1" x14ac:dyDescent="0.4">
      <c r="A22" s="7">
        <v>7</v>
      </c>
      <c r="B22" s="8" t="s">
        <v>47</v>
      </c>
      <c r="C22" s="185" t="s">
        <v>33</v>
      </c>
      <c r="D22" s="9">
        <f>VLOOKUP(C22,'[1]PREÇO ATUAL'!$A:$D,4,0)</f>
        <v>165.97812000000002</v>
      </c>
      <c r="E22" s="10"/>
      <c r="F22" s="10"/>
      <c r="G22" s="10"/>
      <c r="H22" s="10"/>
      <c r="I22" s="11"/>
      <c r="J22" s="11"/>
      <c r="K22" s="11"/>
      <c r="L22" s="11"/>
      <c r="M22" s="11"/>
      <c r="N22" s="10"/>
      <c r="O22" s="154"/>
      <c r="P22" s="176">
        <v>2</v>
      </c>
      <c r="Q22" s="11"/>
      <c r="R22" s="11"/>
      <c r="S22" s="11"/>
      <c r="T22" s="13">
        <f t="shared" ref="T22" si="44">$D22*E22</f>
        <v>0</v>
      </c>
      <c r="U22" s="13">
        <f t="shared" ref="U22" si="45">$D22*F22</f>
        <v>0</v>
      </c>
      <c r="V22" s="13">
        <f t="shared" ref="V22" si="46">$D22*G22</f>
        <v>0</v>
      </c>
      <c r="W22" s="13">
        <f t="shared" ref="W22" si="47">$D22*H22</f>
        <v>0</v>
      </c>
      <c r="X22" s="13">
        <f t="shared" ref="X22" si="48">$D22*I22</f>
        <v>0</v>
      </c>
      <c r="Y22" s="13">
        <f t="shared" ref="Y22" si="49">$D22*J22</f>
        <v>0</v>
      </c>
      <c r="Z22" s="13">
        <f t="shared" ref="Z22" si="50">$D22*K22</f>
        <v>0</v>
      </c>
      <c r="AA22" s="13">
        <f t="shared" ref="AA22" si="51">$D22*L22</f>
        <v>0</v>
      </c>
      <c r="AB22" s="13">
        <f t="shared" ref="AB22" si="52">$D22*M22</f>
        <v>0</v>
      </c>
      <c r="AC22" s="26">
        <f t="shared" ref="AC22" si="53">$D22*N22</f>
        <v>0</v>
      </c>
      <c r="AD22" s="26">
        <f t="shared" si="37"/>
        <v>0</v>
      </c>
      <c r="AE22" s="26">
        <f>$D22*P22</f>
        <v>331.95624000000004</v>
      </c>
      <c r="AF22" s="26">
        <f t="shared" si="39"/>
        <v>0</v>
      </c>
      <c r="AG22" s="26">
        <f t="shared" si="40"/>
        <v>0</v>
      </c>
      <c r="AH22" s="26">
        <f t="shared" si="41"/>
        <v>0</v>
      </c>
      <c r="AI22" s="37">
        <f t="shared" ref="AI22" si="54">AJ22/$AI$2</f>
        <v>2.3616693227091635E-2</v>
      </c>
      <c r="AJ22" s="13">
        <f t="shared" si="43"/>
        <v>331.95624000000004</v>
      </c>
    </row>
    <row r="23" spans="1:36" ht="15.75" customHeight="1" x14ac:dyDescent="0.4">
      <c r="A23" s="15">
        <v>8</v>
      </c>
      <c r="B23" s="16" t="s">
        <v>36</v>
      </c>
      <c r="C23" s="186" t="s">
        <v>37</v>
      </c>
      <c r="D23" s="17">
        <f>VLOOKUP(C23,'[1]PREÇO ATUAL'!$A:$D,4,0)</f>
        <v>94.126931447834295</v>
      </c>
      <c r="E23" s="28">
        <v>3.36</v>
      </c>
      <c r="F23" s="28">
        <v>3.36</v>
      </c>
      <c r="G23" s="28">
        <v>3.36</v>
      </c>
      <c r="H23" s="28">
        <v>3.36</v>
      </c>
      <c r="I23" s="29">
        <v>3.36</v>
      </c>
      <c r="J23" s="29">
        <v>3.36</v>
      </c>
      <c r="K23" s="29">
        <v>3.36</v>
      </c>
      <c r="L23" s="29">
        <v>3.36</v>
      </c>
      <c r="M23" s="29">
        <v>3.36</v>
      </c>
      <c r="N23" s="28">
        <v>3.36</v>
      </c>
      <c r="O23" s="160">
        <v>3.36</v>
      </c>
      <c r="P23" s="29">
        <v>3.36</v>
      </c>
      <c r="Q23" s="29">
        <v>3.36</v>
      </c>
      <c r="R23" s="29">
        <v>3.36</v>
      </c>
      <c r="S23" s="29">
        <v>3.36</v>
      </c>
      <c r="T23" s="21">
        <f t="shared" ref="T23" si="55">$D$10*E23</f>
        <v>316.26648966472322</v>
      </c>
      <c r="U23" s="21">
        <f t="shared" ref="U23" si="56">$D$10*F23</f>
        <v>316.26648966472322</v>
      </c>
      <c r="V23" s="21">
        <f t="shared" ref="V23" si="57">$D$10*G23</f>
        <v>316.26648966472322</v>
      </c>
      <c r="W23" s="21">
        <f t="shared" ref="W23" si="58">$D$10*H23</f>
        <v>316.26648966472322</v>
      </c>
      <c r="X23" s="21">
        <f t="shared" ref="X23" si="59">$D$10*I23</f>
        <v>316.26648966472322</v>
      </c>
      <c r="Y23" s="21">
        <f t="shared" ref="Y23" si="60">$D$10*J23</f>
        <v>316.26648966472322</v>
      </c>
      <c r="Z23" s="21">
        <f t="shared" ref="Z23" si="61">$D$10*K23</f>
        <v>316.26648966472322</v>
      </c>
      <c r="AA23" s="21">
        <f t="shared" ref="AA23" si="62">$D$10*L23</f>
        <v>316.26648966472322</v>
      </c>
      <c r="AB23" s="21">
        <f t="shared" ref="AB23" si="63">$D$10*M23</f>
        <v>316.26648966472322</v>
      </c>
      <c r="AC23" s="27">
        <f t="shared" ref="AC23" si="64">$D$10*N23</f>
        <v>316.26648966472322</v>
      </c>
      <c r="AD23" s="27">
        <f t="shared" ref="AD23" si="65">$D$10*O23</f>
        <v>316.26648966472322</v>
      </c>
      <c r="AE23" s="27">
        <f t="shared" ref="AE23" si="66">$D$10*P23</f>
        <v>316.26648966472322</v>
      </c>
      <c r="AF23" s="27">
        <f t="shared" ref="AF23" si="67">$D$10*Q23</f>
        <v>316.26648966472322</v>
      </c>
      <c r="AG23" s="27">
        <f t="shared" ref="AG23" si="68">$D$10*R23</f>
        <v>316.26648966472322</v>
      </c>
      <c r="AH23" s="27">
        <f t="shared" ref="AH23" si="69">$D$10*S23</f>
        <v>316.26648966472322</v>
      </c>
      <c r="AI23" s="38">
        <f t="shared" si="42"/>
        <v>0.33750692551016281</v>
      </c>
      <c r="AJ23" s="21">
        <f t="shared" si="43"/>
        <v>4743.9973449708486</v>
      </c>
    </row>
    <row r="24" spans="1:36" ht="15.75" customHeight="1" x14ac:dyDescent="0.4">
      <c r="A24" s="7">
        <v>9</v>
      </c>
      <c r="B24" s="8" t="s">
        <v>38</v>
      </c>
      <c r="C24" s="185" t="s">
        <v>39</v>
      </c>
      <c r="D24" s="9">
        <f>VLOOKUP(C24,'[1]PREÇO ATUAL'!$A:$D,4,0)</f>
        <v>342</v>
      </c>
      <c r="E24" s="45">
        <v>0.8</v>
      </c>
      <c r="F24" s="45">
        <v>0.95</v>
      </c>
      <c r="G24" s="45">
        <v>0.8</v>
      </c>
      <c r="H24" s="45">
        <v>1.25</v>
      </c>
      <c r="I24" s="46">
        <v>0.95</v>
      </c>
      <c r="J24" s="46">
        <v>0.95</v>
      </c>
      <c r="K24" s="46">
        <v>0.8</v>
      </c>
      <c r="L24" s="46">
        <v>1.25</v>
      </c>
      <c r="M24" s="46">
        <v>0.8</v>
      </c>
      <c r="N24" s="45">
        <v>1.1000000000000001</v>
      </c>
      <c r="O24" s="157">
        <v>0.8</v>
      </c>
      <c r="P24" s="46">
        <v>1.25</v>
      </c>
      <c r="Q24" s="46">
        <v>0.8</v>
      </c>
      <c r="R24" s="46">
        <v>0.95</v>
      </c>
      <c r="S24" s="46">
        <v>0.95</v>
      </c>
      <c r="T24" s="13">
        <f>D24*E24</f>
        <v>273.60000000000002</v>
      </c>
      <c r="U24" s="13">
        <f t="shared" ref="U24" si="70">$D$11*F24</f>
        <v>324.89999999999998</v>
      </c>
      <c r="V24" s="13">
        <f t="shared" ref="V24" si="71">$D$11*G24</f>
        <v>273.60000000000002</v>
      </c>
      <c r="W24" s="13">
        <f t="shared" ref="W24" si="72">$D$11*H24</f>
        <v>427.5</v>
      </c>
      <c r="X24" s="13">
        <f t="shared" ref="X24" si="73">$D$11*I24</f>
        <v>324.89999999999998</v>
      </c>
      <c r="Y24" s="13">
        <f t="shared" ref="Y24" si="74">$D$11*J24</f>
        <v>324.89999999999998</v>
      </c>
      <c r="Z24" s="13">
        <f t="shared" ref="Z24" si="75">$D$11*K24</f>
        <v>273.60000000000002</v>
      </c>
      <c r="AA24" s="13">
        <f t="shared" ref="AA24" si="76">$D$11*L24</f>
        <v>427.5</v>
      </c>
      <c r="AB24" s="13">
        <f t="shared" ref="AB24" si="77">$D$11*M24</f>
        <v>273.60000000000002</v>
      </c>
      <c r="AC24" s="26">
        <f t="shared" ref="AC24" si="78">$D$11*N24</f>
        <v>376.20000000000005</v>
      </c>
      <c r="AD24" s="26">
        <f t="shared" ref="AD24" si="79">$D$11*O24</f>
        <v>273.60000000000002</v>
      </c>
      <c r="AE24" s="26">
        <f t="shared" ref="AE24" si="80">$D$11*P24</f>
        <v>427.5</v>
      </c>
      <c r="AF24" s="26">
        <f t="shared" ref="AF24" si="81">$D$11*Q24</f>
        <v>273.60000000000002</v>
      </c>
      <c r="AG24" s="26">
        <f t="shared" ref="AG24" si="82">$D$11*R24</f>
        <v>324.89999999999998</v>
      </c>
      <c r="AH24" s="26">
        <f t="shared" ref="AH24" si="83">$D$11*S24</f>
        <v>324.89999999999998</v>
      </c>
      <c r="AI24" s="37">
        <f t="shared" si="42"/>
        <v>0.35036994877632321</v>
      </c>
      <c r="AJ24" s="13">
        <f t="shared" si="43"/>
        <v>4924.7999999999993</v>
      </c>
    </row>
    <row r="25" spans="1:36" ht="15.75" customHeight="1" x14ac:dyDescent="0.4"/>
    <row r="26" spans="1:36" ht="15.75" customHeight="1" x14ac:dyDescent="0.4"/>
    <row r="27" spans="1:36" ht="15.75" customHeight="1" x14ac:dyDescent="0.4">
      <c r="T27" s="195"/>
    </row>
    <row r="28" spans="1:36" ht="15.75" customHeight="1" x14ac:dyDescent="0.4"/>
    <row r="29" spans="1:36" ht="15.75" customHeight="1" x14ac:dyDescent="0.4"/>
    <row r="30" spans="1:36" ht="15.75" customHeight="1" x14ac:dyDescent="0.4"/>
    <row r="31" spans="1:36" ht="15.75" customHeight="1" x14ac:dyDescent="0.4"/>
    <row r="32" spans="1:36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</sheetData>
  <mergeCells count="10">
    <mergeCell ref="A13:D14"/>
    <mergeCell ref="AI13:AJ13"/>
    <mergeCell ref="AI14:AJ14"/>
    <mergeCell ref="E13:S14"/>
    <mergeCell ref="T13:AH13"/>
    <mergeCell ref="A1:D2"/>
    <mergeCell ref="AI1:AJ1"/>
    <mergeCell ref="AI2:AJ2"/>
    <mergeCell ref="E1:S2"/>
    <mergeCell ref="T1:AH1"/>
  </mergeCells>
  <pageMargins left="0.511811024" right="0.511811024" top="0.78740157499999996" bottom="0.78740157499999996" header="0" footer="0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6A4CB-BF9E-4F5A-84D5-E341DF46026C}">
  <sheetPr codeName="Planilha21">
    <tabColor rgb="FF00FF00"/>
  </sheetPr>
  <dimension ref="A1:Z983"/>
  <sheetViews>
    <sheetView showGridLines="0" workbookViewId="0">
      <pane xSplit="4" topLeftCell="E1" activePane="topRight" state="frozen"/>
      <selection activeCell="B23" sqref="B23"/>
      <selection pane="topRight" activeCell="B3" sqref="B3"/>
    </sheetView>
  </sheetViews>
  <sheetFormatPr defaultColWidth="14.3828125" defaultRowHeight="15" customHeight="1" x14ac:dyDescent="0.4"/>
  <cols>
    <col min="1" max="1" width="3.69140625" customWidth="1"/>
    <col min="2" max="2" width="46.3046875" customWidth="1"/>
    <col min="3" max="3" width="16.84375" customWidth="1"/>
    <col min="4" max="4" width="8.69140625" customWidth="1"/>
    <col min="5" max="14" width="5.15234375" bestFit="1" customWidth="1"/>
    <col min="15" max="15" width="14.15234375" customWidth="1"/>
    <col min="16" max="17" width="13.3828125" customWidth="1"/>
    <col min="18" max="18" width="15.3828125" customWidth="1"/>
    <col min="19" max="19" width="13.3828125" customWidth="1"/>
    <col min="20" max="20" width="15.3828125" customWidth="1"/>
    <col min="21" max="21" width="13.3828125" customWidth="1"/>
    <col min="22" max="22" width="15.3828125" customWidth="1"/>
    <col min="23" max="23" width="15.69140625" customWidth="1"/>
    <col min="24" max="24" width="14.53515625" customWidth="1"/>
    <col min="25" max="25" width="9.15234375" customWidth="1"/>
    <col min="26" max="26" width="15.53515625" customWidth="1"/>
  </cols>
  <sheetData>
    <row r="1" spans="1:26" ht="14.6" x14ac:dyDescent="0.4">
      <c r="A1" s="222" t="s">
        <v>134</v>
      </c>
      <c r="B1" s="223"/>
      <c r="C1" s="223"/>
      <c r="D1" s="223"/>
      <c r="E1" s="126" t="s">
        <v>3</v>
      </c>
      <c r="F1" s="133"/>
      <c r="G1" s="133"/>
      <c r="H1" s="133"/>
      <c r="I1" s="133"/>
      <c r="J1" s="133"/>
      <c r="K1" s="133"/>
      <c r="L1" s="133"/>
      <c r="M1" s="133"/>
      <c r="N1" s="134"/>
      <c r="O1" s="125" t="s">
        <v>4</v>
      </c>
      <c r="P1" s="125"/>
      <c r="Q1" s="125"/>
      <c r="R1" s="125"/>
      <c r="S1" s="125"/>
      <c r="T1" s="125"/>
      <c r="U1" s="125"/>
      <c r="V1" s="125"/>
      <c r="W1" s="125"/>
      <c r="X1" s="125"/>
      <c r="Y1" s="219" t="s">
        <v>5</v>
      </c>
      <c r="Z1" s="220"/>
    </row>
    <row r="2" spans="1:26" ht="14.6" x14ac:dyDescent="0.4">
      <c r="A2" s="224"/>
      <c r="B2" s="225"/>
      <c r="C2" s="225"/>
      <c r="D2" s="225"/>
      <c r="E2" s="130"/>
      <c r="F2" s="131"/>
      <c r="G2" s="131"/>
      <c r="H2" s="131"/>
      <c r="I2" s="131"/>
      <c r="J2" s="131"/>
      <c r="K2" s="131"/>
      <c r="L2" s="131"/>
      <c r="M2" s="131"/>
      <c r="N2" s="132"/>
      <c r="O2" s="2">
        <f>MROUND(SUM(O4:O10),1)</f>
        <v>953</v>
      </c>
      <c r="P2" s="2">
        <f t="shared" ref="P2:X2" si="0">MROUND(SUM(P4:P10),1)</f>
        <v>1084</v>
      </c>
      <c r="Q2" s="2">
        <f t="shared" si="0"/>
        <v>953</v>
      </c>
      <c r="R2" s="2">
        <f t="shared" si="0"/>
        <v>1101</v>
      </c>
      <c r="S2" s="2">
        <f t="shared" si="0"/>
        <v>987</v>
      </c>
      <c r="T2" s="2">
        <f t="shared" si="0"/>
        <v>1849</v>
      </c>
      <c r="U2" s="2">
        <f t="shared" si="0"/>
        <v>953</v>
      </c>
      <c r="V2" s="2">
        <f t="shared" si="0"/>
        <v>1101</v>
      </c>
      <c r="W2" s="2">
        <f t="shared" si="0"/>
        <v>953</v>
      </c>
      <c r="X2" s="2">
        <f t="shared" si="0"/>
        <v>1119</v>
      </c>
      <c r="Y2" s="221">
        <f>SUM(O2:X2)</f>
        <v>11053</v>
      </c>
      <c r="Z2" s="220"/>
    </row>
    <row r="3" spans="1:26" ht="14.6" x14ac:dyDescent="0.4">
      <c r="A3" s="3" t="s">
        <v>6</v>
      </c>
      <c r="B3" s="3" t="s">
        <v>7</v>
      </c>
      <c r="C3" s="3" t="s">
        <v>8</v>
      </c>
      <c r="D3" s="4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18</v>
      </c>
      <c r="N3" s="5" t="s">
        <v>19</v>
      </c>
      <c r="O3" s="36">
        <v>10000</v>
      </c>
      <c r="P3" s="36">
        <v>20000</v>
      </c>
      <c r="Q3" s="36">
        <v>30000</v>
      </c>
      <c r="R3" s="36">
        <v>40000</v>
      </c>
      <c r="S3" s="36">
        <v>50000</v>
      </c>
      <c r="T3" s="36">
        <v>60000</v>
      </c>
      <c r="U3" s="36">
        <v>70000</v>
      </c>
      <c r="V3" s="36">
        <v>80000</v>
      </c>
      <c r="W3" s="36">
        <v>90000</v>
      </c>
      <c r="X3" s="36">
        <v>100000</v>
      </c>
      <c r="Y3" s="52">
        <f>SUM(Y4:Y10)</f>
        <v>1.0001849770257867</v>
      </c>
      <c r="Z3" s="3" t="s">
        <v>21</v>
      </c>
    </row>
    <row r="4" spans="1:26" ht="14.6" x14ac:dyDescent="0.4">
      <c r="A4" s="7">
        <v>1</v>
      </c>
      <c r="B4" s="8" t="s">
        <v>22</v>
      </c>
      <c r="C4" s="185" t="s">
        <v>97</v>
      </c>
      <c r="D4" s="9">
        <f>VLOOKUP(C4,'[1]PREÇO ATUAL'!$A:$D,4,0)</f>
        <v>112.46</v>
      </c>
      <c r="E4" s="10">
        <v>1</v>
      </c>
      <c r="F4" s="10">
        <v>1</v>
      </c>
      <c r="G4" s="10">
        <v>1</v>
      </c>
      <c r="H4" s="10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2">
        <v>1</v>
      </c>
      <c r="O4" s="13">
        <f t="shared" ref="O4:X8" si="1">$D4*E4</f>
        <v>112.46</v>
      </c>
      <c r="P4" s="13">
        <f t="shared" si="1"/>
        <v>112.46</v>
      </c>
      <c r="Q4" s="13">
        <f t="shared" si="1"/>
        <v>112.46</v>
      </c>
      <c r="R4" s="13">
        <f t="shared" si="1"/>
        <v>112.46</v>
      </c>
      <c r="S4" s="13">
        <f t="shared" si="1"/>
        <v>112.46</v>
      </c>
      <c r="T4" s="13">
        <f t="shared" si="1"/>
        <v>112.46</v>
      </c>
      <c r="U4" s="13">
        <f t="shared" si="1"/>
        <v>112.46</v>
      </c>
      <c r="V4" s="13">
        <f t="shared" si="1"/>
        <v>112.46</v>
      </c>
      <c r="W4" s="13">
        <f t="shared" si="1"/>
        <v>112.46</v>
      </c>
      <c r="X4" s="26">
        <f t="shared" si="1"/>
        <v>112.46</v>
      </c>
      <c r="Y4" s="37">
        <f t="shared" ref="Y4:Y10" si="2">Z4/$Y$2</f>
        <v>0.10174613227178143</v>
      </c>
      <c r="Z4" s="13">
        <f t="shared" ref="Z4:Z10" si="3">SUM(O4:X4)</f>
        <v>1124.6000000000001</v>
      </c>
    </row>
    <row r="5" spans="1:26" ht="14.6" x14ac:dyDescent="0.4">
      <c r="A5" s="15">
        <v>2</v>
      </c>
      <c r="B5" s="16" t="s">
        <v>24</v>
      </c>
      <c r="C5" s="186" t="s">
        <v>98</v>
      </c>
      <c r="D5" s="17">
        <f>VLOOKUP(C5,'[1]PREÇO ATUAL'!$A:$D,4,0)</f>
        <v>35.9</v>
      </c>
      <c r="E5" s="18">
        <v>1</v>
      </c>
      <c r="F5" s="18">
        <v>1</v>
      </c>
      <c r="G5" s="18">
        <v>1</v>
      </c>
      <c r="H5" s="18">
        <v>1</v>
      </c>
      <c r="I5" s="19">
        <v>1</v>
      </c>
      <c r="J5" s="19">
        <v>1</v>
      </c>
      <c r="K5" s="19">
        <v>1</v>
      </c>
      <c r="L5" s="19">
        <v>1</v>
      </c>
      <c r="M5" s="19">
        <v>1</v>
      </c>
      <c r="N5" s="20">
        <v>1</v>
      </c>
      <c r="O5" s="21">
        <f t="shared" si="1"/>
        <v>35.9</v>
      </c>
      <c r="P5" s="21">
        <f t="shared" si="1"/>
        <v>35.9</v>
      </c>
      <c r="Q5" s="21">
        <f t="shared" si="1"/>
        <v>35.9</v>
      </c>
      <c r="R5" s="21">
        <f t="shared" si="1"/>
        <v>35.9</v>
      </c>
      <c r="S5" s="21">
        <f t="shared" si="1"/>
        <v>35.9</v>
      </c>
      <c r="T5" s="21">
        <f t="shared" si="1"/>
        <v>35.9</v>
      </c>
      <c r="U5" s="21">
        <f t="shared" si="1"/>
        <v>35.9</v>
      </c>
      <c r="V5" s="21">
        <f t="shared" si="1"/>
        <v>35.9</v>
      </c>
      <c r="W5" s="21">
        <f t="shared" si="1"/>
        <v>35.9</v>
      </c>
      <c r="X5" s="27">
        <f t="shared" si="1"/>
        <v>35.9</v>
      </c>
      <c r="Y5" s="38">
        <f t="shared" si="2"/>
        <v>3.2479869718628422E-2</v>
      </c>
      <c r="Z5" s="21">
        <f t="shared" si="3"/>
        <v>358.99999999999994</v>
      </c>
    </row>
    <row r="6" spans="1:26" ht="14.6" x14ac:dyDescent="0.4">
      <c r="A6" s="7">
        <v>3</v>
      </c>
      <c r="B6" s="8" t="s">
        <v>26</v>
      </c>
      <c r="C6" s="185" t="s">
        <v>135</v>
      </c>
      <c r="D6" s="9">
        <f>VLOOKUP(C6,'[1]PREÇO ATUAL'!$A:$D,4,0)</f>
        <v>114.17</v>
      </c>
      <c r="E6" s="10"/>
      <c r="F6" s="10">
        <v>1</v>
      </c>
      <c r="G6" s="10"/>
      <c r="H6" s="10">
        <v>1</v>
      </c>
      <c r="I6" s="11"/>
      <c r="J6" s="11">
        <v>1</v>
      </c>
      <c r="K6" s="11"/>
      <c r="L6" s="11">
        <v>1</v>
      </c>
      <c r="M6" s="11"/>
      <c r="N6" s="12">
        <v>1</v>
      </c>
      <c r="O6" s="13">
        <f t="shared" si="1"/>
        <v>0</v>
      </c>
      <c r="P6" s="13">
        <f t="shared" si="1"/>
        <v>114.17</v>
      </c>
      <c r="Q6" s="13">
        <f t="shared" si="1"/>
        <v>0</v>
      </c>
      <c r="R6" s="13">
        <f t="shared" si="1"/>
        <v>114.17</v>
      </c>
      <c r="S6" s="13">
        <f t="shared" si="1"/>
        <v>0</v>
      </c>
      <c r="T6" s="13">
        <f t="shared" si="1"/>
        <v>114.17</v>
      </c>
      <c r="U6" s="13">
        <f t="shared" si="1"/>
        <v>0</v>
      </c>
      <c r="V6" s="13">
        <f t="shared" si="1"/>
        <v>114.17</v>
      </c>
      <c r="W6" s="13">
        <f t="shared" si="1"/>
        <v>0</v>
      </c>
      <c r="X6" s="26">
        <f t="shared" si="1"/>
        <v>114.17</v>
      </c>
      <c r="Y6" s="37">
        <f t="shared" si="2"/>
        <v>5.1646611779607346E-2</v>
      </c>
      <c r="Z6" s="13">
        <f t="shared" si="3"/>
        <v>570.85</v>
      </c>
    </row>
    <row r="7" spans="1:26" ht="14.6" x14ac:dyDescent="0.4">
      <c r="A7" s="15">
        <v>4</v>
      </c>
      <c r="B7" s="16" t="s">
        <v>28</v>
      </c>
      <c r="C7" s="186" t="s">
        <v>100</v>
      </c>
      <c r="D7" s="17">
        <f>VLOOKUP(C7,'[1]PREÇO ATUAL'!$A:$D,4,0)</f>
        <v>169.9</v>
      </c>
      <c r="E7" s="18"/>
      <c r="F7" s="18"/>
      <c r="G7" s="18"/>
      <c r="H7" s="18"/>
      <c r="I7" s="19"/>
      <c r="J7" s="19">
        <v>4</v>
      </c>
      <c r="K7" s="19"/>
      <c r="L7" s="19"/>
      <c r="M7" s="19"/>
      <c r="N7" s="20"/>
      <c r="O7" s="21">
        <f t="shared" si="1"/>
        <v>0</v>
      </c>
      <c r="P7" s="21">
        <f t="shared" si="1"/>
        <v>0</v>
      </c>
      <c r="Q7" s="21">
        <f t="shared" si="1"/>
        <v>0</v>
      </c>
      <c r="R7" s="21">
        <f t="shared" si="1"/>
        <v>0</v>
      </c>
      <c r="S7" s="21">
        <f t="shared" si="1"/>
        <v>0</v>
      </c>
      <c r="T7" s="21">
        <f t="shared" si="1"/>
        <v>679.6</v>
      </c>
      <c r="U7" s="21">
        <f t="shared" si="1"/>
        <v>0</v>
      </c>
      <c r="V7" s="21">
        <f t="shared" si="1"/>
        <v>0</v>
      </c>
      <c r="W7" s="21">
        <f t="shared" si="1"/>
        <v>0</v>
      </c>
      <c r="X7" s="27">
        <f t="shared" si="1"/>
        <v>0</v>
      </c>
      <c r="Y7" s="38">
        <f t="shared" si="2"/>
        <v>6.1485569528634765E-2</v>
      </c>
      <c r="Z7" s="21">
        <f t="shared" si="3"/>
        <v>679.6</v>
      </c>
    </row>
    <row r="8" spans="1:26" ht="15.75" customHeight="1" x14ac:dyDescent="0.4">
      <c r="A8" s="75">
        <v>5</v>
      </c>
      <c r="B8" s="76" t="s">
        <v>34</v>
      </c>
      <c r="C8" s="188" t="s">
        <v>35</v>
      </c>
      <c r="D8" s="77">
        <f>VLOOKUP(C8,'[1]PREÇO ATUAL'!$A:$D,4,0)</f>
        <v>33.622493083850472</v>
      </c>
      <c r="E8" s="78"/>
      <c r="F8" s="78"/>
      <c r="G8" s="78"/>
      <c r="H8" s="79"/>
      <c r="I8" s="80"/>
      <c r="J8" s="80"/>
      <c r="K8" s="80"/>
      <c r="L8" s="81"/>
      <c r="M8" s="80"/>
      <c r="N8" s="82"/>
      <c r="O8" s="83">
        <v>0</v>
      </c>
      <c r="P8" s="83">
        <f t="shared" si="1"/>
        <v>0</v>
      </c>
      <c r="Q8" s="83">
        <f t="shared" si="1"/>
        <v>0</v>
      </c>
      <c r="R8" s="83">
        <f t="shared" si="1"/>
        <v>0</v>
      </c>
      <c r="S8" s="83">
        <f t="shared" si="1"/>
        <v>0</v>
      </c>
      <c r="T8" s="83">
        <f t="shared" si="1"/>
        <v>0</v>
      </c>
      <c r="U8" s="83">
        <f t="shared" si="1"/>
        <v>0</v>
      </c>
      <c r="V8" s="83">
        <f t="shared" si="1"/>
        <v>0</v>
      </c>
      <c r="W8" s="83">
        <f t="shared" si="1"/>
        <v>0</v>
      </c>
      <c r="X8" s="84">
        <f t="shared" si="1"/>
        <v>0</v>
      </c>
      <c r="Y8" s="85">
        <f t="shared" si="2"/>
        <v>0</v>
      </c>
      <c r="Z8" s="83">
        <f t="shared" si="3"/>
        <v>0</v>
      </c>
    </row>
    <row r="9" spans="1:26" ht="15.75" customHeight="1" x14ac:dyDescent="0.4">
      <c r="A9" s="86">
        <v>6</v>
      </c>
      <c r="B9" s="87" t="s">
        <v>101</v>
      </c>
      <c r="C9" s="189" t="s">
        <v>102</v>
      </c>
      <c r="D9" s="88">
        <f>VLOOKUP(C9,'[1]PREÇO ATUAL'!$A:$D,4,0)</f>
        <v>107.0915531472088</v>
      </c>
      <c r="E9" s="89">
        <v>4.8</v>
      </c>
      <c r="F9" s="89">
        <v>4.8</v>
      </c>
      <c r="G9" s="89">
        <v>4.8</v>
      </c>
      <c r="H9" s="89">
        <v>4.8</v>
      </c>
      <c r="I9" s="89">
        <v>4.8</v>
      </c>
      <c r="J9" s="89">
        <v>4.8</v>
      </c>
      <c r="K9" s="89">
        <v>4.8</v>
      </c>
      <c r="L9" s="89">
        <v>4.8</v>
      </c>
      <c r="M9" s="89">
        <v>4.8</v>
      </c>
      <c r="N9" s="89">
        <v>4.8</v>
      </c>
      <c r="O9" s="90">
        <f t="shared" ref="O9:X9" si="4">$D$9*E9</f>
        <v>514.03945510660219</v>
      </c>
      <c r="P9" s="90">
        <f t="shared" si="4"/>
        <v>514.03945510660219</v>
      </c>
      <c r="Q9" s="90">
        <f t="shared" si="4"/>
        <v>514.03945510660219</v>
      </c>
      <c r="R9" s="90">
        <f t="shared" si="4"/>
        <v>514.03945510660219</v>
      </c>
      <c r="S9" s="90">
        <f t="shared" si="4"/>
        <v>514.03945510660219</v>
      </c>
      <c r="T9" s="90">
        <f t="shared" si="4"/>
        <v>514.03945510660219</v>
      </c>
      <c r="U9" s="90">
        <f t="shared" si="4"/>
        <v>514.03945510660219</v>
      </c>
      <c r="V9" s="90">
        <f t="shared" si="4"/>
        <v>514.03945510660219</v>
      </c>
      <c r="W9" s="90">
        <f t="shared" si="4"/>
        <v>514.03945510660219</v>
      </c>
      <c r="X9" s="91">
        <f t="shared" si="4"/>
        <v>514.03945510660219</v>
      </c>
      <c r="Y9" s="92">
        <f t="shared" si="2"/>
        <v>0.46506781426454541</v>
      </c>
      <c r="Z9" s="90">
        <f t="shared" si="3"/>
        <v>5140.3945510660205</v>
      </c>
    </row>
    <row r="10" spans="1:26" ht="15.75" customHeight="1" x14ac:dyDescent="0.4">
      <c r="A10" s="75">
        <v>7</v>
      </c>
      <c r="B10" s="76" t="s">
        <v>38</v>
      </c>
      <c r="C10" s="188" t="s">
        <v>39</v>
      </c>
      <c r="D10" s="77">
        <f>VLOOKUP(C10,'[1]PREÇO ATUAL'!$A:$D,4,0)</f>
        <v>342</v>
      </c>
      <c r="E10" s="78">
        <v>0.85</v>
      </c>
      <c r="F10" s="78">
        <v>0.9</v>
      </c>
      <c r="G10" s="78">
        <v>0.85</v>
      </c>
      <c r="H10" s="78">
        <v>0.95</v>
      </c>
      <c r="I10" s="80">
        <v>0.95</v>
      </c>
      <c r="J10" s="80">
        <v>1.1499999999999999</v>
      </c>
      <c r="K10" s="80">
        <v>0.85</v>
      </c>
      <c r="L10" s="80">
        <v>0.95</v>
      </c>
      <c r="M10" s="80">
        <v>0.85</v>
      </c>
      <c r="N10" s="82">
        <v>1</v>
      </c>
      <c r="O10" s="83">
        <f>D10*E10</f>
        <v>290.7</v>
      </c>
      <c r="P10" s="83">
        <f t="shared" ref="P10:X10" si="5">$D$10*F10</f>
        <v>307.8</v>
      </c>
      <c r="Q10" s="83">
        <f t="shared" si="5"/>
        <v>290.7</v>
      </c>
      <c r="R10" s="83">
        <f t="shared" si="5"/>
        <v>324.89999999999998</v>
      </c>
      <c r="S10" s="83">
        <f t="shared" si="5"/>
        <v>324.89999999999998</v>
      </c>
      <c r="T10" s="83">
        <f t="shared" si="5"/>
        <v>393.29999999999995</v>
      </c>
      <c r="U10" s="83">
        <f t="shared" si="5"/>
        <v>290.7</v>
      </c>
      <c r="V10" s="83">
        <f t="shared" si="5"/>
        <v>324.89999999999998</v>
      </c>
      <c r="W10" s="83">
        <f t="shared" si="5"/>
        <v>290.7</v>
      </c>
      <c r="X10" s="84">
        <f t="shared" si="5"/>
        <v>342</v>
      </c>
      <c r="Y10" s="85">
        <f t="shared" si="2"/>
        <v>0.28775897946258933</v>
      </c>
      <c r="Z10" s="83">
        <f t="shared" si="3"/>
        <v>3180.6</v>
      </c>
    </row>
    <row r="11" spans="1:26" ht="15.75" customHeight="1" x14ac:dyDescent="0.4">
      <c r="H11" s="54"/>
    </row>
    <row r="12" spans="1:26" ht="15.75" customHeight="1" x14ac:dyDescent="0.4"/>
    <row r="13" spans="1:26" ht="15.75" customHeight="1" x14ac:dyDescent="0.4"/>
    <row r="14" spans="1:26" ht="15.75" customHeight="1" x14ac:dyDescent="0.4"/>
    <row r="15" spans="1:26" ht="15.75" customHeight="1" x14ac:dyDescent="0.4"/>
    <row r="16" spans="1:26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</sheetData>
  <mergeCells count="3">
    <mergeCell ref="A1:D2"/>
    <mergeCell ref="Y1:Z1"/>
    <mergeCell ref="Y2:Z2"/>
  </mergeCells>
  <pageMargins left="0.511811024" right="0.511811024" top="0.78740157499999996" bottom="0.78740157499999996" header="0" footer="0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AC700-ACC4-480E-B0B4-60F83E483603}">
  <sheetPr codeName="Planilha22">
    <tabColor rgb="FF6CFC24"/>
  </sheetPr>
  <dimension ref="A1:AJ985"/>
  <sheetViews>
    <sheetView showGridLines="0" workbookViewId="0">
      <pane xSplit="4" topLeftCell="E1" activePane="topRight" state="frozen"/>
      <selection activeCell="B23" sqref="B23"/>
      <selection pane="topRight" activeCell="N21" sqref="N21"/>
    </sheetView>
  </sheetViews>
  <sheetFormatPr defaultColWidth="14.3828125" defaultRowHeight="15" customHeight="1" x14ac:dyDescent="0.4"/>
  <cols>
    <col min="1" max="1" width="3.69140625" customWidth="1"/>
    <col min="2" max="2" width="52.3828125" customWidth="1"/>
    <col min="3" max="3" width="16.84375" customWidth="1"/>
    <col min="4" max="4" width="8.69140625" customWidth="1"/>
    <col min="5" max="14" width="5.15234375" bestFit="1" customWidth="1"/>
    <col min="15" max="19" width="5.15234375" hidden="1" customWidth="1"/>
    <col min="20" max="20" width="14.15234375" customWidth="1"/>
    <col min="21" max="21" width="13.3828125" customWidth="1"/>
    <col min="22" max="22" width="16.3828125" customWidth="1"/>
    <col min="23" max="23" width="15.3828125" customWidth="1"/>
    <col min="24" max="24" width="13.3828125" customWidth="1"/>
    <col min="25" max="25" width="15.3828125" customWidth="1"/>
    <col min="26" max="26" width="13.3828125" customWidth="1"/>
    <col min="27" max="27" width="15.3828125" customWidth="1"/>
    <col min="28" max="28" width="15.69140625" customWidth="1"/>
    <col min="29" max="29" width="14.53515625" customWidth="1"/>
    <col min="30" max="30" width="13.69140625" bestFit="1" customWidth="1"/>
    <col min="31" max="31" width="15.69140625" bestFit="1" customWidth="1"/>
    <col min="32" max="34" width="14.53515625" customWidth="1"/>
    <col min="35" max="35" width="9.15234375" customWidth="1"/>
    <col min="36" max="36" width="15.53515625" customWidth="1"/>
  </cols>
  <sheetData>
    <row r="1" spans="1:36" ht="15.75" customHeight="1" x14ac:dyDescent="0.4">
      <c r="A1" s="222" t="s">
        <v>136</v>
      </c>
      <c r="B1" s="223"/>
      <c r="C1" s="223"/>
      <c r="D1" s="234"/>
      <c r="E1" s="126" t="s">
        <v>3</v>
      </c>
      <c r="F1" s="133"/>
      <c r="G1" s="133"/>
      <c r="H1" s="133"/>
      <c r="I1" s="133"/>
      <c r="J1" s="133"/>
      <c r="K1" s="133"/>
      <c r="L1" s="133"/>
      <c r="M1" s="133"/>
      <c r="N1" s="134"/>
      <c r="O1" s="133"/>
      <c r="P1" s="133"/>
      <c r="Q1" s="133"/>
      <c r="R1" s="133"/>
      <c r="S1" s="133"/>
      <c r="T1" s="125" t="s">
        <v>4</v>
      </c>
      <c r="U1" s="125"/>
      <c r="V1" s="125"/>
      <c r="W1" s="125"/>
      <c r="X1" s="125"/>
      <c r="Y1" s="125"/>
      <c r="Z1" s="125"/>
      <c r="AA1" s="125"/>
      <c r="AB1" s="125"/>
      <c r="AC1" s="125"/>
      <c r="AD1" s="147"/>
      <c r="AE1" s="147"/>
      <c r="AF1" s="147"/>
      <c r="AG1" s="147"/>
      <c r="AH1" s="147"/>
      <c r="AI1" s="219" t="s">
        <v>5</v>
      </c>
      <c r="AJ1" s="220"/>
    </row>
    <row r="2" spans="1:36" ht="15" customHeight="1" x14ac:dyDescent="0.4">
      <c r="A2" s="224"/>
      <c r="B2" s="225"/>
      <c r="C2" s="225"/>
      <c r="D2" s="235"/>
      <c r="E2" s="130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2">
        <f>MROUND(SUM(T4:T11),1)</f>
        <v>825</v>
      </c>
      <c r="U2" s="2">
        <f t="shared" ref="U2:AC2" si="0">MROUND(SUM(U4:U11),1)</f>
        <v>842</v>
      </c>
      <c r="V2" s="2">
        <f t="shared" si="0"/>
        <v>1005</v>
      </c>
      <c r="W2" s="2">
        <f t="shared" si="0"/>
        <v>842</v>
      </c>
      <c r="X2" s="2">
        <f t="shared" si="0"/>
        <v>859</v>
      </c>
      <c r="Y2" s="2">
        <f t="shared" si="0"/>
        <v>1583</v>
      </c>
      <c r="Z2" s="2">
        <f t="shared" si="0"/>
        <v>825</v>
      </c>
      <c r="AA2" s="2">
        <f t="shared" si="0"/>
        <v>842</v>
      </c>
      <c r="AB2" s="2">
        <f t="shared" si="0"/>
        <v>1005</v>
      </c>
      <c r="AC2" s="2">
        <f t="shared" si="0"/>
        <v>876</v>
      </c>
      <c r="AD2" s="2">
        <f t="shared" ref="AD2:AG2" si="1">MROUND(SUM(AD4:AD11),1)</f>
        <v>825</v>
      </c>
      <c r="AE2" s="2">
        <f t="shared" si="1"/>
        <v>1832</v>
      </c>
      <c r="AF2" s="2">
        <f t="shared" si="1"/>
        <v>825</v>
      </c>
      <c r="AG2" s="2">
        <f t="shared" si="1"/>
        <v>842</v>
      </c>
      <c r="AH2" s="2">
        <f t="shared" ref="AH2" si="2">MROUND(SUM(AH4:AH11),1)</f>
        <v>1039</v>
      </c>
      <c r="AI2" s="221">
        <f>SUM(T2:AG2)</f>
        <v>13828</v>
      </c>
      <c r="AJ2" s="220"/>
    </row>
    <row r="3" spans="1:36" ht="14.6" x14ac:dyDescent="0.4">
      <c r="A3" s="3" t="s">
        <v>6</v>
      </c>
      <c r="B3" s="3" t="s">
        <v>7</v>
      </c>
      <c r="C3" s="3" t="s">
        <v>8</v>
      </c>
      <c r="D3" s="4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18</v>
      </c>
      <c r="N3" s="5" t="s">
        <v>19</v>
      </c>
      <c r="O3" s="5" t="s">
        <v>116</v>
      </c>
      <c r="P3" s="5" t="s">
        <v>117</v>
      </c>
      <c r="Q3" s="5" t="s">
        <v>118</v>
      </c>
      <c r="R3" s="5" t="s">
        <v>119</v>
      </c>
      <c r="S3" s="5" t="s">
        <v>120</v>
      </c>
      <c r="T3" s="36">
        <v>10000</v>
      </c>
      <c r="U3" s="36">
        <v>20000</v>
      </c>
      <c r="V3" s="36">
        <v>30000</v>
      </c>
      <c r="W3" s="36">
        <v>40000</v>
      </c>
      <c r="X3" s="36">
        <v>50000</v>
      </c>
      <c r="Y3" s="36">
        <v>60000</v>
      </c>
      <c r="Z3" s="36">
        <v>70000</v>
      </c>
      <c r="AA3" s="36">
        <v>80000</v>
      </c>
      <c r="AB3" s="36">
        <v>90000</v>
      </c>
      <c r="AC3" s="36">
        <v>100000</v>
      </c>
      <c r="AD3" s="36">
        <f>AC3+10000</f>
        <v>110000</v>
      </c>
      <c r="AE3" s="36">
        <f t="shared" ref="AE3:AG3" si="3">AD3+10000</f>
        <v>120000</v>
      </c>
      <c r="AF3" s="36">
        <f t="shared" si="3"/>
        <v>130000</v>
      </c>
      <c r="AG3" s="36">
        <f t="shared" si="3"/>
        <v>140000</v>
      </c>
      <c r="AH3" s="36">
        <f t="shared" ref="AH3" si="4">AG3+10000</f>
        <v>150000</v>
      </c>
      <c r="AI3" s="52">
        <f>SUM(AI4:AI11)</f>
        <v>0.99974286076217256</v>
      </c>
      <c r="AJ3" s="3" t="s">
        <v>21</v>
      </c>
    </row>
    <row r="4" spans="1:36" ht="14.6" x14ac:dyDescent="0.4">
      <c r="A4" s="7">
        <v>1</v>
      </c>
      <c r="B4" s="8" t="s">
        <v>22</v>
      </c>
      <c r="C4" s="185" t="s">
        <v>97</v>
      </c>
      <c r="D4" s="9">
        <f>VLOOKUP(C4,'[1]PREÇO ATUAL'!$A:$D,4,0)</f>
        <v>112.46</v>
      </c>
      <c r="E4" s="10">
        <v>1</v>
      </c>
      <c r="F4" s="10">
        <v>1</v>
      </c>
      <c r="G4" s="10">
        <v>1</v>
      </c>
      <c r="H4" s="10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0">
        <v>1</v>
      </c>
      <c r="O4" s="11">
        <v>1</v>
      </c>
      <c r="P4" s="10">
        <v>1</v>
      </c>
      <c r="Q4" s="11">
        <v>1</v>
      </c>
      <c r="R4" s="10">
        <v>1</v>
      </c>
      <c r="S4" s="10">
        <v>1</v>
      </c>
      <c r="T4" s="13">
        <f t="shared" ref="T4:AC10" si="5">$D4*E4</f>
        <v>112.46</v>
      </c>
      <c r="U4" s="13">
        <f t="shared" si="5"/>
        <v>112.46</v>
      </c>
      <c r="V4" s="13">
        <f t="shared" si="5"/>
        <v>112.46</v>
      </c>
      <c r="W4" s="13">
        <f t="shared" si="5"/>
        <v>112.46</v>
      </c>
      <c r="X4" s="13">
        <f t="shared" si="5"/>
        <v>112.46</v>
      </c>
      <c r="Y4" s="13">
        <f t="shared" si="5"/>
        <v>112.46</v>
      </c>
      <c r="Z4" s="13">
        <f t="shared" si="5"/>
        <v>112.46</v>
      </c>
      <c r="AA4" s="13">
        <f t="shared" si="5"/>
        <v>112.46</v>
      </c>
      <c r="AB4" s="13">
        <f t="shared" si="5"/>
        <v>112.46</v>
      </c>
      <c r="AC4" s="13">
        <f t="shared" si="5"/>
        <v>112.46</v>
      </c>
      <c r="AD4" s="13">
        <f t="shared" ref="AD4:AH11" si="6">$D4*O4</f>
        <v>112.46</v>
      </c>
      <c r="AE4" s="13">
        <f t="shared" si="6"/>
        <v>112.46</v>
      </c>
      <c r="AF4" s="13">
        <f t="shared" si="6"/>
        <v>112.46</v>
      </c>
      <c r="AG4" s="26">
        <f t="shared" si="6"/>
        <v>112.46</v>
      </c>
      <c r="AH4" s="26">
        <f t="shared" si="6"/>
        <v>112.46</v>
      </c>
      <c r="AI4" s="37">
        <f t="shared" ref="AI4:AI11" si="7">AJ4/$AI$2</f>
        <v>0.11385883714203068</v>
      </c>
      <c r="AJ4" s="13">
        <f>SUM(T4:AG4)</f>
        <v>1574.4400000000003</v>
      </c>
    </row>
    <row r="5" spans="1:36" ht="14.6" x14ac:dyDescent="0.4">
      <c r="A5" s="15">
        <v>2</v>
      </c>
      <c r="B5" s="16" t="s">
        <v>24</v>
      </c>
      <c r="C5" s="186" t="s">
        <v>98</v>
      </c>
      <c r="D5" s="17">
        <f>VLOOKUP(C5,'[1]PREÇO ATUAL'!$A:$D,4,0)</f>
        <v>35.9</v>
      </c>
      <c r="E5" s="18">
        <v>1</v>
      </c>
      <c r="F5" s="18">
        <v>1</v>
      </c>
      <c r="G5" s="18">
        <v>1</v>
      </c>
      <c r="H5" s="18">
        <v>1</v>
      </c>
      <c r="I5" s="19">
        <v>1</v>
      </c>
      <c r="J5" s="19">
        <v>1</v>
      </c>
      <c r="K5" s="19">
        <v>1</v>
      </c>
      <c r="L5" s="19">
        <v>1</v>
      </c>
      <c r="M5" s="19">
        <v>1</v>
      </c>
      <c r="N5" s="18">
        <v>1</v>
      </c>
      <c r="O5" s="19">
        <v>1</v>
      </c>
      <c r="P5" s="18">
        <v>1</v>
      </c>
      <c r="Q5" s="19">
        <v>1</v>
      </c>
      <c r="R5" s="18">
        <v>1</v>
      </c>
      <c r="S5" s="18">
        <v>1</v>
      </c>
      <c r="T5" s="21">
        <f t="shared" si="5"/>
        <v>35.9</v>
      </c>
      <c r="U5" s="21">
        <f t="shared" si="5"/>
        <v>35.9</v>
      </c>
      <c r="V5" s="21">
        <f t="shared" si="5"/>
        <v>35.9</v>
      </c>
      <c r="W5" s="21">
        <f t="shared" si="5"/>
        <v>35.9</v>
      </c>
      <c r="X5" s="21">
        <f t="shared" si="5"/>
        <v>35.9</v>
      </c>
      <c r="Y5" s="21">
        <f t="shared" si="5"/>
        <v>35.9</v>
      </c>
      <c r="Z5" s="21">
        <f t="shared" si="5"/>
        <v>35.9</v>
      </c>
      <c r="AA5" s="21">
        <f t="shared" si="5"/>
        <v>35.9</v>
      </c>
      <c r="AB5" s="21">
        <f t="shared" si="5"/>
        <v>35.9</v>
      </c>
      <c r="AC5" s="21">
        <f t="shared" si="5"/>
        <v>35.9</v>
      </c>
      <c r="AD5" s="21">
        <f t="shared" si="6"/>
        <v>35.9</v>
      </c>
      <c r="AE5" s="21">
        <f t="shared" si="6"/>
        <v>35.9</v>
      </c>
      <c r="AF5" s="21">
        <f t="shared" si="6"/>
        <v>35.9</v>
      </c>
      <c r="AG5" s="27">
        <f t="shared" si="6"/>
        <v>35.9</v>
      </c>
      <c r="AH5" s="27">
        <f t="shared" si="6"/>
        <v>35.9</v>
      </c>
      <c r="AI5" s="38">
        <f t="shared" si="7"/>
        <v>3.6346543245588649E-2</v>
      </c>
      <c r="AJ5" s="21">
        <f t="shared" ref="AJ5:AJ11" si="8">SUM(T5:AG5)</f>
        <v>502.59999999999985</v>
      </c>
    </row>
    <row r="6" spans="1:36" ht="14.6" x14ac:dyDescent="0.4">
      <c r="A6" s="7">
        <v>3</v>
      </c>
      <c r="B6" s="8" t="s">
        <v>26</v>
      </c>
      <c r="C6" s="185" t="s">
        <v>99</v>
      </c>
      <c r="D6" s="9">
        <f>VLOOKUP(C6,'[1]PREÇO ATUAL'!$A:$D,4,0)</f>
        <v>180.21</v>
      </c>
      <c r="E6" s="10"/>
      <c r="F6" s="10"/>
      <c r="G6" s="10">
        <v>1</v>
      </c>
      <c r="H6" s="10"/>
      <c r="I6" s="11"/>
      <c r="J6" s="11">
        <v>1</v>
      </c>
      <c r="K6" s="11"/>
      <c r="L6" s="11"/>
      <c r="M6" s="11">
        <v>1</v>
      </c>
      <c r="N6" s="10"/>
      <c r="O6" s="11"/>
      <c r="P6" s="10">
        <v>1</v>
      </c>
      <c r="Q6" s="11"/>
      <c r="R6" s="10"/>
      <c r="S6" s="11">
        <v>1</v>
      </c>
      <c r="T6" s="13">
        <f t="shared" si="5"/>
        <v>0</v>
      </c>
      <c r="U6" s="13">
        <f t="shared" si="5"/>
        <v>0</v>
      </c>
      <c r="V6" s="13">
        <f t="shared" si="5"/>
        <v>180.21</v>
      </c>
      <c r="W6" s="13">
        <f t="shared" si="5"/>
        <v>0</v>
      </c>
      <c r="X6" s="13">
        <f t="shared" si="5"/>
        <v>0</v>
      </c>
      <c r="Y6" s="13">
        <f t="shared" si="5"/>
        <v>180.21</v>
      </c>
      <c r="Z6" s="13">
        <f t="shared" si="5"/>
        <v>0</v>
      </c>
      <c r="AA6" s="13">
        <f t="shared" si="5"/>
        <v>0</v>
      </c>
      <c r="AB6" s="13">
        <f t="shared" si="5"/>
        <v>180.21</v>
      </c>
      <c r="AC6" s="13">
        <f t="shared" si="5"/>
        <v>0</v>
      </c>
      <c r="AD6" s="13">
        <f t="shared" si="6"/>
        <v>0</v>
      </c>
      <c r="AE6" s="13">
        <f t="shared" si="6"/>
        <v>180.21</v>
      </c>
      <c r="AF6" s="13">
        <f t="shared" si="6"/>
        <v>0</v>
      </c>
      <c r="AG6" s="26">
        <f t="shared" si="6"/>
        <v>0</v>
      </c>
      <c r="AH6" s="26">
        <f t="shared" si="6"/>
        <v>180.21</v>
      </c>
      <c r="AI6" s="37">
        <f t="shared" si="7"/>
        <v>5.2129013595603124E-2</v>
      </c>
      <c r="AJ6" s="13">
        <f t="shared" si="8"/>
        <v>720.84</v>
      </c>
    </row>
    <row r="7" spans="1:36" ht="14.6" x14ac:dyDescent="0.4">
      <c r="A7" s="15">
        <v>4</v>
      </c>
      <c r="B7" s="16" t="s">
        <v>28</v>
      </c>
      <c r="C7" s="186" t="s">
        <v>100</v>
      </c>
      <c r="D7" s="17">
        <f>VLOOKUP(C7,'[1]PREÇO ATUAL'!$A:$D,4,0)</f>
        <v>169.9</v>
      </c>
      <c r="E7" s="18"/>
      <c r="F7" s="18"/>
      <c r="G7" s="18"/>
      <c r="H7" s="18"/>
      <c r="I7" s="19"/>
      <c r="J7" s="19">
        <v>3</v>
      </c>
      <c r="K7" s="19"/>
      <c r="L7" s="19"/>
      <c r="M7" s="19"/>
      <c r="N7" s="18"/>
      <c r="O7" s="155"/>
      <c r="P7" s="19">
        <v>3</v>
      </c>
      <c r="Q7" s="19"/>
      <c r="R7" s="19"/>
      <c r="S7" s="19"/>
      <c r="T7" s="21">
        <f t="shared" si="5"/>
        <v>0</v>
      </c>
      <c r="U7" s="21">
        <f t="shared" si="5"/>
        <v>0</v>
      </c>
      <c r="V7" s="21">
        <f t="shared" si="5"/>
        <v>0</v>
      </c>
      <c r="W7" s="21">
        <f t="shared" si="5"/>
        <v>0</v>
      </c>
      <c r="X7" s="21">
        <f t="shared" si="5"/>
        <v>0</v>
      </c>
      <c r="Y7" s="21">
        <f t="shared" si="5"/>
        <v>509.70000000000005</v>
      </c>
      <c r="Z7" s="21">
        <f t="shared" si="5"/>
        <v>0</v>
      </c>
      <c r="AA7" s="21">
        <f t="shared" si="5"/>
        <v>0</v>
      </c>
      <c r="AB7" s="21">
        <f t="shared" si="5"/>
        <v>0</v>
      </c>
      <c r="AC7" s="21">
        <f t="shared" si="5"/>
        <v>0</v>
      </c>
      <c r="AD7" s="21">
        <f t="shared" si="6"/>
        <v>0</v>
      </c>
      <c r="AE7" s="21">
        <f t="shared" si="6"/>
        <v>509.70000000000005</v>
      </c>
      <c r="AF7" s="21">
        <f t="shared" si="6"/>
        <v>0</v>
      </c>
      <c r="AG7" s="27">
        <f t="shared" si="6"/>
        <v>0</v>
      </c>
      <c r="AH7" s="27">
        <f t="shared" si="6"/>
        <v>0</v>
      </c>
      <c r="AI7" s="38">
        <f t="shared" si="7"/>
        <v>7.371998842927395E-2</v>
      </c>
      <c r="AJ7" s="21">
        <f t="shared" si="8"/>
        <v>1019.4000000000001</v>
      </c>
    </row>
    <row r="8" spans="1:36" ht="14.6" x14ac:dyDescent="0.4">
      <c r="A8" s="7">
        <v>5</v>
      </c>
      <c r="B8" s="8" t="s">
        <v>34</v>
      </c>
      <c r="C8" s="185" t="s">
        <v>35</v>
      </c>
      <c r="D8" s="9">
        <f>VLOOKUP(C8,'[1]PREÇO ATUAL'!$A:$D,4,0)</f>
        <v>33.622493083850472</v>
      </c>
      <c r="E8" s="10"/>
      <c r="F8" s="10"/>
      <c r="G8" s="10"/>
      <c r="H8" s="10"/>
      <c r="I8" s="11"/>
      <c r="J8" s="11"/>
      <c r="K8" s="11"/>
      <c r="L8" s="11"/>
      <c r="M8" s="11"/>
      <c r="N8" s="10"/>
      <c r="O8" s="154"/>
      <c r="P8" s="11"/>
      <c r="Q8" s="11"/>
      <c r="R8" s="11"/>
      <c r="S8" s="11"/>
      <c r="T8" s="13">
        <f t="shared" si="5"/>
        <v>0</v>
      </c>
      <c r="U8" s="13">
        <f t="shared" si="5"/>
        <v>0</v>
      </c>
      <c r="V8" s="13">
        <f t="shared" si="5"/>
        <v>0</v>
      </c>
      <c r="W8" s="13">
        <f t="shared" si="5"/>
        <v>0</v>
      </c>
      <c r="X8" s="13">
        <f t="shared" si="5"/>
        <v>0</v>
      </c>
      <c r="Y8" s="13">
        <f t="shared" si="5"/>
        <v>0</v>
      </c>
      <c r="Z8" s="13">
        <f t="shared" si="5"/>
        <v>0</v>
      </c>
      <c r="AA8" s="13">
        <f t="shared" si="5"/>
        <v>0</v>
      </c>
      <c r="AB8" s="13">
        <f t="shared" si="5"/>
        <v>0</v>
      </c>
      <c r="AC8" s="13">
        <f t="shared" si="5"/>
        <v>0</v>
      </c>
      <c r="AD8" s="13">
        <f t="shared" si="6"/>
        <v>0</v>
      </c>
      <c r="AE8" s="13">
        <f t="shared" si="6"/>
        <v>0</v>
      </c>
      <c r="AF8" s="13">
        <f t="shared" si="6"/>
        <v>0</v>
      </c>
      <c r="AG8" s="26">
        <f t="shared" si="6"/>
        <v>0</v>
      </c>
      <c r="AH8" s="26">
        <f t="shared" si="6"/>
        <v>0</v>
      </c>
      <c r="AI8" s="37">
        <f t="shared" si="7"/>
        <v>0</v>
      </c>
      <c r="AJ8" s="13">
        <f t="shared" si="8"/>
        <v>0</v>
      </c>
    </row>
    <row r="9" spans="1:36" ht="24.9" x14ac:dyDescent="0.4">
      <c r="A9" s="15">
        <v>6</v>
      </c>
      <c r="B9" s="143" t="s">
        <v>137</v>
      </c>
      <c r="C9" s="186" t="s">
        <v>138</v>
      </c>
      <c r="D9" s="17">
        <f>VLOOKUP(C9,'[1]PREÇO ATUAL'!$A:$D,4,0)</f>
        <v>180.85</v>
      </c>
      <c r="E9" s="18"/>
      <c r="F9" s="18"/>
      <c r="G9" s="18"/>
      <c r="H9" s="18"/>
      <c r="I9" s="19"/>
      <c r="J9" s="19"/>
      <c r="K9" s="19"/>
      <c r="L9" s="19"/>
      <c r="M9" s="19"/>
      <c r="N9" s="18"/>
      <c r="O9" s="155"/>
      <c r="P9" s="19">
        <v>1</v>
      </c>
      <c r="Q9" s="19"/>
      <c r="R9" s="19"/>
      <c r="S9" s="19"/>
      <c r="T9" s="21">
        <f t="shared" si="5"/>
        <v>0</v>
      </c>
      <c r="U9" s="21">
        <f t="shared" si="5"/>
        <v>0</v>
      </c>
      <c r="V9" s="21">
        <f t="shared" si="5"/>
        <v>0</v>
      </c>
      <c r="W9" s="21">
        <f t="shared" si="5"/>
        <v>0</v>
      </c>
      <c r="X9" s="21">
        <f t="shared" si="5"/>
        <v>0</v>
      </c>
      <c r="Y9" s="21">
        <f t="shared" si="5"/>
        <v>0</v>
      </c>
      <c r="Z9" s="21">
        <f t="shared" si="5"/>
        <v>0</v>
      </c>
      <c r="AA9" s="21">
        <f t="shared" si="5"/>
        <v>0</v>
      </c>
      <c r="AB9" s="21">
        <f t="shared" si="5"/>
        <v>0</v>
      </c>
      <c r="AC9" s="21">
        <f t="shared" si="5"/>
        <v>0</v>
      </c>
      <c r="AD9" s="21">
        <f t="shared" si="6"/>
        <v>0</v>
      </c>
      <c r="AE9" s="21">
        <f t="shared" si="6"/>
        <v>180.85</v>
      </c>
      <c r="AF9" s="21">
        <f t="shared" si="6"/>
        <v>0</v>
      </c>
      <c r="AG9" s="27">
        <f t="shared" si="6"/>
        <v>0</v>
      </c>
      <c r="AH9" s="27">
        <f t="shared" si="6"/>
        <v>0</v>
      </c>
      <c r="AI9" s="38">
        <f t="shared" ref="AI9" si="9">AJ9/$AI$2</f>
        <v>1.3078536303153022E-2</v>
      </c>
      <c r="AJ9" s="21">
        <f t="shared" si="8"/>
        <v>180.85</v>
      </c>
    </row>
    <row r="10" spans="1:36" ht="14.6" x14ac:dyDescent="0.4">
      <c r="A10" s="7">
        <v>7</v>
      </c>
      <c r="B10" s="8" t="s">
        <v>101</v>
      </c>
      <c r="C10" s="185" t="s">
        <v>102</v>
      </c>
      <c r="D10" s="9">
        <f>VLOOKUP(C10,'[1]PREÇO ATUAL'!$A:$D,4,0)</f>
        <v>107.0915531472088</v>
      </c>
      <c r="E10" s="45">
        <v>3.6</v>
      </c>
      <c r="F10" s="45">
        <v>3.6</v>
      </c>
      <c r="G10" s="45">
        <v>3.6</v>
      </c>
      <c r="H10" s="45">
        <v>3.6</v>
      </c>
      <c r="I10" s="46">
        <v>3.6</v>
      </c>
      <c r="J10" s="46">
        <v>3.6</v>
      </c>
      <c r="K10" s="46">
        <v>3.6</v>
      </c>
      <c r="L10" s="46">
        <v>3.6</v>
      </c>
      <c r="M10" s="46">
        <v>3.6</v>
      </c>
      <c r="N10" s="45">
        <v>3.6</v>
      </c>
      <c r="O10" s="157">
        <v>3.6</v>
      </c>
      <c r="P10" s="46">
        <v>3.6</v>
      </c>
      <c r="Q10" s="46">
        <v>3.6</v>
      </c>
      <c r="R10" s="46">
        <v>3.6</v>
      </c>
      <c r="S10" s="46">
        <v>3.6</v>
      </c>
      <c r="T10" s="13">
        <f t="shared" si="5"/>
        <v>385.5295913299517</v>
      </c>
      <c r="U10" s="13">
        <f t="shared" si="5"/>
        <v>385.5295913299517</v>
      </c>
      <c r="V10" s="13">
        <f t="shared" si="5"/>
        <v>385.5295913299517</v>
      </c>
      <c r="W10" s="13">
        <f t="shared" si="5"/>
        <v>385.5295913299517</v>
      </c>
      <c r="X10" s="13">
        <f t="shared" si="5"/>
        <v>385.5295913299517</v>
      </c>
      <c r="Y10" s="13">
        <f t="shared" si="5"/>
        <v>385.5295913299517</v>
      </c>
      <c r="Z10" s="13">
        <f t="shared" si="5"/>
        <v>385.5295913299517</v>
      </c>
      <c r="AA10" s="13">
        <f t="shared" si="5"/>
        <v>385.5295913299517</v>
      </c>
      <c r="AB10" s="13">
        <f t="shared" si="5"/>
        <v>385.5295913299517</v>
      </c>
      <c r="AC10" s="13">
        <f t="shared" si="5"/>
        <v>385.5295913299517</v>
      </c>
      <c r="AD10" s="13">
        <f t="shared" si="6"/>
        <v>385.5295913299517</v>
      </c>
      <c r="AE10" s="13">
        <f t="shared" si="6"/>
        <v>385.5295913299517</v>
      </c>
      <c r="AF10" s="13">
        <f t="shared" si="6"/>
        <v>385.5295913299517</v>
      </c>
      <c r="AG10" s="26">
        <f t="shared" si="6"/>
        <v>385.5295913299517</v>
      </c>
      <c r="AH10" s="26">
        <f t="shared" si="6"/>
        <v>385.5295913299517</v>
      </c>
      <c r="AI10" s="37">
        <f t="shared" si="7"/>
        <v>0.39032501291722033</v>
      </c>
      <c r="AJ10" s="13">
        <f t="shared" si="8"/>
        <v>5397.4142786193224</v>
      </c>
    </row>
    <row r="11" spans="1:36" ht="14.6" x14ac:dyDescent="0.4">
      <c r="A11" s="15">
        <v>8</v>
      </c>
      <c r="B11" s="16" t="s">
        <v>38</v>
      </c>
      <c r="C11" s="186" t="s">
        <v>39</v>
      </c>
      <c r="D11" s="17">
        <f>VLOOKUP(C11,'[1]PREÇO ATUAL'!$A:$D,4,0)</f>
        <v>342</v>
      </c>
      <c r="E11" s="28">
        <v>0.85</v>
      </c>
      <c r="F11" s="28">
        <v>0.9</v>
      </c>
      <c r="G11" s="28">
        <v>0.85</v>
      </c>
      <c r="H11" s="28">
        <v>0.9</v>
      </c>
      <c r="I11" s="29">
        <v>0.95</v>
      </c>
      <c r="J11" s="29">
        <v>1.05</v>
      </c>
      <c r="K11" s="29">
        <v>0.85</v>
      </c>
      <c r="L11" s="29">
        <v>0.9</v>
      </c>
      <c r="M11" s="29">
        <v>0.85</v>
      </c>
      <c r="N11" s="28">
        <v>1</v>
      </c>
      <c r="O11" s="160">
        <v>0.85</v>
      </c>
      <c r="P11" s="29">
        <v>1.25</v>
      </c>
      <c r="Q11" s="29">
        <v>0.85</v>
      </c>
      <c r="R11" s="29">
        <v>0.9</v>
      </c>
      <c r="S11" s="29">
        <v>0.95</v>
      </c>
      <c r="T11" s="21">
        <f>D11*E11</f>
        <v>290.7</v>
      </c>
      <c r="U11" s="21">
        <f t="shared" ref="U11:AC11" si="10">$D11*F11</f>
        <v>307.8</v>
      </c>
      <c r="V11" s="21">
        <f t="shared" si="10"/>
        <v>290.7</v>
      </c>
      <c r="W11" s="21">
        <f t="shared" si="10"/>
        <v>307.8</v>
      </c>
      <c r="X11" s="21">
        <f t="shared" si="10"/>
        <v>324.89999999999998</v>
      </c>
      <c r="Y11" s="21">
        <f t="shared" si="10"/>
        <v>359.1</v>
      </c>
      <c r="Z11" s="21">
        <f t="shared" si="10"/>
        <v>290.7</v>
      </c>
      <c r="AA11" s="21">
        <f t="shared" si="10"/>
        <v>307.8</v>
      </c>
      <c r="AB11" s="21">
        <f t="shared" si="10"/>
        <v>290.7</v>
      </c>
      <c r="AC11" s="21">
        <f t="shared" si="10"/>
        <v>342</v>
      </c>
      <c r="AD11" s="21">
        <f t="shared" si="6"/>
        <v>290.7</v>
      </c>
      <c r="AE11" s="21">
        <f t="shared" si="6"/>
        <v>427.5</v>
      </c>
      <c r="AF11" s="21">
        <f t="shared" si="6"/>
        <v>290.7</v>
      </c>
      <c r="AG11" s="27">
        <f t="shared" si="6"/>
        <v>307.8</v>
      </c>
      <c r="AH11" s="27">
        <f t="shared" si="6"/>
        <v>324.89999999999998</v>
      </c>
      <c r="AI11" s="38">
        <f t="shared" si="7"/>
        <v>0.32028492912930284</v>
      </c>
      <c r="AJ11" s="21">
        <f t="shared" si="8"/>
        <v>4428.8999999999996</v>
      </c>
    </row>
    <row r="12" spans="1:36" ht="14.6" x14ac:dyDescent="0.4">
      <c r="H12" s="39"/>
      <c r="L12" s="39"/>
    </row>
    <row r="13" spans="1:36" ht="15.75" customHeight="1" x14ac:dyDescent="0.4"/>
    <row r="14" spans="1:36" ht="15.75" customHeight="1" x14ac:dyDescent="0.4"/>
    <row r="15" spans="1:36" ht="15.75" customHeight="1" x14ac:dyDescent="0.4"/>
    <row r="16" spans="1:36" ht="15.75" customHeight="1" x14ac:dyDescent="0.4">
      <c r="D16">
        <v>385.52</v>
      </c>
    </row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</sheetData>
  <mergeCells count="3">
    <mergeCell ref="A1:D2"/>
    <mergeCell ref="AI1:AJ1"/>
    <mergeCell ref="AI2:AJ2"/>
  </mergeCells>
  <pageMargins left="0.511811024" right="0.511811024" top="0.78740157499999996" bottom="0.78740157499999996" header="0" footer="0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05DC4-4FF5-4BDE-AA71-CA36F4FCB8D3}">
  <sheetPr codeName="Planilha23">
    <tabColor rgb="FF6CFC24"/>
  </sheetPr>
  <dimension ref="A1:AJ985"/>
  <sheetViews>
    <sheetView showGridLines="0" workbookViewId="0">
      <pane xSplit="4" topLeftCell="E1" activePane="topRight" state="frozen"/>
      <selection activeCell="B23" sqref="B23"/>
      <selection pane="topRight" activeCell="T2" sqref="T2:V2"/>
    </sheetView>
  </sheetViews>
  <sheetFormatPr defaultColWidth="14.3828125" defaultRowHeight="15" customHeight="1" x14ac:dyDescent="0.4"/>
  <cols>
    <col min="1" max="1" width="3.69140625" customWidth="1"/>
    <col min="2" max="2" width="44.53515625" bestFit="1" customWidth="1"/>
    <col min="3" max="3" width="16.84375" customWidth="1"/>
    <col min="4" max="4" width="8.69140625" customWidth="1"/>
    <col min="5" max="14" width="5.15234375" bestFit="1" customWidth="1"/>
    <col min="15" max="19" width="5.15234375" customWidth="1"/>
    <col min="20" max="20" width="14.15234375" customWidth="1"/>
    <col min="21" max="22" width="13.3828125" customWidth="1"/>
    <col min="23" max="23" width="15.3828125" customWidth="1"/>
    <col min="24" max="24" width="13.3828125" customWidth="1"/>
    <col min="25" max="25" width="15.3828125" customWidth="1"/>
    <col min="26" max="26" width="13.3828125" customWidth="1"/>
    <col min="27" max="27" width="15.3828125" customWidth="1"/>
    <col min="28" max="28" width="15.69140625" customWidth="1"/>
    <col min="29" max="29" width="15.69140625" bestFit="1" customWidth="1"/>
    <col min="30" max="30" width="13.69140625" bestFit="1" customWidth="1"/>
    <col min="31" max="31" width="15.69140625" customWidth="1"/>
    <col min="32" max="32" width="13.69140625" bestFit="1" customWidth="1"/>
    <col min="33" max="33" width="15.69140625" customWidth="1"/>
    <col min="34" max="34" width="13.69140625" bestFit="1" customWidth="1"/>
    <col min="35" max="35" width="7" bestFit="1" customWidth="1"/>
    <col min="36" max="36" width="14.3828125" bestFit="1" customWidth="1"/>
  </cols>
  <sheetData>
    <row r="1" spans="1:36" ht="15.75" customHeight="1" x14ac:dyDescent="0.4">
      <c r="A1" s="222" t="s">
        <v>139</v>
      </c>
      <c r="B1" s="223"/>
      <c r="C1" s="223"/>
      <c r="D1" s="234"/>
      <c r="E1" s="226" t="s">
        <v>3</v>
      </c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32"/>
      <c r="T1" s="125" t="s">
        <v>4</v>
      </c>
      <c r="U1" s="125"/>
      <c r="V1" s="125"/>
      <c r="W1" s="125"/>
      <c r="X1" s="125"/>
      <c r="Y1" s="125"/>
      <c r="Z1" s="125"/>
      <c r="AA1" s="125"/>
      <c r="AB1" s="125"/>
      <c r="AC1" s="125"/>
      <c r="AD1" s="147"/>
      <c r="AE1" s="147"/>
      <c r="AF1" s="147"/>
      <c r="AG1" s="147"/>
      <c r="AH1" s="147"/>
      <c r="AI1" s="219" t="s">
        <v>5</v>
      </c>
      <c r="AJ1" s="220"/>
    </row>
    <row r="2" spans="1:36" ht="15" customHeight="1" x14ac:dyDescent="0.4">
      <c r="A2" s="224"/>
      <c r="B2" s="225"/>
      <c r="C2" s="225"/>
      <c r="D2" s="235"/>
      <c r="E2" s="228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33"/>
      <c r="T2" s="2">
        <f>MROUND(SUM(T4:T11),1)</f>
        <v>953</v>
      </c>
      <c r="U2" s="2">
        <f t="shared" ref="U2:AC2" si="0">MROUND(SUM(U4:U11),1)</f>
        <v>1084</v>
      </c>
      <c r="V2" s="2">
        <f t="shared" si="0"/>
        <v>953</v>
      </c>
      <c r="W2" s="2">
        <f t="shared" si="0"/>
        <v>1101</v>
      </c>
      <c r="X2" s="2">
        <f t="shared" si="0"/>
        <v>987</v>
      </c>
      <c r="Y2" s="2">
        <f t="shared" si="0"/>
        <v>1849</v>
      </c>
      <c r="Z2" s="2">
        <f t="shared" si="0"/>
        <v>953</v>
      </c>
      <c r="AA2" s="2">
        <f t="shared" si="0"/>
        <v>1101</v>
      </c>
      <c r="AB2" s="2">
        <f t="shared" si="0"/>
        <v>953</v>
      </c>
      <c r="AC2" s="178">
        <f t="shared" si="0"/>
        <v>1119</v>
      </c>
      <c r="AD2" s="178">
        <f t="shared" ref="AD2:AF2" si="1">MROUND(SUM(AD4:AD11),1)</f>
        <v>936</v>
      </c>
      <c r="AE2" s="178">
        <f>MROUND(SUM(AE4:AE11),1)</f>
        <v>1972</v>
      </c>
      <c r="AF2" s="178">
        <f t="shared" si="1"/>
        <v>936</v>
      </c>
      <c r="AG2" s="178">
        <f>MROUND(SUM(AG4:AG11),1)</f>
        <v>1101</v>
      </c>
      <c r="AH2" s="2">
        <f>MROUND(SUM(AH4:AH11),1)</f>
        <v>987</v>
      </c>
      <c r="AI2" s="221">
        <f>SUM(T2:AH2)</f>
        <v>16985</v>
      </c>
      <c r="AJ2" s="220"/>
    </row>
    <row r="3" spans="1:36" ht="14.6" x14ac:dyDescent="0.4">
      <c r="A3" s="3" t="s">
        <v>6</v>
      </c>
      <c r="B3" s="3" t="s">
        <v>7</v>
      </c>
      <c r="C3" s="3" t="s">
        <v>8</v>
      </c>
      <c r="D3" s="4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18</v>
      </c>
      <c r="N3" s="5" t="s">
        <v>19</v>
      </c>
      <c r="O3" s="5" t="s">
        <v>116</v>
      </c>
      <c r="P3" s="5" t="s">
        <v>117</v>
      </c>
      <c r="Q3" s="5" t="s">
        <v>118</v>
      </c>
      <c r="R3" s="5" t="s">
        <v>119</v>
      </c>
      <c r="S3" s="5" t="s">
        <v>120</v>
      </c>
      <c r="T3" s="36">
        <v>10000</v>
      </c>
      <c r="U3" s="36">
        <v>20000</v>
      </c>
      <c r="V3" s="36">
        <v>30000</v>
      </c>
      <c r="W3" s="36">
        <v>40000</v>
      </c>
      <c r="X3" s="36">
        <v>50000</v>
      </c>
      <c r="Y3" s="36">
        <v>60000</v>
      </c>
      <c r="Z3" s="36">
        <v>70000</v>
      </c>
      <c r="AA3" s="36">
        <v>80000</v>
      </c>
      <c r="AB3" s="36">
        <v>90000</v>
      </c>
      <c r="AC3" s="36">
        <f>AB3+10000</f>
        <v>100000</v>
      </c>
      <c r="AD3" s="36">
        <f t="shared" ref="AD3:AH3" si="2">AC3+10000</f>
        <v>110000</v>
      </c>
      <c r="AE3" s="36">
        <f t="shared" si="2"/>
        <v>120000</v>
      </c>
      <c r="AF3" s="36">
        <f t="shared" si="2"/>
        <v>130000</v>
      </c>
      <c r="AG3" s="36">
        <f t="shared" si="2"/>
        <v>140000</v>
      </c>
      <c r="AH3" s="36">
        <f t="shared" si="2"/>
        <v>150000</v>
      </c>
      <c r="AI3" s="52">
        <f>SUM(AI4:AI11)</f>
        <v>0.99496507663226552</v>
      </c>
      <c r="AJ3" s="3" t="s">
        <v>21</v>
      </c>
    </row>
    <row r="4" spans="1:36" ht="14.6" x14ac:dyDescent="0.4">
      <c r="A4" s="7">
        <v>1</v>
      </c>
      <c r="B4" s="8" t="s">
        <v>22</v>
      </c>
      <c r="C4" s="185" t="s">
        <v>97</v>
      </c>
      <c r="D4" s="9">
        <f>VLOOKUP(C4,'[1]PREÇO ATUAL'!$A:$D,4,0)</f>
        <v>112.46</v>
      </c>
      <c r="E4" s="10">
        <v>1</v>
      </c>
      <c r="F4" s="10">
        <v>1</v>
      </c>
      <c r="G4" s="10">
        <v>1</v>
      </c>
      <c r="H4" s="10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0">
        <v>1</v>
      </c>
      <c r="O4" s="11">
        <v>1</v>
      </c>
      <c r="P4" s="10">
        <v>1</v>
      </c>
      <c r="Q4" s="11">
        <v>1</v>
      </c>
      <c r="R4" s="10">
        <v>1</v>
      </c>
      <c r="S4" s="11">
        <v>1</v>
      </c>
      <c r="T4" s="13">
        <f t="shared" ref="T4:AC10" si="3">$D4*E4</f>
        <v>112.46</v>
      </c>
      <c r="U4" s="13">
        <f t="shared" si="3"/>
        <v>112.46</v>
      </c>
      <c r="V4" s="13">
        <f t="shared" si="3"/>
        <v>112.46</v>
      </c>
      <c r="W4" s="13">
        <f t="shared" si="3"/>
        <v>112.46</v>
      </c>
      <c r="X4" s="13">
        <f t="shared" si="3"/>
        <v>112.46</v>
      </c>
      <c r="Y4" s="13">
        <f t="shared" si="3"/>
        <v>112.46</v>
      </c>
      <c r="Z4" s="13">
        <f t="shared" si="3"/>
        <v>112.46</v>
      </c>
      <c r="AA4" s="13">
        <f t="shared" si="3"/>
        <v>112.46</v>
      </c>
      <c r="AB4" s="13">
        <f t="shared" si="3"/>
        <v>112.46</v>
      </c>
      <c r="AC4" s="26">
        <f t="shared" si="3"/>
        <v>112.46</v>
      </c>
      <c r="AD4" s="26">
        <f t="shared" ref="AD4:AH11" si="4">$D4*O4</f>
        <v>112.46</v>
      </c>
      <c r="AE4" s="26">
        <f t="shared" si="4"/>
        <v>112.46</v>
      </c>
      <c r="AF4" s="26">
        <f t="shared" si="4"/>
        <v>112.46</v>
      </c>
      <c r="AG4" s="26">
        <f t="shared" si="4"/>
        <v>112.46</v>
      </c>
      <c r="AH4" s="26">
        <f t="shared" si="4"/>
        <v>112.46</v>
      </c>
      <c r="AI4" s="37">
        <f t="shared" ref="AI4:AI11" si="5">AJ4/$AI$2</f>
        <v>9.9317044450986186E-2</v>
      </c>
      <c r="AJ4" s="13">
        <f>SUM(T4:AH4)</f>
        <v>1686.9000000000003</v>
      </c>
    </row>
    <row r="5" spans="1:36" ht="14.6" x14ac:dyDescent="0.4">
      <c r="A5" s="15">
        <v>2</v>
      </c>
      <c r="B5" s="16" t="s">
        <v>24</v>
      </c>
      <c r="C5" s="186" t="s">
        <v>98</v>
      </c>
      <c r="D5" s="17">
        <f>VLOOKUP(C5,'[1]PREÇO ATUAL'!$A:$D,4,0)</f>
        <v>35.9</v>
      </c>
      <c r="E5" s="18">
        <v>1</v>
      </c>
      <c r="F5" s="18">
        <v>1</v>
      </c>
      <c r="G5" s="18">
        <v>1</v>
      </c>
      <c r="H5" s="18">
        <v>1</v>
      </c>
      <c r="I5" s="19">
        <v>1</v>
      </c>
      <c r="J5" s="19">
        <v>1</v>
      </c>
      <c r="K5" s="19">
        <v>1</v>
      </c>
      <c r="L5" s="19">
        <v>1</v>
      </c>
      <c r="M5" s="19">
        <v>1</v>
      </c>
      <c r="N5" s="18">
        <v>1</v>
      </c>
      <c r="O5" s="19">
        <v>1</v>
      </c>
      <c r="P5" s="18">
        <v>1</v>
      </c>
      <c r="Q5" s="19">
        <v>1</v>
      </c>
      <c r="R5" s="18">
        <v>1</v>
      </c>
      <c r="S5" s="19">
        <v>1</v>
      </c>
      <c r="T5" s="21">
        <f t="shared" si="3"/>
        <v>35.9</v>
      </c>
      <c r="U5" s="21">
        <f t="shared" si="3"/>
        <v>35.9</v>
      </c>
      <c r="V5" s="21">
        <f t="shared" si="3"/>
        <v>35.9</v>
      </c>
      <c r="W5" s="21">
        <f t="shared" si="3"/>
        <v>35.9</v>
      </c>
      <c r="X5" s="21">
        <f t="shared" si="3"/>
        <v>35.9</v>
      </c>
      <c r="Y5" s="21">
        <f t="shared" si="3"/>
        <v>35.9</v>
      </c>
      <c r="Z5" s="21">
        <f t="shared" si="3"/>
        <v>35.9</v>
      </c>
      <c r="AA5" s="21">
        <f t="shared" si="3"/>
        <v>35.9</v>
      </c>
      <c r="AB5" s="21">
        <f t="shared" si="3"/>
        <v>35.9</v>
      </c>
      <c r="AC5" s="27">
        <f t="shared" si="3"/>
        <v>35.9</v>
      </c>
      <c r="AD5" s="27">
        <f t="shared" si="4"/>
        <v>35.9</v>
      </c>
      <c r="AE5" s="27">
        <f t="shared" si="4"/>
        <v>35.9</v>
      </c>
      <c r="AF5" s="27">
        <f t="shared" si="4"/>
        <v>35.9</v>
      </c>
      <c r="AG5" s="27">
        <f t="shared" si="4"/>
        <v>35.9</v>
      </c>
      <c r="AH5" s="27">
        <f t="shared" si="4"/>
        <v>35.9</v>
      </c>
      <c r="AI5" s="38">
        <f t="shared" si="5"/>
        <v>3.1704445098616418E-2</v>
      </c>
      <c r="AJ5" s="21">
        <f t="shared" ref="AJ5:AJ11" si="6">SUM(T5:AH5)</f>
        <v>538.49999999999989</v>
      </c>
    </row>
    <row r="6" spans="1:36" ht="14.6" x14ac:dyDescent="0.4">
      <c r="A6" s="7">
        <v>3</v>
      </c>
      <c r="B6" s="8" t="s">
        <v>26</v>
      </c>
      <c r="C6" s="185" t="s">
        <v>135</v>
      </c>
      <c r="D6" s="9">
        <f>VLOOKUP(C6,'[1]PREÇO ATUAL'!$A:$D,4,0)</f>
        <v>114.17</v>
      </c>
      <c r="E6" s="10"/>
      <c r="F6" s="10">
        <v>1</v>
      </c>
      <c r="G6" s="10"/>
      <c r="H6" s="10">
        <v>1</v>
      </c>
      <c r="I6" s="11"/>
      <c r="J6" s="11">
        <v>1</v>
      </c>
      <c r="K6" s="11"/>
      <c r="L6" s="11">
        <v>1</v>
      </c>
      <c r="M6" s="11"/>
      <c r="N6" s="10">
        <v>1</v>
      </c>
      <c r="O6" s="11"/>
      <c r="P6" s="10">
        <v>1</v>
      </c>
      <c r="Q6" s="11"/>
      <c r="R6" s="10">
        <v>1</v>
      </c>
      <c r="S6" s="11"/>
      <c r="T6" s="13">
        <f t="shared" si="3"/>
        <v>0</v>
      </c>
      <c r="U6" s="13">
        <f t="shared" si="3"/>
        <v>114.17</v>
      </c>
      <c r="V6" s="13">
        <f t="shared" si="3"/>
        <v>0</v>
      </c>
      <c r="W6" s="13">
        <f t="shared" si="3"/>
        <v>114.17</v>
      </c>
      <c r="X6" s="13">
        <f t="shared" si="3"/>
        <v>0</v>
      </c>
      <c r="Y6" s="13">
        <f t="shared" si="3"/>
        <v>114.17</v>
      </c>
      <c r="Z6" s="13">
        <f t="shared" si="3"/>
        <v>0</v>
      </c>
      <c r="AA6" s="13">
        <f t="shared" si="3"/>
        <v>114.17</v>
      </c>
      <c r="AB6" s="13">
        <f t="shared" si="3"/>
        <v>0</v>
      </c>
      <c r="AC6" s="26">
        <f t="shared" si="3"/>
        <v>114.17</v>
      </c>
      <c r="AD6" s="26">
        <f t="shared" si="4"/>
        <v>0</v>
      </c>
      <c r="AE6" s="26">
        <f t="shared" si="4"/>
        <v>114.17</v>
      </c>
      <c r="AF6" s="26">
        <f t="shared" si="4"/>
        <v>0</v>
      </c>
      <c r="AG6" s="26">
        <f t="shared" si="4"/>
        <v>114.17</v>
      </c>
      <c r="AH6" s="26">
        <f t="shared" si="4"/>
        <v>0</v>
      </c>
      <c r="AI6" s="37">
        <f t="shared" si="5"/>
        <v>4.7052693553135114E-2</v>
      </c>
      <c r="AJ6" s="13">
        <f>SUM(T6:AH6)</f>
        <v>799.18999999999994</v>
      </c>
    </row>
    <row r="7" spans="1:36" ht="14.6" x14ac:dyDescent="0.4">
      <c r="A7" s="15">
        <v>4</v>
      </c>
      <c r="B7" s="16" t="s">
        <v>28</v>
      </c>
      <c r="C7" s="186" t="s">
        <v>100</v>
      </c>
      <c r="D7" s="17">
        <f>VLOOKUP(C7,'[1]PREÇO ATUAL'!$A:$D,4,0)</f>
        <v>169.9</v>
      </c>
      <c r="E7" s="18"/>
      <c r="F7" s="18"/>
      <c r="G7" s="18"/>
      <c r="H7" s="18"/>
      <c r="I7" s="19"/>
      <c r="J7" s="19">
        <v>4</v>
      </c>
      <c r="K7" s="19"/>
      <c r="L7" s="19"/>
      <c r="M7" s="19"/>
      <c r="N7" s="18"/>
      <c r="O7" s="155"/>
      <c r="P7" s="19">
        <v>4</v>
      </c>
      <c r="Q7" s="19"/>
      <c r="R7" s="19"/>
      <c r="S7" s="19"/>
      <c r="T7" s="21">
        <f t="shared" si="3"/>
        <v>0</v>
      </c>
      <c r="U7" s="21">
        <f t="shared" si="3"/>
        <v>0</v>
      </c>
      <c r="V7" s="21">
        <f t="shared" si="3"/>
        <v>0</v>
      </c>
      <c r="W7" s="21">
        <f t="shared" si="3"/>
        <v>0</v>
      </c>
      <c r="X7" s="21">
        <f t="shared" si="3"/>
        <v>0</v>
      </c>
      <c r="Y7" s="21">
        <f t="shared" si="3"/>
        <v>679.6</v>
      </c>
      <c r="Z7" s="21">
        <f t="shared" si="3"/>
        <v>0</v>
      </c>
      <c r="AA7" s="21">
        <f t="shared" si="3"/>
        <v>0</v>
      </c>
      <c r="AB7" s="21">
        <f t="shared" si="3"/>
        <v>0</v>
      </c>
      <c r="AC7" s="27">
        <f t="shared" si="3"/>
        <v>0</v>
      </c>
      <c r="AD7" s="27">
        <f t="shared" si="4"/>
        <v>0</v>
      </c>
      <c r="AE7" s="27">
        <f t="shared" si="4"/>
        <v>679.6</v>
      </c>
      <c r="AF7" s="27">
        <f t="shared" si="4"/>
        <v>0</v>
      </c>
      <c r="AG7" s="27">
        <f t="shared" si="4"/>
        <v>0</v>
      </c>
      <c r="AH7" s="27">
        <f t="shared" si="4"/>
        <v>0</v>
      </c>
      <c r="AI7" s="38">
        <f t="shared" si="5"/>
        <v>8.0023550191345313E-2</v>
      </c>
      <c r="AJ7" s="21">
        <f t="shared" si="6"/>
        <v>1359.2</v>
      </c>
    </row>
    <row r="8" spans="1:36" ht="14.6" x14ac:dyDescent="0.4">
      <c r="A8" s="7">
        <v>5</v>
      </c>
      <c r="B8" s="8" t="s">
        <v>34</v>
      </c>
      <c r="C8" s="185" t="s">
        <v>35</v>
      </c>
      <c r="D8" s="9">
        <f>VLOOKUP(C8,'[1]PREÇO ATUAL'!$A:$D,4,0)</f>
        <v>33.622493083850472</v>
      </c>
      <c r="E8" s="10"/>
      <c r="F8" s="10"/>
      <c r="G8" s="10"/>
      <c r="H8" s="10"/>
      <c r="I8" s="11"/>
      <c r="J8" s="11"/>
      <c r="K8" s="11"/>
      <c r="L8" s="11"/>
      <c r="M8" s="11"/>
      <c r="N8" s="10"/>
      <c r="O8" s="154"/>
      <c r="P8" s="11"/>
      <c r="Q8" s="11"/>
      <c r="R8" s="11"/>
      <c r="S8" s="11"/>
      <c r="T8" s="13">
        <f t="shared" si="3"/>
        <v>0</v>
      </c>
      <c r="U8" s="13">
        <f t="shared" si="3"/>
        <v>0</v>
      </c>
      <c r="V8" s="13">
        <f t="shared" si="3"/>
        <v>0</v>
      </c>
      <c r="W8" s="13">
        <f t="shared" si="3"/>
        <v>0</v>
      </c>
      <c r="X8" s="13">
        <f t="shared" si="3"/>
        <v>0</v>
      </c>
      <c r="Y8" s="13">
        <f t="shared" si="3"/>
        <v>0</v>
      </c>
      <c r="Z8" s="13">
        <f t="shared" si="3"/>
        <v>0</v>
      </c>
      <c r="AA8" s="13">
        <f t="shared" si="3"/>
        <v>0</v>
      </c>
      <c r="AB8" s="13">
        <f t="shared" si="3"/>
        <v>0</v>
      </c>
      <c r="AC8" s="26">
        <f t="shared" si="3"/>
        <v>0</v>
      </c>
      <c r="AD8" s="26">
        <f t="shared" si="4"/>
        <v>0</v>
      </c>
      <c r="AE8" s="26">
        <f t="shared" si="4"/>
        <v>0</v>
      </c>
      <c r="AF8" s="26">
        <f t="shared" si="4"/>
        <v>0</v>
      </c>
      <c r="AG8" s="26">
        <f t="shared" si="4"/>
        <v>0</v>
      </c>
      <c r="AH8" s="26">
        <f t="shared" si="4"/>
        <v>0</v>
      </c>
      <c r="AI8" s="37">
        <f t="shared" si="5"/>
        <v>0</v>
      </c>
      <c r="AJ8" s="13">
        <f t="shared" si="6"/>
        <v>0</v>
      </c>
    </row>
    <row r="9" spans="1:36" ht="28.5" customHeight="1" x14ac:dyDescent="0.4">
      <c r="A9" s="15">
        <v>6</v>
      </c>
      <c r="B9" s="143" t="s">
        <v>137</v>
      </c>
      <c r="C9" s="186" t="s">
        <v>140</v>
      </c>
      <c r="D9" s="17">
        <f>VLOOKUP(C9,'[1]PREÇO ATUAL'!$A:$D,4,0)</f>
        <v>88.64</v>
      </c>
      <c r="E9" s="18"/>
      <c r="F9" s="18"/>
      <c r="G9" s="18"/>
      <c r="H9" s="18"/>
      <c r="I9" s="19"/>
      <c r="J9" s="19"/>
      <c r="K9" s="19"/>
      <c r="L9" s="19"/>
      <c r="M9" s="19"/>
      <c r="N9" s="18"/>
      <c r="O9" s="155"/>
      <c r="P9" s="19">
        <v>1</v>
      </c>
      <c r="Q9" s="19"/>
      <c r="R9" s="19"/>
      <c r="S9" s="19"/>
      <c r="T9" s="21">
        <f t="shared" si="3"/>
        <v>0</v>
      </c>
      <c r="U9" s="21">
        <f t="shared" si="3"/>
        <v>0</v>
      </c>
      <c r="V9" s="21">
        <f t="shared" si="3"/>
        <v>0</v>
      </c>
      <c r="W9" s="21">
        <f t="shared" si="3"/>
        <v>0</v>
      </c>
      <c r="X9" s="21">
        <f t="shared" si="3"/>
        <v>0</v>
      </c>
      <c r="Y9" s="21">
        <f t="shared" si="3"/>
        <v>0</v>
      </c>
      <c r="Z9" s="21">
        <f t="shared" si="3"/>
        <v>0</v>
      </c>
      <c r="AA9" s="21">
        <f t="shared" si="3"/>
        <v>0</v>
      </c>
      <c r="AB9" s="21">
        <f t="shared" si="3"/>
        <v>0</v>
      </c>
      <c r="AC9" s="27">
        <f t="shared" si="3"/>
        <v>0</v>
      </c>
      <c r="AD9" s="27">
        <f t="shared" si="4"/>
        <v>0</v>
      </c>
      <c r="AE9" s="27">
        <f t="shared" si="4"/>
        <v>88.64</v>
      </c>
      <c r="AF9" s="27">
        <f t="shared" si="4"/>
        <v>0</v>
      </c>
      <c r="AG9" s="27">
        <f t="shared" si="4"/>
        <v>0</v>
      </c>
      <c r="AH9" s="27">
        <f t="shared" si="4"/>
        <v>0</v>
      </c>
      <c r="AI9" s="38"/>
      <c r="AJ9" s="21">
        <f t="shared" si="6"/>
        <v>88.64</v>
      </c>
    </row>
    <row r="10" spans="1:36" ht="14.6" x14ac:dyDescent="0.4">
      <c r="A10" s="7">
        <v>7</v>
      </c>
      <c r="B10" s="8" t="s">
        <v>101</v>
      </c>
      <c r="C10" s="185" t="s">
        <v>102</v>
      </c>
      <c r="D10" s="9">
        <f>VLOOKUP(C10,'[1]PREÇO ATUAL'!$A:$D,4,0)</f>
        <v>107.0915531472088</v>
      </c>
      <c r="E10" s="45">
        <v>4.8</v>
      </c>
      <c r="F10" s="45">
        <v>4.8</v>
      </c>
      <c r="G10" s="45">
        <v>4.8</v>
      </c>
      <c r="H10" s="45">
        <v>4.8</v>
      </c>
      <c r="I10" s="46">
        <v>4.8</v>
      </c>
      <c r="J10" s="46">
        <v>4.8</v>
      </c>
      <c r="K10" s="46">
        <v>4.8</v>
      </c>
      <c r="L10" s="46">
        <v>4.8</v>
      </c>
      <c r="M10" s="46">
        <v>4.8</v>
      </c>
      <c r="N10" s="45">
        <v>4.8</v>
      </c>
      <c r="O10" s="157">
        <v>4.8</v>
      </c>
      <c r="P10" s="46">
        <v>4.8</v>
      </c>
      <c r="Q10" s="46">
        <v>4.8</v>
      </c>
      <c r="R10" s="46">
        <v>4.8</v>
      </c>
      <c r="S10" s="46">
        <v>4.8</v>
      </c>
      <c r="T10" s="13">
        <f t="shared" si="3"/>
        <v>514.03945510660219</v>
      </c>
      <c r="U10" s="13">
        <f t="shared" si="3"/>
        <v>514.03945510660219</v>
      </c>
      <c r="V10" s="13">
        <f t="shared" si="3"/>
        <v>514.03945510660219</v>
      </c>
      <c r="W10" s="13">
        <f t="shared" si="3"/>
        <v>514.03945510660219</v>
      </c>
      <c r="X10" s="13">
        <f t="shared" si="3"/>
        <v>514.03945510660219</v>
      </c>
      <c r="Y10" s="13">
        <f t="shared" si="3"/>
        <v>514.03945510660219</v>
      </c>
      <c r="Z10" s="13">
        <f t="shared" si="3"/>
        <v>514.03945510660219</v>
      </c>
      <c r="AA10" s="13">
        <f t="shared" si="3"/>
        <v>514.03945510660219</v>
      </c>
      <c r="AB10" s="13">
        <f t="shared" si="3"/>
        <v>514.03945510660219</v>
      </c>
      <c r="AC10" s="26">
        <f t="shared" si="3"/>
        <v>514.03945510660219</v>
      </c>
      <c r="AD10" s="26">
        <f t="shared" si="4"/>
        <v>514.03945510660219</v>
      </c>
      <c r="AE10" s="26">
        <f t="shared" si="4"/>
        <v>514.03945510660219</v>
      </c>
      <c r="AF10" s="26">
        <f t="shared" si="4"/>
        <v>514.03945510660219</v>
      </c>
      <c r="AG10" s="26">
        <f t="shared" si="4"/>
        <v>514.03945510660219</v>
      </c>
      <c r="AH10" s="26">
        <f t="shared" si="4"/>
        <v>514.03945510660219</v>
      </c>
      <c r="AI10" s="37">
        <f t="shared" si="5"/>
        <v>0.45396478225487374</v>
      </c>
      <c r="AJ10" s="13">
        <f t="shared" si="6"/>
        <v>7710.5918265990304</v>
      </c>
    </row>
    <row r="11" spans="1:36" ht="14.6" x14ac:dyDescent="0.4">
      <c r="A11" s="15">
        <v>8</v>
      </c>
      <c r="B11" s="16" t="s">
        <v>38</v>
      </c>
      <c r="C11" s="186" t="s">
        <v>39</v>
      </c>
      <c r="D11" s="17">
        <f>VLOOKUP(C11,'[1]PREÇO ATUAL'!$A:$D,4,0)</f>
        <v>342</v>
      </c>
      <c r="E11" s="28">
        <v>0.85</v>
      </c>
      <c r="F11" s="28">
        <v>0.9</v>
      </c>
      <c r="G11" s="28">
        <v>0.85</v>
      </c>
      <c r="H11" s="28">
        <v>0.95</v>
      </c>
      <c r="I11" s="29">
        <v>0.95</v>
      </c>
      <c r="J11" s="29">
        <v>1.1499999999999999</v>
      </c>
      <c r="K11" s="29">
        <v>0.85</v>
      </c>
      <c r="L11" s="29">
        <v>0.95</v>
      </c>
      <c r="M11" s="29">
        <v>0.85</v>
      </c>
      <c r="N11" s="28">
        <v>1</v>
      </c>
      <c r="O11" s="160">
        <v>0.8</v>
      </c>
      <c r="P11" s="29">
        <v>1.25</v>
      </c>
      <c r="Q11" s="29">
        <v>0.8</v>
      </c>
      <c r="R11" s="29">
        <v>0.95</v>
      </c>
      <c r="S11" s="29">
        <v>0.95</v>
      </c>
      <c r="T11" s="21">
        <f>D11*E11</f>
        <v>290.7</v>
      </c>
      <c r="U11" s="21">
        <f t="shared" ref="U11:AC11" si="7">$D11*F11</f>
        <v>307.8</v>
      </c>
      <c r="V11" s="21">
        <f t="shared" si="7"/>
        <v>290.7</v>
      </c>
      <c r="W11" s="21">
        <f t="shared" si="7"/>
        <v>324.89999999999998</v>
      </c>
      <c r="X11" s="21">
        <f t="shared" si="7"/>
        <v>324.89999999999998</v>
      </c>
      <c r="Y11" s="21">
        <f t="shared" si="7"/>
        <v>393.29999999999995</v>
      </c>
      <c r="Z11" s="21">
        <f t="shared" si="7"/>
        <v>290.7</v>
      </c>
      <c r="AA11" s="21">
        <f t="shared" si="7"/>
        <v>324.89999999999998</v>
      </c>
      <c r="AB11" s="21">
        <f t="shared" si="7"/>
        <v>290.7</v>
      </c>
      <c r="AC11" s="27">
        <f t="shared" si="7"/>
        <v>342</v>
      </c>
      <c r="AD11" s="27">
        <f t="shared" si="4"/>
        <v>273.60000000000002</v>
      </c>
      <c r="AE11" s="27">
        <f t="shared" si="4"/>
        <v>427.5</v>
      </c>
      <c r="AF11" s="27">
        <f t="shared" si="4"/>
        <v>273.60000000000002</v>
      </c>
      <c r="AG11" s="27">
        <f t="shared" si="4"/>
        <v>324.89999999999998</v>
      </c>
      <c r="AH11" s="27">
        <f t="shared" si="4"/>
        <v>324.89999999999998</v>
      </c>
      <c r="AI11" s="38">
        <f t="shared" si="5"/>
        <v>0.28290256108330875</v>
      </c>
      <c r="AJ11" s="21">
        <f t="shared" si="6"/>
        <v>4805.0999999999995</v>
      </c>
    </row>
    <row r="12" spans="1:36" ht="14.6" x14ac:dyDescent="0.4">
      <c r="H12" s="39"/>
    </row>
    <row r="13" spans="1:36" ht="15.75" customHeight="1" x14ac:dyDescent="0.4"/>
    <row r="14" spans="1:36" ht="15.75" customHeight="1" x14ac:dyDescent="0.4"/>
    <row r="15" spans="1:36" ht="15.75" customHeight="1" x14ac:dyDescent="0.4"/>
    <row r="16" spans="1:36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</sheetData>
  <mergeCells count="4">
    <mergeCell ref="A1:D2"/>
    <mergeCell ref="AI1:AJ1"/>
    <mergeCell ref="AI2:AJ2"/>
    <mergeCell ref="E1:S2"/>
  </mergeCells>
  <pageMargins left="0.511811024" right="0.511811024" top="0.78740157499999996" bottom="0.78740157499999996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ilha24">
    <tabColor rgb="FF00FF00"/>
  </sheetPr>
  <dimension ref="A1:AJ975"/>
  <sheetViews>
    <sheetView showGridLines="0" workbookViewId="0">
      <pane xSplit="4" topLeftCell="E1" activePane="topRight" state="frozen"/>
      <selection activeCell="B23" sqref="B23"/>
      <selection pane="topRight" activeCell="L27" sqref="L27"/>
    </sheetView>
  </sheetViews>
  <sheetFormatPr defaultColWidth="14.3828125" defaultRowHeight="15" customHeight="1" x14ac:dyDescent="0.4"/>
  <cols>
    <col min="1" max="1" width="3.69140625" customWidth="1"/>
    <col min="2" max="2" width="54.84375" customWidth="1"/>
    <col min="3" max="3" width="16.84375" customWidth="1"/>
    <col min="4" max="4" width="8.69140625" customWidth="1"/>
    <col min="5" max="14" width="7.15234375" bestFit="1" customWidth="1"/>
    <col min="15" max="15" width="5.53515625" bestFit="1" customWidth="1"/>
    <col min="16" max="19" width="7.15234375" bestFit="1" customWidth="1"/>
    <col min="20" max="21" width="14.53515625" customWidth="1"/>
    <col min="22" max="22" width="15.69140625" bestFit="1" customWidth="1"/>
    <col min="23" max="24" width="14.53515625" customWidth="1"/>
    <col min="25" max="25" width="16.84375" customWidth="1"/>
    <col min="26" max="27" width="14.53515625" customWidth="1"/>
    <col min="28" max="28" width="15.69140625" bestFit="1" customWidth="1"/>
    <col min="29" max="30" width="13.69140625" customWidth="1"/>
    <col min="31" max="31" width="15.69140625" bestFit="1" customWidth="1"/>
    <col min="32" max="33" width="13.69140625" customWidth="1"/>
    <col min="34" max="34" width="15.69140625" bestFit="1" customWidth="1"/>
    <col min="35" max="35" width="8.3828125" customWidth="1"/>
    <col min="36" max="36" width="14.3828125" customWidth="1"/>
  </cols>
  <sheetData>
    <row r="1" spans="1:36" ht="15.75" customHeight="1" x14ac:dyDescent="0.4">
      <c r="A1" s="222" t="s">
        <v>141</v>
      </c>
      <c r="B1" s="223"/>
      <c r="C1" s="223"/>
      <c r="D1" s="234"/>
      <c r="E1" s="126" t="s">
        <v>3</v>
      </c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5" t="s">
        <v>4</v>
      </c>
      <c r="U1" s="125"/>
      <c r="V1" s="125"/>
      <c r="W1" s="125"/>
      <c r="X1" s="125"/>
      <c r="Y1" s="125"/>
      <c r="Z1" s="125"/>
      <c r="AA1" s="125"/>
      <c r="AB1" s="125"/>
      <c r="AC1" s="125"/>
      <c r="AD1" s="147"/>
      <c r="AE1" s="147"/>
      <c r="AF1" s="147"/>
      <c r="AG1" s="147"/>
      <c r="AH1" s="147"/>
      <c r="AI1" s="219" t="s">
        <v>5</v>
      </c>
      <c r="AJ1" s="220"/>
    </row>
    <row r="2" spans="1:36" ht="15" customHeight="1" x14ac:dyDescent="0.4">
      <c r="A2" s="224"/>
      <c r="B2" s="225"/>
      <c r="C2" s="225"/>
      <c r="D2" s="225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7">
        <f>MROUND(SUM(T4:T14),1)</f>
        <v>645</v>
      </c>
      <c r="U2" s="2">
        <f t="shared" ref="U2:AH2" si="0">MROUND(SUM(U4:U14),1)</f>
        <v>853</v>
      </c>
      <c r="V2" s="2">
        <f t="shared" si="0"/>
        <v>1250</v>
      </c>
      <c r="W2" s="2">
        <f t="shared" si="0"/>
        <v>922</v>
      </c>
      <c r="X2" s="2">
        <f t="shared" si="0"/>
        <v>850</v>
      </c>
      <c r="Y2" s="2">
        <f t="shared" si="0"/>
        <v>2566</v>
      </c>
      <c r="Z2" s="2">
        <f t="shared" si="0"/>
        <v>645</v>
      </c>
      <c r="AA2" s="2">
        <f t="shared" si="0"/>
        <v>922</v>
      </c>
      <c r="AB2" s="2">
        <f t="shared" si="0"/>
        <v>1250</v>
      </c>
      <c r="AC2" s="2">
        <f t="shared" si="0"/>
        <v>905</v>
      </c>
      <c r="AD2" s="2">
        <f t="shared" si="0"/>
        <v>799</v>
      </c>
      <c r="AE2" s="2">
        <f t="shared" si="0"/>
        <v>3069</v>
      </c>
      <c r="AF2" s="2">
        <f t="shared" si="0"/>
        <v>645</v>
      </c>
      <c r="AG2" s="2">
        <f t="shared" si="0"/>
        <v>853</v>
      </c>
      <c r="AH2" s="2">
        <f t="shared" si="0"/>
        <v>1301</v>
      </c>
      <c r="AI2" s="221">
        <f>SUM(T2:AH2)</f>
        <v>17475</v>
      </c>
      <c r="AJ2" s="220"/>
    </row>
    <row r="3" spans="1:36" ht="14.6" x14ac:dyDescent="0.4">
      <c r="A3" s="3" t="s">
        <v>6</v>
      </c>
      <c r="B3" s="3" t="s">
        <v>7</v>
      </c>
      <c r="C3" s="3" t="s">
        <v>8</v>
      </c>
      <c r="D3" s="4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18</v>
      </c>
      <c r="N3" s="5" t="s">
        <v>19</v>
      </c>
      <c r="O3" s="5" t="s">
        <v>116</v>
      </c>
      <c r="P3" s="5" t="s">
        <v>117</v>
      </c>
      <c r="Q3" s="5" t="s">
        <v>118</v>
      </c>
      <c r="R3" s="5" t="s">
        <v>119</v>
      </c>
      <c r="S3" s="5" t="s">
        <v>120</v>
      </c>
      <c r="T3" s="36">
        <v>10000</v>
      </c>
      <c r="U3" s="36">
        <v>20000</v>
      </c>
      <c r="V3" s="36">
        <v>30000</v>
      </c>
      <c r="W3" s="36">
        <v>40000</v>
      </c>
      <c r="X3" s="36">
        <v>50000</v>
      </c>
      <c r="Y3" s="36">
        <v>60000</v>
      </c>
      <c r="Z3" s="36">
        <v>70000</v>
      </c>
      <c r="AA3" s="36">
        <v>80000</v>
      </c>
      <c r="AB3" s="36">
        <v>90000</v>
      </c>
      <c r="AC3" s="36">
        <v>100000</v>
      </c>
      <c r="AD3" s="65">
        <f>AC3+10000</f>
        <v>110000</v>
      </c>
      <c r="AE3" s="65">
        <f t="shared" ref="AE3:AH3" si="1">AD3+10000</f>
        <v>120000</v>
      </c>
      <c r="AF3" s="65">
        <f t="shared" si="1"/>
        <v>130000</v>
      </c>
      <c r="AG3" s="65">
        <f t="shared" si="1"/>
        <v>140000</v>
      </c>
      <c r="AH3" s="65">
        <f t="shared" si="1"/>
        <v>150000</v>
      </c>
      <c r="AI3" s="6" t="s">
        <v>20</v>
      </c>
      <c r="AJ3" s="3" t="s">
        <v>21</v>
      </c>
    </row>
    <row r="4" spans="1:36" ht="14.6" x14ac:dyDescent="0.4">
      <c r="A4" s="7">
        <v>1</v>
      </c>
      <c r="B4" s="8" t="s">
        <v>142</v>
      </c>
      <c r="C4" s="185" t="s">
        <v>71</v>
      </c>
      <c r="D4" s="9">
        <f>VLOOKUP(C4,'[1]PREÇO ATUAL'!$A:$D,4,0)</f>
        <v>71.2</v>
      </c>
      <c r="E4" s="10">
        <v>1</v>
      </c>
      <c r="F4" s="10">
        <v>1</v>
      </c>
      <c r="G4" s="10">
        <v>1</v>
      </c>
      <c r="H4" s="10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1">
        <v>1</v>
      </c>
      <c r="O4" s="11">
        <v>1</v>
      </c>
      <c r="P4" s="11">
        <v>1</v>
      </c>
      <c r="Q4" s="11">
        <v>1</v>
      </c>
      <c r="R4" s="11">
        <v>1</v>
      </c>
      <c r="S4" s="11">
        <v>1</v>
      </c>
      <c r="T4" s="13">
        <f t="shared" ref="T4:T13" si="2">$D4*E4</f>
        <v>71.2</v>
      </c>
      <c r="U4" s="13">
        <f t="shared" ref="U4:U13" si="3">$D4*F4</f>
        <v>71.2</v>
      </c>
      <c r="V4" s="13">
        <f t="shared" ref="V4:V13" si="4">$D4*G4</f>
        <v>71.2</v>
      </c>
      <c r="W4" s="13">
        <f t="shared" ref="W4:W13" si="5">$D4*H4</f>
        <v>71.2</v>
      </c>
      <c r="X4" s="13">
        <f t="shared" ref="X4:X13" si="6">$D4*I4</f>
        <v>71.2</v>
      </c>
      <c r="Y4" s="13">
        <f t="shared" ref="Y4:Y13" si="7">$D4*J4</f>
        <v>71.2</v>
      </c>
      <c r="Z4" s="13">
        <f t="shared" ref="Z4:Z13" si="8">$D4*K4</f>
        <v>71.2</v>
      </c>
      <c r="AA4" s="13">
        <f t="shared" ref="AA4:AA13" si="9">$D4*L4</f>
        <v>71.2</v>
      </c>
      <c r="AB4" s="13">
        <f t="shared" ref="AB4:AB13" si="10">$D4*M4</f>
        <v>71.2</v>
      </c>
      <c r="AC4" s="13">
        <f t="shared" ref="AC4" si="11">$D4*N4</f>
        <v>71.2</v>
      </c>
      <c r="AD4" s="13">
        <f t="shared" ref="AD4:AD14" si="12">$D4*O4</f>
        <v>71.2</v>
      </c>
      <c r="AE4" s="13">
        <f t="shared" ref="AE4:AE14" si="13">$D4*P4</f>
        <v>71.2</v>
      </c>
      <c r="AF4" s="13">
        <f t="shared" ref="AF4:AF14" si="14">$D4*Q4</f>
        <v>71.2</v>
      </c>
      <c r="AG4" s="13">
        <f t="shared" ref="AG4:AG14" si="15">$D4*R4</f>
        <v>71.2</v>
      </c>
      <c r="AH4" s="13">
        <f t="shared" ref="AH4:AH14" si="16">$D4*S4</f>
        <v>71.2</v>
      </c>
      <c r="AI4" s="37">
        <f t="shared" ref="AI4:AI14" si="17">AJ4/$AI$2</f>
        <v>6.111587982832619E-2</v>
      </c>
      <c r="AJ4" s="13">
        <f>SUM(T4:AH4)</f>
        <v>1068.0000000000002</v>
      </c>
    </row>
    <row r="5" spans="1:36" ht="14.6" x14ac:dyDescent="0.4">
      <c r="A5" s="15">
        <v>2</v>
      </c>
      <c r="B5" s="16" t="s">
        <v>57</v>
      </c>
      <c r="C5" s="186" t="s">
        <v>25</v>
      </c>
      <c r="D5" s="17">
        <f>VLOOKUP(C5,'[1]PREÇO ATUAL'!$A:$D,4,0)</f>
        <v>35.9</v>
      </c>
      <c r="E5" s="18"/>
      <c r="F5" s="18">
        <v>1</v>
      </c>
      <c r="G5" s="18"/>
      <c r="H5" s="18">
        <v>1</v>
      </c>
      <c r="I5" s="19"/>
      <c r="J5" s="19">
        <v>1</v>
      </c>
      <c r="K5" s="19"/>
      <c r="L5" s="19">
        <v>1</v>
      </c>
      <c r="M5" s="19"/>
      <c r="N5" s="19">
        <v>1</v>
      </c>
      <c r="O5" s="19"/>
      <c r="P5" s="19">
        <v>1</v>
      </c>
      <c r="Q5" s="19"/>
      <c r="R5" s="19">
        <v>1</v>
      </c>
      <c r="S5" s="19"/>
      <c r="T5" s="21">
        <f t="shared" si="2"/>
        <v>0</v>
      </c>
      <c r="U5" s="21">
        <f t="shared" si="3"/>
        <v>35.9</v>
      </c>
      <c r="V5" s="21">
        <f t="shared" si="4"/>
        <v>0</v>
      </c>
      <c r="W5" s="21">
        <f t="shared" si="5"/>
        <v>35.9</v>
      </c>
      <c r="X5" s="21">
        <f t="shared" si="6"/>
        <v>0</v>
      </c>
      <c r="Y5" s="21">
        <f t="shared" si="7"/>
        <v>35.9</v>
      </c>
      <c r="Z5" s="21">
        <f t="shared" si="8"/>
        <v>0</v>
      </c>
      <c r="AA5" s="21">
        <f t="shared" si="9"/>
        <v>35.9</v>
      </c>
      <c r="AB5" s="21">
        <f t="shared" si="10"/>
        <v>0</v>
      </c>
      <c r="AC5" s="21">
        <f t="shared" ref="AC5" si="18">$D5*N5</f>
        <v>35.9</v>
      </c>
      <c r="AD5" s="21">
        <f t="shared" si="12"/>
        <v>0</v>
      </c>
      <c r="AE5" s="21">
        <f t="shared" si="13"/>
        <v>35.9</v>
      </c>
      <c r="AF5" s="21">
        <f t="shared" si="14"/>
        <v>0</v>
      </c>
      <c r="AG5" s="21">
        <f t="shared" si="15"/>
        <v>35.9</v>
      </c>
      <c r="AH5" s="21">
        <f t="shared" si="16"/>
        <v>0</v>
      </c>
      <c r="AI5" s="38">
        <f t="shared" si="17"/>
        <v>1.4380543633762519E-2</v>
      </c>
      <c r="AJ5" s="21">
        <f t="shared" ref="AJ5:AJ12" si="19">SUM(T5:AH5)</f>
        <v>251.3</v>
      </c>
    </row>
    <row r="6" spans="1:36" ht="14.6" x14ac:dyDescent="0.4">
      <c r="A6" s="7">
        <v>3</v>
      </c>
      <c r="B6" s="8" t="s">
        <v>143</v>
      </c>
      <c r="C6" s="185" t="s">
        <v>74</v>
      </c>
      <c r="D6" s="9">
        <f>VLOOKUP(C6,'[1]PREÇO ATUAL'!$A:$D,4,0)</f>
        <v>86.9</v>
      </c>
      <c r="E6" s="10"/>
      <c r="F6" s="10">
        <v>1</v>
      </c>
      <c r="G6" s="10"/>
      <c r="H6" s="10">
        <v>1</v>
      </c>
      <c r="I6" s="11"/>
      <c r="J6" s="11">
        <v>1</v>
      </c>
      <c r="K6" s="11"/>
      <c r="L6" s="11">
        <v>1</v>
      </c>
      <c r="M6" s="11"/>
      <c r="N6" s="11">
        <v>1</v>
      </c>
      <c r="O6" s="11"/>
      <c r="P6" s="11">
        <v>1</v>
      </c>
      <c r="Q6" s="11"/>
      <c r="R6" s="11">
        <v>1</v>
      </c>
      <c r="S6" s="11"/>
      <c r="T6" s="13">
        <f t="shared" si="2"/>
        <v>0</v>
      </c>
      <c r="U6" s="13">
        <f t="shared" si="3"/>
        <v>86.9</v>
      </c>
      <c r="V6" s="13">
        <f t="shared" si="4"/>
        <v>0</v>
      </c>
      <c r="W6" s="13">
        <f t="shared" si="5"/>
        <v>86.9</v>
      </c>
      <c r="X6" s="13">
        <f t="shared" si="6"/>
        <v>0</v>
      </c>
      <c r="Y6" s="13">
        <f t="shared" si="7"/>
        <v>86.9</v>
      </c>
      <c r="Z6" s="13">
        <f t="shared" si="8"/>
        <v>0</v>
      </c>
      <c r="AA6" s="13">
        <f t="shared" si="9"/>
        <v>86.9</v>
      </c>
      <c r="AB6" s="13">
        <f t="shared" si="10"/>
        <v>0</v>
      </c>
      <c r="AC6" s="13">
        <f t="shared" ref="AC6" si="20">$D6*N6</f>
        <v>86.9</v>
      </c>
      <c r="AD6" s="13">
        <f t="shared" si="12"/>
        <v>0</v>
      </c>
      <c r="AE6" s="13">
        <f t="shared" si="13"/>
        <v>86.9</v>
      </c>
      <c r="AF6" s="13">
        <f t="shared" si="14"/>
        <v>0</v>
      </c>
      <c r="AG6" s="13">
        <f t="shared" si="15"/>
        <v>86.9</v>
      </c>
      <c r="AH6" s="13">
        <f t="shared" si="16"/>
        <v>0</v>
      </c>
      <c r="AI6" s="37">
        <f t="shared" si="17"/>
        <v>3.4809728183118741E-2</v>
      </c>
      <c r="AJ6" s="13">
        <f t="shared" si="19"/>
        <v>608.29999999999995</v>
      </c>
    </row>
    <row r="7" spans="1:36" ht="14.6" x14ac:dyDescent="0.4">
      <c r="A7" s="15">
        <v>4</v>
      </c>
      <c r="B7" s="16" t="s">
        <v>59</v>
      </c>
      <c r="C7" s="186" t="s">
        <v>85</v>
      </c>
      <c r="D7" s="17">
        <f>VLOOKUP(C7,'[1]PREÇO ATUAL'!$A:$D,4,0)</f>
        <v>52.9</v>
      </c>
      <c r="E7" s="18"/>
      <c r="F7" s="18"/>
      <c r="G7" s="18">
        <v>4</v>
      </c>
      <c r="H7" s="18"/>
      <c r="I7" s="19"/>
      <c r="J7" s="19">
        <v>4</v>
      </c>
      <c r="K7" s="19"/>
      <c r="L7" s="19"/>
      <c r="M7" s="19">
        <v>4</v>
      </c>
      <c r="N7" s="19"/>
      <c r="O7" s="19"/>
      <c r="P7" s="19">
        <v>4</v>
      </c>
      <c r="Q7" s="19"/>
      <c r="R7" s="19"/>
      <c r="S7" s="19">
        <v>4</v>
      </c>
      <c r="T7" s="21">
        <f t="shared" si="2"/>
        <v>0</v>
      </c>
      <c r="U7" s="21">
        <f t="shared" si="3"/>
        <v>0</v>
      </c>
      <c r="V7" s="21">
        <f t="shared" si="4"/>
        <v>211.6</v>
      </c>
      <c r="W7" s="21">
        <f t="shared" si="5"/>
        <v>0</v>
      </c>
      <c r="X7" s="21">
        <f t="shared" si="6"/>
        <v>0</v>
      </c>
      <c r="Y7" s="21">
        <f t="shared" si="7"/>
        <v>211.6</v>
      </c>
      <c r="Z7" s="21">
        <f t="shared" si="8"/>
        <v>0</v>
      </c>
      <c r="AA7" s="21">
        <f t="shared" si="9"/>
        <v>0</v>
      </c>
      <c r="AB7" s="21">
        <f t="shared" si="10"/>
        <v>211.6</v>
      </c>
      <c r="AC7" s="21">
        <f t="shared" ref="AC7" si="21">$D7*N7</f>
        <v>0</v>
      </c>
      <c r="AD7" s="21">
        <f t="shared" si="12"/>
        <v>0</v>
      </c>
      <c r="AE7" s="21">
        <f t="shared" si="13"/>
        <v>211.6</v>
      </c>
      <c r="AF7" s="21">
        <f t="shared" si="14"/>
        <v>0</v>
      </c>
      <c r="AG7" s="21">
        <f t="shared" si="15"/>
        <v>0</v>
      </c>
      <c r="AH7" s="21">
        <f t="shared" si="16"/>
        <v>211.6</v>
      </c>
      <c r="AI7" s="38">
        <f t="shared" si="17"/>
        <v>6.0543633762517882E-2</v>
      </c>
      <c r="AJ7" s="21">
        <f t="shared" si="19"/>
        <v>1058</v>
      </c>
    </row>
    <row r="8" spans="1:36" ht="14.6" x14ac:dyDescent="0.4">
      <c r="A8" s="7">
        <v>5</v>
      </c>
      <c r="B8" s="8" t="s">
        <v>144</v>
      </c>
      <c r="C8" s="185" t="s">
        <v>69</v>
      </c>
      <c r="D8" s="9">
        <f>VLOOKUP(C8,'[1]PREÇO ATUAL'!$A:$D,4,0)</f>
        <v>145.9</v>
      </c>
      <c r="E8" s="10"/>
      <c r="F8" s="10"/>
      <c r="G8" s="10"/>
      <c r="H8" s="10"/>
      <c r="I8" s="11"/>
      <c r="J8" s="11">
        <v>1</v>
      </c>
      <c r="K8" s="11"/>
      <c r="L8" s="11"/>
      <c r="M8" s="11"/>
      <c r="N8" s="11"/>
      <c r="O8" s="11"/>
      <c r="P8" s="11">
        <v>1</v>
      </c>
      <c r="Q8" s="11"/>
      <c r="R8" s="11"/>
      <c r="S8" s="11"/>
      <c r="T8" s="13">
        <f t="shared" si="2"/>
        <v>0</v>
      </c>
      <c r="U8" s="13">
        <f t="shared" si="3"/>
        <v>0</v>
      </c>
      <c r="V8" s="13">
        <f t="shared" si="4"/>
        <v>0</v>
      </c>
      <c r="W8" s="13">
        <f t="shared" si="5"/>
        <v>0</v>
      </c>
      <c r="X8" s="13">
        <f t="shared" si="6"/>
        <v>0</v>
      </c>
      <c r="Y8" s="13">
        <f t="shared" si="7"/>
        <v>145.9</v>
      </c>
      <c r="Z8" s="13">
        <f t="shared" si="8"/>
        <v>0</v>
      </c>
      <c r="AA8" s="13">
        <f t="shared" si="9"/>
        <v>0</v>
      </c>
      <c r="AB8" s="13">
        <f t="shared" si="10"/>
        <v>0</v>
      </c>
      <c r="AC8" s="13">
        <f t="shared" ref="AC8" si="22">$D8*N8</f>
        <v>0</v>
      </c>
      <c r="AD8" s="13">
        <f t="shared" si="12"/>
        <v>0</v>
      </c>
      <c r="AE8" s="13">
        <f t="shared" si="13"/>
        <v>145.9</v>
      </c>
      <c r="AF8" s="13">
        <f t="shared" si="14"/>
        <v>0</v>
      </c>
      <c r="AG8" s="13">
        <f t="shared" si="15"/>
        <v>0</v>
      </c>
      <c r="AH8" s="13">
        <f t="shared" si="16"/>
        <v>0</v>
      </c>
      <c r="AI8" s="37">
        <f t="shared" si="17"/>
        <v>1.6698140200286125E-2</v>
      </c>
      <c r="AJ8" s="13">
        <f t="shared" si="19"/>
        <v>291.8</v>
      </c>
    </row>
    <row r="9" spans="1:36" ht="14.6" x14ac:dyDescent="0.4">
      <c r="A9" s="15">
        <v>6</v>
      </c>
      <c r="B9" s="16" t="s">
        <v>108</v>
      </c>
      <c r="C9" s="186" t="s">
        <v>92</v>
      </c>
      <c r="D9" s="17">
        <f>VLOOKUP(C9,'[1]PREÇO ATUAL'!$A:$D,4,0)</f>
        <v>110.87</v>
      </c>
      <c r="E9" s="18"/>
      <c r="F9" s="18"/>
      <c r="G9" s="18"/>
      <c r="H9" s="18"/>
      <c r="I9" s="19"/>
      <c r="J9" s="19">
        <v>1</v>
      </c>
      <c r="K9" s="19"/>
      <c r="L9" s="19"/>
      <c r="M9" s="19"/>
      <c r="N9" s="19"/>
      <c r="O9" s="19"/>
      <c r="P9" s="19">
        <v>1</v>
      </c>
      <c r="Q9" s="19"/>
      <c r="R9" s="19"/>
      <c r="S9" s="19"/>
      <c r="T9" s="21">
        <f t="shared" si="2"/>
        <v>0</v>
      </c>
      <c r="U9" s="21">
        <f t="shared" si="3"/>
        <v>0</v>
      </c>
      <c r="V9" s="21">
        <f t="shared" si="4"/>
        <v>0</v>
      </c>
      <c r="W9" s="21">
        <f t="shared" si="5"/>
        <v>0</v>
      </c>
      <c r="X9" s="21">
        <f t="shared" si="6"/>
        <v>0</v>
      </c>
      <c r="Y9" s="21">
        <f t="shared" si="7"/>
        <v>110.87</v>
      </c>
      <c r="Z9" s="21">
        <f t="shared" si="8"/>
        <v>0</v>
      </c>
      <c r="AA9" s="21">
        <f t="shared" si="9"/>
        <v>0</v>
      </c>
      <c r="AB9" s="21">
        <f t="shared" si="10"/>
        <v>0</v>
      </c>
      <c r="AC9" s="21">
        <f t="shared" ref="AC9" si="23">$D9*N9</f>
        <v>0</v>
      </c>
      <c r="AD9" s="21">
        <f t="shared" si="12"/>
        <v>0</v>
      </c>
      <c r="AE9" s="21">
        <f t="shared" si="13"/>
        <v>110.87</v>
      </c>
      <c r="AF9" s="21">
        <f t="shared" si="14"/>
        <v>0</v>
      </c>
      <c r="AG9" s="21">
        <f t="shared" si="15"/>
        <v>0</v>
      </c>
      <c r="AH9" s="21">
        <f t="shared" si="16"/>
        <v>0</v>
      </c>
      <c r="AI9" s="38">
        <f t="shared" si="17"/>
        <v>1.2688984263233191E-2</v>
      </c>
      <c r="AJ9" s="21">
        <f t="shared" si="19"/>
        <v>221.74</v>
      </c>
    </row>
    <row r="10" spans="1:36" ht="14.6" x14ac:dyDescent="0.4">
      <c r="A10" s="7">
        <v>7</v>
      </c>
      <c r="B10" s="8" t="s">
        <v>109</v>
      </c>
      <c r="C10" s="185" t="s">
        <v>110</v>
      </c>
      <c r="D10" s="9">
        <f>VLOOKUP(C10,'[1]PREÇO ATUAL'!$A:$D,4,0)</f>
        <v>149.54</v>
      </c>
      <c r="E10" s="10"/>
      <c r="F10" s="10"/>
      <c r="G10" s="10"/>
      <c r="H10" s="10"/>
      <c r="I10" s="11"/>
      <c r="J10" s="11">
        <v>1</v>
      </c>
      <c r="K10" s="11"/>
      <c r="L10" s="11"/>
      <c r="M10" s="11"/>
      <c r="N10" s="11"/>
      <c r="O10" s="11"/>
      <c r="P10" s="11">
        <v>1</v>
      </c>
      <c r="Q10" s="11"/>
      <c r="R10" s="11"/>
      <c r="S10" s="11"/>
      <c r="T10" s="13">
        <f t="shared" si="2"/>
        <v>0</v>
      </c>
      <c r="U10" s="13">
        <f t="shared" si="3"/>
        <v>0</v>
      </c>
      <c r="V10" s="13">
        <f t="shared" si="4"/>
        <v>0</v>
      </c>
      <c r="W10" s="13">
        <f t="shared" si="5"/>
        <v>0</v>
      </c>
      <c r="X10" s="13">
        <f t="shared" si="6"/>
        <v>0</v>
      </c>
      <c r="Y10" s="13">
        <f t="shared" si="7"/>
        <v>149.54</v>
      </c>
      <c r="Z10" s="13">
        <f t="shared" si="8"/>
        <v>0</v>
      </c>
      <c r="AA10" s="13">
        <f t="shared" si="9"/>
        <v>0</v>
      </c>
      <c r="AB10" s="13">
        <f t="shared" si="10"/>
        <v>0</v>
      </c>
      <c r="AC10" s="13">
        <f t="shared" ref="AC10" si="24">$D10*N10</f>
        <v>0</v>
      </c>
      <c r="AD10" s="13">
        <f t="shared" si="12"/>
        <v>0</v>
      </c>
      <c r="AE10" s="13">
        <f t="shared" si="13"/>
        <v>149.54</v>
      </c>
      <c r="AF10" s="13">
        <f t="shared" si="14"/>
        <v>0</v>
      </c>
      <c r="AG10" s="13">
        <f t="shared" si="15"/>
        <v>0</v>
      </c>
      <c r="AH10" s="13">
        <f t="shared" si="16"/>
        <v>0</v>
      </c>
      <c r="AI10" s="37">
        <f t="shared" si="17"/>
        <v>1.7114735336194564E-2</v>
      </c>
      <c r="AJ10" s="13">
        <f t="shared" si="19"/>
        <v>299.08</v>
      </c>
    </row>
    <row r="11" spans="1:36" ht="14.6" x14ac:dyDescent="0.4">
      <c r="A11" s="15">
        <v>8</v>
      </c>
      <c r="B11" s="16" t="s">
        <v>32</v>
      </c>
      <c r="C11" s="186" t="s">
        <v>33</v>
      </c>
      <c r="D11" s="17">
        <f>VLOOKUP(C11,'[1]PREÇO ATUAL'!$A:$D,4,0)</f>
        <v>165.97812000000002</v>
      </c>
      <c r="E11" s="18"/>
      <c r="F11" s="18"/>
      <c r="G11" s="18"/>
      <c r="H11" s="18"/>
      <c r="I11" s="19"/>
      <c r="J11" s="19"/>
      <c r="K11" s="19"/>
      <c r="L11" s="19"/>
      <c r="M11" s="19"/>
      <c r="N11" s="19"/>
      <c r="O11" s="19"/>
      <c r="P11" s="29">
        <v>2</v>
      </c>
      <c r="Q11" s="19"/>
      <c r="R11" s="19"/>
      <c r="S11" s="19"/>
      <c r="T11" s="21">
        <f t="shared" si="2"/>
        <v>0</v>
      </c>
      <c r="U11" s="21">
        <f t="shared" si="3"/>
        <v>0</v>
      </c>
      <c r="V11" s="21">
        <f t="shared" si="4"/>
        <v>0</v>
      </c>
      <c r="W11" s="21">
        <f t="shared" si="5"/>
        <v>0</v>
      </c>
      <c r="X11" s="21">
        <f t="shared" si="6"/>
        <v>0</v>
      </c>
      <c r="Y11" s="21">
        <f t="shared" si="7"/>
        <v>0</v>
      </c>
      <c r="Z11" s="21">
        <f t="shared" si="8"/>
        <v>0</v>
      </c>
      <c r="AA11" s="21">
        <f t="shared" si="9"/>
        <v>0</v>
      </c>
      <c r="AB11" s="21">
        <f t="shared" si="10"/>
        <v>0</v>
      </c>
      <c r="AC11" s="21">
        <f t="shared" ref="AC11" si="25">$D11*N11</f>
        <v>0</v>
      </c>
      <c r="AD11" s="21">
        <f t="shared" ref="AD11" si="26">$D11*O11</f>
        <v>0</v>
      </c>
      <c r="AE11" s="21">
        <f t="shared" ref="AE11" si="27">$D11*P11</f>
        <v>331.95624000000004</v>
      </c>
      <c r="AF11" s="21">
        <f t="shared" ref="AF11" si="28">$D11*Q11</f>
        <v>0</v>
      </c>
      <c r="AG11" s="21">
        <f t="shared" ref="AG11" si="29">$D11*R11</f>
        <v>0</v>
      </c>
      <c r="AH11" s="21">
        <f t="shared" ref="AH11" si="30">$D11*S11</f>
        <v>0</v>
      </c>
      <c r="AI11" s="38"/>
      <c r="AJ11" s="21">
        <f>SUM(T11:AH11)</f>
        <v>331.95624000000004</v>
      </c>
    </row>
    <row r="12" spans="1:36" ht="14.6" x14ac:dyDescent="0.4">
      <c r="A12" s="7">
        <v>9</v>
      </c>
      <c r="B12" s="8" t="s">
        <v>34</v>
      </c>
      <c r="C12" s="185" t="s">
        <v>35</v>
      </c>
      <c r="D12" s="9">
        <f>VLOOKUP(C12,'[1]PREÇO ATUAL'!$A:$D,4,0)</f>
        <v>33.622493083850472</v>
      </c>
      <c r="E12" s="23"/>
      <c r="F12" s="23"/>
      <c r="G12" s="23"/>
      <c r="H12" s="2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13">
        <f t="shared" si="2"/>
        <v>0</v>
      </c>
      <c r="U12" s="13">
        <f t="shared" si="3"/>
        <v>0</v>
      </c>
      <c r="V12" s="13">
        <f t="shared" si="4"/>
        <v>0</v>
      </c>
      <c r="W12" s="13">
        <f t="shared" si="5"/>
        <v>0</v>
      </c>
      <c r="X12" s="13">
        <f t="shared" si="6"/>
        <v>0</v>
      </c>
      <c r="Y12" s="13">
        <f t="shared" si="7"/>
        <v>0</v>
      </c>
      <c r="Z12" s="13">
        <f t="shared" si="8"/>
        <v>0</v>
      </c>
      <c r="AA12" s="13">
        <f t="shared" si="9"/>
        <v>0</v>
      </c>
      <c r="AB12" s="13">
        <f t="shared" si="10"/>
        <v>0</v>
      </c>
      <c r="AC12" s="13">
        <f t="shared" ref="AC12" si="31">$D12*N12</f>
        <v>0</v>
      </c>
      <c r="AD12" s="13">
        <f t="shared" si="12"/>
        <v>0</v>
      </c>
      <c r="AE12" s="13">
        <f t="shared" si="13"/>
        <v>0</v>
      </c>
      <c r="AF12" s="13">
        <f t="shared" si="14"/>
        <v>0</v>
      </c>
      <c r="AG12" s="13">
        <f t="shared" si="15"/>
        <v>0</v>
      </c>
      <c r="AH12" s="13">
        <f t="shared" si="16"/>
        <v>0</v>
      </c>
      <c r="AI12" s="37">
        <f t="shared" si="17"/>
        <v>0</v>
      </c>
      <c r="AJ12" s="13">
        <f t="shared" si="19"/>
        <v>0</v>
      </c>
    </row>
    <row r="13" spans="1:36" ht="14.6" x14ac:dyDescent="0.4">
      <c r="A13" s="15">
        <v>10</v>
      </c>
      <c r="B13" s="16" t="s">
        <v>63</v>
      </c>
      <c r="C13" s="186" t="s">
        <v>64</v>
      </c>
      <c r="D13" s="17">
        <f>VLOOKUP(C13,'[1]PREÇO ATUAL'!$A:$D,4,0)</f>
        <v>98.56222158238279</v>
      </c>
      <c r="E13" s="55">
        <v>2.7</v>
      </c>
      <c r="F13" s="55">
        <v>2.7</v>
      </c>
      <c r="G13" s="55">
        <v>2.7</v>
      </c>
      <c r="H13" s="55">
        <v>2.7</v>
      </c>
      <c r="I13" s="56">
        <v>2.7</v>
      </c>
      <c r="J13" s="56">
        <v>2.7</v>
      </c>
      <c r="K13" s="56">
        <v>2.7</v>
      </c>
      <c r="L13" s="56">
        <v>2.7</v>
      </c>
      <c r="M13" s="56">
        <v>2.7</v>
      </c>
      <c r="N13" s="56">
        <v>2.7</v>
      </c>
      <c r="O13" s="166">
        <v>2.7</v>
      </c>
      <c r="P13" s="56">
        <v>2.7</v>
      </c>
      <c r="Q13" s="56">
        <v>2.7</v>
      </c>
      <c r="R13" s="56">
        <v>2.7</v>
      </c>
      <c r="S13" s="56">
        <v>2.7</v>
      </c>
      <c r="T13" s="21">
        <f t="shared" si="2"/>
        <v>266.11799827243357</v>
      </c>
      <c r="U13" s="21">
        <f t="shared" si="3"/>
        <v>266.11799827243357</v>
      </c>
      <c r="V13" s="21">
        <f t="shared" si="4"/>
        <v>266.11799827243357</v>
      </c>
      <c r="W13" s="21">
        <f t="shared" si="5"/>
        <v>266.11799827243357</v>
      </c>
      <c r="X13" s="21">
        <f t="shared" si="6"/>
        <v>266.11799827243357</v>
      </c>
      <c r="Y13" s="21">
        <f t="shared" si="7"/>
        <v>266.11799827243357</v>
      </c>
      <c r="Z13" s="21">
        <f t="shared" si="8"/>
        <v>266.11799827243357</v>
      </c>
      <c r="AA13" s="21">
        <f t="shared" si="9"/>
        <v>266.11799827243357</v>
      </c>
      <c r="AB13" s="21">
        <f t="shared" si="10"/>
        <v>266.11799827243357</v>
      </c>
      <c r="AC13" s="21">
        <f t="shared" ref="AC13" si="32">$D13*N13</f>
        <v>266.11799827243357</v>
      </c>
      <c r="AD13" s="21">
        <f t="shared" si="12"/>
        <v>266.11799827243357</v>
      </c>
      <c r="AE13" s="21">
        <f t="shared" si="13"/>
        <v>266.11799827243357</v>
      </c>
      <c r="AF13" s="21">
        <f t="shared" si="14"/>
        <v>266.11799827243357</v>
      </c>
      <c r="AG13" s="21">
        <f t="shared" si="15"/>
        <v>266.11799827243357</v>
      </c>
      <c r="AH13" s="21">
        <f t="shared" si="16"/>
        <v>266.11799827243357</v>
      </c>
      <c r="AI13" s="38">
        <f t="shared" si="17"/>
        <v>0.2284274663282691</v>
      </c>
      <c r="AJ13" s="21">
        <f>SUM(T13:AH13)</f>
        <v>3991.7699740865023</v>
      </c>
    </row>
    <row r="14" spans="1:36" ht="14.6" x14ac:dyDescent="0.4">
      <c r="A14" s="7">
        <v>11</v>
      </c>
      <c r="B14" s="8" t="s">
        <v>38</v>
      </c>
      <c r="C14" s="185" t="s">
        <v>39</v>
      </c>
      <c r="D14" s="9">
        <f>VLOOKUP(C14,'[1]PREÇO ATUAL'!$A:$D,4,0)</f>
        <v>342</v>
      </c>
      <c r="E14" s="23">
        <v>0.9</v>
      </c>
      <c r="F14" s="23">
        <v>1.1499999999999999</v>
      </c>
      <c r="G14" s="23">
        <v>2.0499999999999998</v>
      </c>
      <c r="H14" s="23">
        <v>1.35</v>
      </c>
      <c r="I14" s="9">
        <v>1.5</v>
      </c>
      <c r="J14" s="9">
        <v>4.3499999999999996</v>
      </c>
      <c r="K14" s="9">
        <v>0.9</v>
      </c>
      <c r="L14" s="9">
        <v>1.35</v>
      </c>
      <c r="M14" s="9">
        <v>2.0499999999999998</v>
      </c>
      <c r="N14" s="9">
        <v>1.3</v>
      </c>
      <c r="O14" s="9">
        <v>1.35</v>
      </c>
      <c r="P14" s="9">
        <v>4.8499999999999996</v>
      </c>
      <c r="Q14" s="9">
        <v>0.9</v>
      </c>
      <c r="R14" s="9">
        <v>1.1499999999999999</v>
      </c>
      <c r="S14" s="9">
        <v>2.2000000000000002</v>
      </c>
      <c r="T14" s="13">
        <f>D14*E14</f>
        <v>307.8</v>
      </c>
      <c r="U14" s="13">
        <f t="shared" ref="U14:AB14" si="33">$D14*F14</f>
        <v>393.29999999999995</v>
      </c>
      <c r="V14" s="13">
        <f t="shared" si="33"/>
        <v>701.09999999999991</v>
      </c>
      <c r="W14" s="13">
        <f t="shared" si="33"/>
        <v>461.70000000000005</v>
      </c>
      <c r="X14" s="13">
        <f t="shared" si="33"/>
        <v>513</v>
      </c>
      <c r="Y14" s="13">
        <f t="shared" si="33"/>
        <v>1487.6999999999998</v>
      </c>
      <c r="Z14" s="13">
        <f t="shared" si="33"/>
        <v>307.8</v>
      </c>
      <c r="AA14" s="13">
        <f t="shared" si="33"/>
        <v>461.70000000000005</v>
      </c>
      <c r="AB14" s="13">
        <f t="shared" si="33"/>
        <v>701.09999999999991</v>
      </c>
      <c r="AC14" s="13">
        <f t="shared" ref="AC14" si="34">$D14*N14</f>
        <v>444.6</v>
      </c>
      <c r="AD14" s="13">
        <f t="shared" si="12"/>
        <v>461.70000000000005</v>
      </c>
      <c r="AE14" s="13">
        <f t="shared" si="13"/>
        <v>1658.6999999999998</v>
      </c>
      <c r="AF14" s="13">
        <f t="shared" si="14"/>
        <v>307.8</v>
      </c>
      <c r="AG14" s="13">
        <f t="shared" si="15"/>
        <v>393.29999999999995</v>
      </c>
      <c r="AH14" s="13">
        <f t="shared" si="16"/>
        <v>752.40000000000009</v>
      </c>
      <c r="AI14" s="37">
        <f t="shared" si="17"/>
        <v>0.53526180257510714</v>
      </c>
      <c r="AJ14" s="13">
        <f>SUM(T14:AH14)</f>
        <v>9353.6999999999971</v>
      </c>
    </row>
    <row r="15" spans="1:36" ht="15" customHeight="1" x14ac:dyDescent="0.4">
      <c r="H15" s="122"/>
    </row>
    <row r="16" spans="1:36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</sheetData>
  <mergeCells count="3">
    <mergeCell ref="A1:D2"/>
    <mergeCell ref="AI1:AJ1"/>
    <mergeCell ref="AI2:AJ2"/>
  </mergeCells>
  <pageMargins left="0.511811024" right="0.511811024" top="0.78740157499999996" bottom="0.78740157499999996" header="0" footer="0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ilha25">
    <tabColor rgb="FF00FF00"/>
  </sheetPr>
  <dimension ref="A1:AJ961"/>
  <sheetViews>
    <sheetView showGridLines="0" workbookViewId="0">
      <pane xSplit="4" topLeftCell="E1" activePane="topRight" state="frozen"/>
      <selection activeCell="B23" sqref="B23"/>
      <selection pane="topRight" activeCell="N30" sqref="N30"/>
    </sheetView>
  </sheetViews>
  <sheetFormatPr defaultColWidth="14.3828125" defaultRowHeight="15" customHeight="1" x14ac:dyDescent="0.4"/>
  <cols>
    <col min="1" max="1" width="3.3046875" customWidth="1"/>
    <col min="2" max="2" width="61.15234375" customWidth="1"/>
    <col min="3" max="3" width="16" bestFit="1" customWidth="1"/>
    <col min="4" max="4" width="7.84375" bestFit="1" customWidth="1"/>
    <col min="5" max="19" width="5.15234375" bestFit="1" customWidth="1"/>
    <col min="20" max="34" width="15.69140625" bestFit="1" customWidth="1"/>
    <col min="35" max="35" width="7" bestFit="1" customWidth="1"/>
    <col min="36" max="36" width="14.3828125" bestFit="1" customWidth="1"/>
  </cols>
  <sheetData>
    <row r="1" spans="1:36" ht="15.75" customHeight="1" x14ac:dyDescent="0.4">
      <c r="A1" s="214" t="s">
        <v>145</v>
      </c>
      <c r="B1" s="214"/>
      <c r="C1" s="214"/>
      <c r="D1" s="214"/>
      <c r="E1" s="133" t="s">
        <v>3</v>
      </c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5" t="s">
        <v>4</v>
      </c>
      <c r="U1" s="125"/>
      <c r="V1" s="125"/>
      <c r="W1" s="125"/>
      <c r="X1" s="125"/>
      <c r="Y1" s="125"/>
      <c r="Z1" s="125"/>
      <c r="AA1" s="125"/>
      <c r="AB1" s="125"/>
      <c r="AC1" s="125"/>
      <c r="AD1" s="147"/>
      <c r="AE1" s="147"/>
      <c r="AF1" s="147"/>
      <c r="AG1" s="147"/>
      <c r="AH1" s="147"/>
      <c r="AI1" s="219" t="s">
        <v>5</v>
      </c>
      <c r="AJ1" s="220"/>
    </row>
    <row r="2" spans="1:36" ht="15" customHeight="1" x14ac:dyDescent="0.4">
      <c r="A2" s="214"/>
      <c r="B2" s="214"/>
      <c r="C2" s="214"/>
      <c r="D2" s="214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2">
        <f t="shared" ref="T2:AC2" si="0">MROUND(SUM(T4:T12),1)</f>
        <v>700</v>
      </c>
      <c r="U2" s="2">
        <f t="shared" si="0"/>
        <v>821</v>
      </c>
      <c r="V2" s="2">
        <f t="shared" si="0"/>
        <v>734</v>
      </c>
      <c r="W2" s="2">
        <f t="shared" si="0"/>
        <v>1451</v>
      </c>
      <c r="X2" s="2">
        <f t="shared" si="0"/>
        <v>751</v>
      </c>
      <c r="Y2" s="2">
        <f t="shared" si="0"/>
        <v>1204</v>
      </c>
      <c r="Z2" s="2">
        <f t="shared" si="0"/>
        <v>700</v>
      </c>
      <c r="AA2" s="2">
        <f t="shared" si="0"/>
        <v>1451</v>
      </c>
      <c r="AB2" s="2">
        <f t="shared" si="0"/>
        <v>734</v>
      </c>
      <c r="AC2" s="2">
        <f t="shared" si="0"/>
        <v>872</v>
      </c>
      <c r="AD2" s="2">
        <f t="shared" ref="AD2:AH2" si="1">MROUND(SUM(AD4:AD12),1)</f>
        <v>700</v>
      </c>
      <c r="AE2" s="2">
        <f t="shared" si="1"/>
        <v>2251</v>
      </c>
      <c r="AF2" s="2">
        <f t="shared" si="1"/>
        <v>700</v>
      </c>
      <c r="AG2" s="2">
        <f t="shared" si="1"/>
        <v>821</v>
      </c>
      <c r="AH2" s="2">
        <f t="shared" si="1"/>
        <v>785</v>
      </c>
      <c r="AI2" s="221">
        <f>SUM(T2:AH2)</f>
        <v>14675</v>
      </c>
      <c r="AJ2" s="220"/>
    </row>
    <row r="3" spans="1:36" ht="14.6" x14ac:dyDescent="0.4">
      <c r="A3" s="204" t="s">
        <v>6</v>
      </c>
      <c r="B3" s="204" t="s">
        <v>7</v>
      </c>
      <c r="C3" s="207" t="s">
        <v>8</v>
      </c>
      <c r="D3" s="205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18</v>
      </c>
      <c r="N3" s="5" t="s">
        <v>19</v>
      </c>
      <c r="O3" s="5" t="s">
        <v>116</v>
      </c>
      <c r="P3" s="5" t="s">
        <v>117</v>
      </c>
      <c r="Q3" s="5" t="s">
        <v>118</v>
      </c>
      <c r="R3" s="5" t="s">
        <v>119</v>
      </c>
      <c r="S3" s="5" t="s">
        <v>120</v>
      </c>
      <c r="T3" s="36">
        <v>10000</v>
      </c>
      <c r="U3" s="36">
        <v>20000</v>
      </c>
      <c r="V3" s="36">
        <v>30000</v>
      </c>
      <c r="W3" s="36">
        <v>40000</v>
      </c>
      <c r="X3" s="36">
        <v>50000</v>
      </c>
      <c r="Y3" s="36">
        <v>60000</v>
      </c>
      <c r="Z3" s="36">
        <v>70000</v>
      </c>
      <c r="AA3" s="36">
        <v>80000</v>
      </c>
      <c r="AB3" s="36">
        <v>90000</v>
      </c>
      <c r="AC3" s="36">
        <v>100000</v>
      </c>
      <c r="AD3" s="65">
        <f>AC3+10000</f>
        <v>110000</v>
      </c>
      <c r="AE3" s="65">
        <f t="shared" ref="AE3:AH3" si="2">AD3+10000</f>
        <v>120000</v>
      </c>
      <c r="AF3" s="65">
        <f t="shared" si="2"/>
        <v>130000</v>
      </c>
      <c r="AG3" s="65">
        <f t="shared" si="2"/>
        <v>140000</v>
      </c>
      <c r="AH3" s="65">
        <f t="shared" si="2"/>
        <v>150000</v>
      </c>
      <c r="AI3" s="6" t="s">
        <v>20</v>
      </c>
      <c r="AJ3" s="3" t="s">
        <v>21</v>
      </c>
    </row>
    <row r="4" spans="1:36" ht="14.6" x14ac:dyDescent="0.4">
      <c r="A4" s="7">
        <v>1</v>
      </c>
      <c r="B4" s="8" t="s">
        <v>22</v>
      </c>
      <c r="C4" s="185" t="s">
        <v>23</v>
      </c>
      <c r="D4" s="9">
        <f>VLOOKUP(C4,'[1]PREÇO ATUAL'!$A:$D,4,0)</f>
        <v>79.900000000000006</v>
      </c>
      <c r="E4" s="10">
        <v>1</v>
      </c>
      <c r="F4" s="10">
        <v>1</v>
      </c>
      <c r="G4" s="10">
        <v>1</v>
      </c>
      <c r="H4" s="10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1">
        <v>1</v>
      </c>
      <c r="O4" s="11">
        <v>1</v>
      </c>
      <c r="P4" s="11">
        <v>1</v>
      </c>
      <c r="Q4" s="11">
        <v>1</v>
      </c>
      <c r="R4" s="11">
        <v>1</v>
      </c>
      <c r="S4" s="11">
        <v>1</v>
      </c>
      <c r="T4" s="13">
        <f t="shared" ref="T4:AC4" si="3">$D4*E4</f>
        <v>79.900000000000006</v>
      </c>
      <c r="U4" s="13">
        <f t="shared" si="3"/>
        <v>79.900000000000006</v>
      </c>
      <c r="V4" s="13">
        <f t="shared" si="3"/>
        <v>79.900000000000006</v>
      </c>
      <c r="W4" s="13">
        <f t="shared" si="3"/>
        <v>79.900000000000006</v>
      </c>
      <c r="X4" s="13">
        <f t="shared" si="3"/>
        <v>79.900000000000006</v>
      </c>
      <c r="Y4" s="13">
        <f t="shared" si="3"/>
        <v>79.900000000000006</v>
      </c>
      <c r="Z4" s="13">
        <f t="shared" si="3"/>
        <v>79.900000000000006</v>
      </c>
      <c r="AA4" s="13">
        <f t="shared" si="3"/>
        <v>79.900000000000006</v>
      </c>
      <c r="AB4" s="13">
        <f t="shared" si="3"/>
        <v>79.900000000000006</v>
      </c>
      <c r="AC4" s="13">
        <f t="shared" si="3"/>
        <v>79.900000000000006</v>
      </c>
      <c r="AD4" s="13">
        <f t="shared" ref="AD4:AH8" si="4">$D4*O4</f>
        <v>79.900000000000006</v>
      </c>
      <c r="AE4" s="13">
        <f t="shared" si="4"/>
        <v>79.900000000000006</v>
      </c>
      <c r="AF4" s="13">
        <f t="shared" si="4"/>
        <v>79.900000000000006</v>
      </c>
      <c r="AG4" s="13">
        <f t="shared" si="4"/>
        <v>79.900000000000006</v>
      </c>
      <c r="AH4" s="13">
        <f t="shared" si="4"/>
        <v>79.900000000000006</v>
      </c>
      <c r="AI4" s="14">
        <f t="shared" ref="AI4:AI12" si="5">AJ4/$AI$2</f>
        <v>8.1669505962521288E-2</v>
      </c>
      <c r="AJ4" s="13">
        <f>SUM(T4:AH4)</f>
        <v>1198.5</v>
      </c>
    </row>
    <row r="5" spans="1:36" ht="14.6" x14ac:dyDescent="0.4">
      <c r="A5" s="15">
        <v>2</v>
      </c>
      <c r="B5" s="16" t="s">
        <v>24</v>
      </c>
      <c r="C5" s="186" t="s">
        <v>25</v>
      </c>
      <c r="D5" s="17">
        <f>VLOOKUP(C5,'[1]PREÇO ATUAL'!$A:$D,4,0)</f>
        <v>35.9</v>
      </c>
      <c r="E5" s="18"/>
      <c r="F5" s="18">
        <v>1</v>
      </c>
      <c r="G5" s="18"/>
      <c r="H5" s="18">
        <v>1</v>
      </c>
      <c r="I5" s="19"/>
      <c r="J5" s="19">
        <v>1</v>
      </c>
      <c r="K5" s="19"/>
      <c r="L5" s="19">
        <v>1</v>
      </c>
      <c r="M5" s="19"/>
      <c r="N5" s="19">
        <v>1</v>
      </c>
      <c r="O5" s="19"/>
      <c r="P5" s="19">
        <v>1</v>
      </c>
      <c r="Q5" s="19"/>
      <c r="R5" s="19">
        <v>1</v>
      </c>
      <c r="S5" s="19"/>
      <c r="T5" s="21">
        <f t="shared" ref="T5:AC5" si="6">$D5*E5</f>
        <v>0</v>
      </c>
      <c r="U5" s="21">
        <f t="shared" si="6"/>
        <v>35.9</v>
      </c>
      <c r="V5" s="21">
        <f t="shared" si="6"/>
        <v>0</v>
      </c>
      <c r="W5" s="21">
        <f t="shared" si="6"/>
        <v>35.9</v>
      </c>
      <c r="X5" s="21">
        <f t="shared" si="6"/>
        <v>0</v>
      </c>
      <c r="Y5" s="21">
        <f t="shared" si="6"/>
        <v>35.9</v>
      </c>
      <c r="Z5" s="21">
        <f t="shared" si="6"/>
        <v>0</v>
      </c>
      <c r="AA5" s="21">
        <f t="shared" si="6"/>
        <v>35.9</v>
      </c>
      <c r="AB5" s="21">
        <f t="shared" si="6"/>
        <v>0</v>
      </c>
      <c r="AC5" s="21">
        <f t="shared" si="6"/>
        <v>35.9</v>
      </c>
      <c r="AD5" s="21">
        <f t="shared" si="4"/>
        <v>0</v>
      </c>
      <c r="AE5" s="21">
        <f t="shared" si="4"/>
        <v>35.9</v>
      </c>
      <c r="AF5" s="21">
        <f t="shared" si="4"/>
        <v>0</v>
      </c>
      <c r="AG5" s="21">
        <f t="shared" si="4"/>
        <v>35.9</v>
      </c>
      <c r="AH5" s="21">
        <f t="shared" si="4"/>
        <v>0</v>
      </c>
      <c r="AI5" s="22">
        <f t="shared" si="5"/>
        <v>1.7124361158432709E-2</v>
      </c>
      <c r="AJ5" s="21">
        <f t="shared" ref="AJ5:AJ11" si="7">SUM(T5:AH5)</f>
        <v>251.3</v>
      </c>
    </row>
    <row r="6" spans="1:36" ht="14.6" x14ac:dyDescent="0.4">
      <c r="A6" s="7">
        <v>3</v>
      </c>
      <c r="B6" s="8" t="s">
        <v>26</v>
      </c>
      <c r="C6" s="185" t="s">
        <v>27</v>
      </c>
      <c r="D6" s="9">
        <f>VLOOKUP(C6,'[1]PREÇO ATUAL'!$A:$D,4,0)</f>
        <v>89.9</v>
      </c>
      <c r="E6" s="10">
        <v>1</v>
      </c>
      <c r="F6" s="10">
        <v>1</v>
      </c>
      <c r="G6" s="10">
        <v>1</v>
      </c>
      <c r="H6" s="10">
        <v>1</v>
      </c>
      <c r="I6" s="11">
        <v>1</v>
      </c>
      <c r="J6" s="11">
        <v>1</v>
      </c>
      <c r="K6" s="11">
        <v>1</v>
      </c>
      <c r="L6" s="11">
        <v>1</v>
      </c>
      <c r="M6" s="11">
        <v>1</v>
      </c>
      <c r="N6" s="11">
        <v>1</v>
      </c>
      <c r="O6" s="11">
        <v>1</v>
      </c>
      <c r="P6" s="11">
        <v>1</v>
      </c>
      <c r="Q6" s="11">
        <v>1</v>
      </c>
      <c r="R6" s="11">
        <v>1</v>
      </c>
      <c r="S6" s="11">
        <v>1</v>
      </c>
      <c r="T6" s="13">
        <f t="shared" ref="T6:AC6" si="8">$D6*E6</f>
        <v>89.9</v>
      </c>
      <c r="U6" s="13">
        <f t="shared" si="8"/>
        <v>89.9</v>
      </c>
      <c r="V6" s="13">
        <f t="shared" si="8"/>
        <v>89.9</v>
      </c>
      <c r="W6" s="13">
        <f t="shared" si="8"/>
        <v>89.9</v>
      </c>
      <c r="X6" s="13">
        <f t="shared" si="8"/>
        <v>89.9</v>
      </c>
      <c r="Y6" s="13">
        <f t="shared" si="8"/>
        <v>89.9</v>
      </c>
      <c r="Z6" s="13">
        <f t="shared" si="8"/>
        <v>89.9</v>
      </c>
      <c r="AA6" s="13">
        <f t="shared" si="8"/>
        <v>89.9</v>
      </c>
      <c r="AB6" s="13">
        <f t="shared" si="8"/>
        <v>89.9</v>
      </c>
      <c r="AC6" s="13">
        <f t="shared" si="8"/>
        <v>89.9</v>
      </c>
      <c r="AD6" s="13">
        <f t="shared" si="4"/>
        <v>89.9</v>
      </c>
      <c r="AE6" s="13">
        <f t="shared" si="4"/>
        <v>89.9</v>
      </c>
      <c r="AF6" s="13">
        <f t="shared" si="4"/>
        <v>89.9</v>
      </c>
      <c r="AG6" s="13">
        <f t="shared" si="4"/>
        <v>89.9</v>
      </c>
      <c r="AH6" s="13">
        <f t="shared" si="4"/>
        <v>89.9</v>
      </c>
      <c r="AI6" s="14">
        <f t="shared" si="5"/>
        <v>9.1890971039182298E-2</v>
      </c>
      <c r="AJ6" s="13">
        <f t="shared" si="7"/>
        <v>1348.5000000000002</v>
      </c>
    </row>
    <row r="7" spans="1:36" ht="14.6" x14ac:dyDescent="0.4">
      <c r="A7" s="15">
        <v>4</v>
      </c>
      <c r="B7" s="16" t="s">
        <v>28</v>
      </c>
      <c r="C7" s="186" t="s">
        <v>29</v>
      </c>
      <c r="D7" s="17">
        <f>VLOOKUP(C7,'[1]PREÇO ATUAL'!$A:$D,4,0)</f>
        <v>175.9</v>
      </c>
      <c r="E7" s="18"/>
      <c r="F7" s="18"/>
      <c r="G7" s="18"/>
      <c r="H7" s="18">
        <v>3</v>
      </c>
      <c r="I7" s="19"/>
      <c r="J7" s="19"/>
      <c r="K7" s="19"/>
      <c r="L7" s="19">
        <v>3</v>
      </c>
      <c r="M7" s="19"/>
      <c r="N7" s="19"/>
      <c r="O7" s="19"/>
      <c r="P7" s="19">
        <v>3</v>
      </c>
      <c r="Q7" s="19"/>
      <c r="R7" s="19"/>
      <c r="S7" s="19"/>
      <c r="T7" s="21">
        <f t="shared" ref="T7:AC7" si="9">$D7*E7</f>
        <v>0</v>
      </c>
      <c r="U7" s="21">
        <f t="shared" si="9"/>
        <v>0</v>
      </c>
      <c r="V7" s="21">
        <f t="shared" si="9"/>
        <v>0</v>
      </c>
      <c r="W7" s="21">
        <f t="shared" si="9"/>
        <v>527.70000000000005</v>
      </c>
      <c r="X7" s="21">
        <f t="shared" si="9"/>
        <v>0</v>
      </c>
      <c r="Y7" s="21">
        <f t="shared" si="9"/>
        <v>0</v>
      </c>
      <c r="Z7" s="21">
        <f t="shared" si="9"/>
        <v>0</v>
      </c>
      <c r="AA7" s="21">
        <f t="shared" si="9"/>
        <v>527.70000000000005</v>
      </c>
      <c r="AB7" s="21">
        <f t="shared" si="9"/>
        <v>0</v>
      </c>
      <c r="AC7" s="21">
        <f t="shared" si="9"/>
        <v>0</v>
      </c>
      <c r="AD7" s="21">
        <f t="shared" si="4"/>
        <v>0</v>
      </c>
      <c r="AE7" s="21">
        <f t="shared" si="4"/>
        <v>527.70000000000005</v>
      </c>
      <c r="AF7" s="21">
        <f t="shared" si="4"/>
        <v>0</v>
      </c>
      <c r="AG7" s="21">
        <f t="shared" si="4"/>
        <v>0</v>
      </c>
      <c r="AH7" s="21">
        <f t="shared" si="4"/>
        <v>0</v>
      </c>
      <c r="AI7" s="22">
        <f t="shared" si="5"/>
        <v>0.10787734241908008</v>
      </c>
      <c r="AJ7" s="21">
        <f t="shared" si="7"/>
        <v>1583.1000000000001</v>
      </c>
    </row>
    <row r="8" spans="1:36" ht="14.6" x14ac:dyDescent="0.4">
      <c r="A8" s="7">
        <v>5</v>
      </c>
      <c r="B8" s="8" t="s">
        <v>30</v>
      </c>
      <c r="C8" s="185" t="s">
        <v>31</v>
      </c>
      <c r="D8" s="9">
        <f>VLOOKUP(C8,'[1]PREÇO ATUAL'!$A:$D,4,0)</f>
        <v>143.22999999999999</v>
      </c>
      <c r="E8" s="10"/>
      <c r="F8" s="10"/>
      <c r="G8" s="10"/>
      <c r="H8" s="10"/>
      <c r="I8" s="11"/>
      <c r="J8" s="11">
        <v>1</v>
      </c>
      <c r="K8" s="11"/>
      <c r="L8" s="11"/>
      <c r="M8" s="11"/>
      <c r="N8" s="11"/>
      <c r="O8" s="11"/>
      <c r="P8" s="11">
        <v>1</v>
      </c>
      <c r="Q8" s="11"/>
      <c r="R8" s="11"/>
      <c r="S8" s="11"/>
      <c r="T8" s="13">
        <f t="shared" ref="T8:AC8" si="10">$D8*E8</f>
        <v>0</v>
      </c>
      <c r="U8" s="13">
        <f t="shared" si="10"/>
        <v>0</v>
      </c>
      <c r="V8" s="13">
        <f t="shared" si="10"/>
        <v>0</v>
      </c>
      <c r="W8" s="13">
        <f t="shared" si="10"/>
        <v>0</v>
      </c>
      <c r="X8" s="13">
        <f t="shared" si="10"/>
        <v>0</v>
      </c>
      <c r="Y8" s="13">
        <f t="shared" si="10"/>
        <v>143.22999999999999</v>
      </c>
      <c r="Z8" s="13">
        <f t="shared" si="10"/>
        <v>0</v>
      </c>
      <c r="AA8" s="13">
        <f t="shared" si="10"/>
        <v>0</v>
      </c>
      <c r="AB8" s="13">
        <f t="shared" si="10"/>
        <v>0</v>
      </c>
      <c r="AC8" s="13">
        <f t="shared" si="10"/>
        <v>0</v>
      </c>
      <c r="AD8" s="13">
        <f t="shared" si="4"/>
        <v>0</v>
      </c>
      <c r="AE8" s="13">
        <f t="shared" si="4"/>
        <v>143.22999999999999</v>
      </c>
      <c r="AF8" s="13">
        <f t="shared" si="4"/>
        <v>0</v>
      </c>
      <c r="AG8" s="13">
        <f t="shared" si="4"/>
        <v>0</v>
      </c>
      <c r="AH8" s="13">
        <f t="shared" si="4"/>
        <v>0</v>
      </c>
      <c r="AI8" s="14">
        <f t="shared" si="5"/>
        <v>1.9520272572402044E-2</v>
      </c>
      <c r="AJ8" s="13">
        <f t="shared" si="7"/>
        <v>286.45999999999998</v>
      </c>
    </row>
    <row r="9" spans="1:36" ht="14.6" x14ac:dyDescent="0.4">
      <c r="A9" s="15">
        <v>6</v>
      </c>
      <c r="B9" s="16" t="s">
        <v>32</v>
      </c>
      <c r="C9" s="186" t="s">
        <v>33</v>
      </c>
      <c r="D9" s="17">
        <f>VLOOKUP(C9,'[1]PREÇO ATUAL'!$A:$D,4,0)</f>
        <v>165.97812000000002</v>
      </c>
      <c r="E9" s="18"/>
      <c r="F9" s="18"/>
      <c r="G9" s="18"/>
      <c r="H9" s="18"/>
      <c r="I9" s="19"/>
      <c r="J9" s="19"/>
      <c r="K9" s="19"/>
      <c r="L9" s="19"/>
      <c r="M9" s="19"/>
      <c r="N9" s="19"/>
      <c r="O9" s="19"/>
      <c r="P9" s="19">
        <v>2</v>
      </c>
      <c r="Q9" s="19"/>
      <c r="R9" s="19"/>
      <c r="S9" s="19"/>
      <c r="T9" s="21">
        <f t="shared" ref="T9" si="11">$D9*E9</f>
        <v>0</v>
      </c>
      <c r="U9" s="21">
        <f t="shared" ref="U9" si="12">$D9*F9</f>
        <v>0</v>
      </c>
      <c r="V9" s="21">
        <f t="shared" ref="V9" si="13">$D9*G9</f>
        <v>0</v>
      </c>
      <c r="W9" s="21">
        <f t="shared" ref="W9" si="14">$D9*H9</f>
        <v>0</v>
      </c>
      <c r="X9" s="21">
        <f t="shared" ref="X9" si="15">$D9*I9</f>
        <v>0</v>
      </c>
      <c r="Y9" s="21">
        <f t="shared" ref="Y9" si="16">$D9*J9</f>
        <v>0</v>
      </c>
      <c r="Z9" s="21">
        <f t="shared" ref="Z9" si="17">$D9*K9</f>
        <v>0</v>
      </c>
      <c r="AA9" s="21">
        <f t="shared" ref="AA9" si="18">$D9*L9</f>
        <v>0</v>
      </c>
      <c r="AB9" s="21">
        <f t="shared" ref="AB9" si="19">$D9*M9</f>
        <v>0</v>
      </c>
      <c r="AC9" s="21">
        <f t="shared" ref="AC9" si="20">$D9*N9</f>
        <v>0</v>
      </c>
      <c r="AD9" s="21">
        <f t="shared" ref="AD9" si="21">$D9*O9</f>
        <v>0</v>
      </c>
      <c r="AE9" s="21">
        <f>$D9*P9</f>
        <v>331.95624000000004</v>
      </c>
      <c r="AF9" s="21">
        <f t="shared" ref="AF9" si="22">$D9*Q9</f>
        <v>0</v>
      </c>
      <c r="AG9" s="21">
        <f t="shared" ref="AG9" si="23">$D9*R9</f>
        <v>0</v>
      </c>
      <c r="AH9" s="21">
        <f t="shared" ref="AH9" si="24">$D9*S9</f>
        <v>0</v>
      </c>
      <c r="AI9" s="22"/>
      <c r="AJ9" s="21">
        <f t="shared" si="7"/>
        <v>331.95624000000004</v>
      </c>
    </row>
    <row r="10" spans="1:36" ht="14.6" x14ac:dyDescent="0.4">
      <c r="A10" s="7">
        <v>7</v>
      </c>
      <c r="B10" s="8" t="s">
        <v>34</v>
      </c>
      <c r="C10" s="185" t="s">
        <v>35</v>
      </c>
      <c r="D10" s="9">
        <f>VLOOKUP(C10,'[1]PREÇO ATUAL'!$A:$D,4,0)</f>
        <v>33.622493083850472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13">
        <f t="shared" ref="T10:AC10" si="25">$D10*E10</f>
        <v>0</v>
      </c>
      <c r="U10" s="13">
        <f t="shared" si="25"/>
        <v>0</v>
      </c>
      <c r="V10" s="13">
        <f t="shared" si="25"/>
        <v>0</v>
      </c>
      <c r="W10" s="13">
        <f t="shared" si="25"/>
        <v>0</v>
      </c>
      <c r="X10" s="13">
        <f t="shared" si="25"/>
        <v>0</v>
      </c>
      <c r="Y10" s="13">
        <f t="shared" si="25"/>
        <v>0</v>
      </c>
      <c r="Z10" s="13">
        <f t="shared" si="25"/>
        <v>0</v>
      </c>
      <c r="AA10" s="13">
        <f t="shared" si="25"/>
        <v>0</v>
      </c>
      <c r="AB10" s="13">
        <f t="shared" si="25"/>
        <v>0</v>
      </c>
      <c r="AC10" s="13">
        <f t="shared" si="25"/>
        <v>0</v>
      </c>
      <c r="AD10" s="13">
        <f t="shared" ref="AD10:AD12" si="26">$D10*O10</f>
        <v>0</v>
      </c>
      <c r="AE10" s="13">
        <f t="shared" ref="AE10:AE12" si="27">$D10*P10</f>
        <v>0</v>
      </c>
      <c r="AF10" s="13">
        <f t="shared" ref="AF10:AF12" si="28">$D10*Q10</f>
        <v>0</v>
      </c>
      <c r="AG10" s="13">
        <f t="shared" ref="AG10:AG12" si="29">$D10*R10</f>
        <v>0</v>
      </c>
      <c r="AH10" s="13">
        <f t="shared" ref="AH10:AH12" si="30">$D10*S10</f>
        <v>0</v>
      </c>
      <c r="AI10" s="14">
        <f t="shared" si="5"/>
        <v>0</v>
      </c>
      <c r="AJ10" s="13">
        <f t="shared" si="7"/>
        <v>0</v>
      </c>
    </row>
    <row r="11" spans="1:36" ht="14.6" x14ac:dyDescent="0.4">
      <c r="A11" s="15">
        <v>8</v>
      </c>
      <c r="B11" s="16" t="s">
        <v>36</v>
      </c>
      <c r="C11" s="186" t="s">
        <v>37</v>
      </c>
      <c r="D11" s="17">
        <f>VLOOKUP(C11,'[1]PREÇO ATUAL'!$A:$D,4,0)</f>
        <v>94.126931447834295</v>
      </c>
      <c r="E11" s="24">
        <v>2.54</v>
      </c>
      <c r="F11" s="24">
        <v>2.54</v>
      </c>
      <c r="G11" s="24">
        <v>2.54</v>
      </c>
      <c r="H11" s="24">
        <v>2.54</v>
      </c>
      <c r="I11" s="17">
        <v>2.54</v>
      </c>
      <c r="J11" s="17">
        <v>2.54</v>
      </c>
      <c r="K11" s="17">
        <v>2.54</v>
      </c>
      <c r="L11" s="17">
        <v>2.54</v>
      </c>
      <c r="M11" s="17">
        <v>2.54</v>
      </c>
      <c r="N11" s="17">
        <v>2.54</v>
      </c>
      <c r="O11" s="17">
        <v>2.54</v>
      </c>
      <c r="P11" s="17">
        <v>2.54</v>
      </c>
      <c r="Q11" s="17">
        <v>2.54</v>
      </c>
      <c r="R11" s="17">
        <v>2.54</v>
      </c>
      <c r="S11" s="17">
        <v>2.54</v>
      </c>
      <c r="T11" s="21">
        <f t="shared" ref="T11:AC11" si="31">$D11*E11</f>
        <v>239.0824058774991</v>
      </c>
      <c r="U11" s="21">
        <f t="shared" si="31"/>
        <v>239.0824058774991</v>
      </c>
      <c r="V11" s="21">
        <f t="shared" si="31"/>
        <v>239.0824058774991</v>
      </c>
      <c r="W11" s="21">
        <f t="shared" si="31"/>
        <v>239.0824058774991</v>
      </c>
      <c r="X11" s="21">
        <f t="shared" si="31"/>
        <v>239.0824058774991</v>
      </c>
      <c r="Y11" s="21">
        <f t="shared" si="31"/>
        <v>239.0824058774991</v>
      </c>
      <c r="Z11" s="21">
        <f t="shared" si="31"/>
        <v>239.0824058774991</v>
      </c>
      <c r="AA11" s="21">
        <f t="shared" si="31"/>
        <v>239.0824058774991</v>
      </c>
      <c r="AB11" s="21">
        <f t="shared" si="31"/>
        <v>239.0824058774991</v>
      </c>
      <c r="AC11" s="21">
        <f t="shared" si="31"/>
        <v>239.0824058774991</v>
      </c>
      <c r="AD11" s="21">
        <f t="shared" si="26"/>
        <v>239.0824058774991</v>
      </c>
      <c r="AE11" s="21">
        <f t="shared" si="27"/>
        <v>239.0824058774991</v>
      </c>
      <c r="AF11" s="21">
        <f t="shared" si="28"/>
        <v>239.0824058774991</v>
      </c>
      <c r="AG11" s="21">
        <f t="shared" si="29"/>
        <v>239.0824058774991</v>
      </c>
      <c r="AH11" s="21">
        <f t="shared" si="30"/>
        <v>239.0824058774991</v>
      </c>
      <c r="AI11" s="22">
        <f t="shared" si="5"/>
        <v>0.24437724621209453</v>
      </c>
      <c r="AJ11" s="21">
        <f t="shared" si="7"/>
        <v>3586.2360881624872</v>
      </c>
    </row>
    <row r="12" spans="1:36" ht="14.6" x14ac:dyDescent="0.4">
      <c r="A12" s="7">
        <v>9</v>
      </c>
      <c r="B12" s="8" t="s">
        <v>38</v>
      </c>
      <c r="C12" s="185" t="s">
        <v>39</v>
      </c>
      <c r="D12" s="9">
        <f>VLOOKUP(C12,'[1]PREÇO ATUAL'!$A:$D,4,0)</f>
        <v>342</v>
      </c>
      <c r="E12" s="23">
        <v>0.85</v>
      </c>
      <c r="F12" s="23">
        <v>1.1000000000000001</v>
      </c>
      <c r="G12" s="23">
        <v>0.95</v>
      </c>
      <c r="H12" s="23">
        <v>1.4</v>
      </c>
      <c r="I12" s="23">
        <v>1</v>
      </c>
      <c r="J12" s="23">
        <v>1.8</v>
      </c>
      <c r="K12" s="23">
        <v>0.85</v>
      </c>
      <c r="L12" s="23">
        <v>1.4</v>
      </c>
      <c r="M12" s="23">
        <v>0.95</v>
      </c>
      <c r="N12" s="23">
        <v>1.25</v>
      </c>
      <c r="O12" s="23">
        <v>0.85</v>
      </c>
      <c r="P12" s="23">
        <v>2.35</v>
      </c>
      <c r="Q12" s="23">
        <v>0.85</v>
      </c>
      <c r="R12" s="23">
        <v>1.1000000000000001</v>
      </c>
      <c r="S12" s="23">
        <v>1.1000000000000001</v>
      </c>
      <c r="T12" s="13">
        <f t="shared" ref="T12:AC12" si="32">$D12*E12</f>
        <v>290.7</v>
      </c>
      <c r="U12" s="13">
        <f t="shared" si="32"/>
        <v>376.20000000000005</v>
      </c>
      <c r="V12" s="13">
        <f t="shared" si="32"/>
        <v>324.89999999999998</v>
      </c>
      <c r="W12" s="13">
        <f t="shared" si="32"/>
        <v>478.79999999999995</v>
      </c>
      <c r="X12" s="13">
        <f t="shared" si="32"/>
        <v>342</v>
      </c>
      <c r="Y12" s="13">
        <f t="shared" si="32"/>
        <v>615.6</v>
      </c>
      <c r="Z12" s="13">
        <f t="shared" si="32"/>
        <v>290.7</v>
      </c>
      <c r="AA12" s="13">
        <f t="shared" si="32"/>
        <v>478.79999999999995</v>
      </c>
      <c r="AB12" s="13">
        <f t="shared" si="32"/>
        <v>324.89999999999998</v>
      </c>
      <c r="AC12" s="13">
        <f t="shared" si="32"/>
        <v>427.5</v>
      </c>
      <c r="AD12" s="13">
        <f t="shared" si="26"/>
        <v>290.7</v>
      </c>
      <c r="AE12" s="13">
        <f t="shared" si="27"/>
        <v>803.7</v>
      </c>
      <c r="AF12" s="13">
        <f t="shared" si="28"/>
        <v>290.7</v>
      </c>
      <c r="AG12" s="13">
        <f t="shared" si="29"/>
        <v>376.20000000000005</v>
      </c>
      <c r="AH12" s="13">
        <f t="shared" si="30"/>
        <v>376.20000000000005</v>
      </c>
      <c r="AI12" s="14">
        <f t="shared" si="5"/>
        <v>0.41482793867120948</v>
      </c>
      <c r="AJ12" s="13">
        <f>SUM(T12:AH12)</f>
        <v>6087.5999999999995</v>
      </c>
    </row>
    <row r="13" spans="1:36" ht="15.75" customHeight="1" x14ac:dyDescent="0.4"/>
    <row r="14" spans="1:36" ht="15.75" customHeight="1" x14ac:dyDescent="0.4">
      <c r="A14" s="214" t="s">
        <v>146</v>
      </c>
      <c r="B14" s="214"/>
      <c r="C14" s="214"/>
      <c r="D14" s="214"/>
      <c r="E14" s="126" t="s">
        <v>3</v>
      </c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5" t="s">
        <v>4</v>
      </c>
      <c r="U14" s="125"/>
      <c r="V14" s="125"/>
      <c r="W14" s="125"/>
      <c r="X14" s="125"/>
      <c r="Y14" s="125"/>
      <c r="Z14" s="125"/>
      <c r="AA14" s="125"/>
      <c r="AB14" s="125"/>
      <c r="AC14" s="125"/>
      <c r="AD14" s="147"/>
      <c r="AE14" s="147"/>
      <c r="AF14" s="147"/>
      <c r="AG14" s="147"/>
      <c r="AH14" s="147"/>
      <c r="AI14" s="219" t="s">
        <v>5</v>
      </c>
      <c r="AJ14" s="220"/>
    </row>
    <row r="15" spans="1:36" ht="15" customHeight="1" x14ac:dyDescent="0.4">
      <c r="A15" s="214"/>
      <c r="B15" s="214"/>
      <c r="C15" s="214"/>
      <c r="D15" s="214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2">
        <f t="shared" ref="T15:AH15" si="33">MROUND(SUM(T17:T26),1)</f>
        <v>1083</v>
      </c>
      <c r="U15" s="2">
        <f t="shared" si="33"/>
        <v>1204</v>
      </c>
      <c r="V15" s="2">
        <f t="shared" si="33"/>
        <v>1117</v>
      </c>
      <c r="W15" s="2">
        <f t="shared" si="33"/>
        <v>1835</v>
      </c>
      <c r="X15" s="2">
        <f t="shared" si="33"/>
        <v>1134</v>
      </c>
      <c r="Y15" s="2">
        <f t="shared" si="33"/>
        <v>1444</v>
      </c>
      <c r="Z15" s="2">
        <f t="shared" si="33"/>
        <v>1083</v>
      </c>
      <c r="AA15" s="2">
        <f t="shared" si="33"/>
        <v>1835</v>
      </c>
      <c r="AB15" s="2">
        <f t="shared" si="33"/>
        <v>1117</v>
      </c>
      <c r="AC15" s="2">
        <f t="shared" si="33"/>
        <v>1256</v>
      </c>
      <c r="AD15" s="2">
        <f t="shared" si="33"/>
        <v>1083</v>
      </c>
      <c r="AE15" s="2">
        <f t="shared" si="33"/>
        <v>2491</v>
      </c>
      <c r="AF15" s="2">
        <f t="shared" si="33"/>
        <v>1083</v>
      </c>
      <c r="AG15" s="2">
        <f t="shared" si="33"/>
        <v>1204</v>
      </c>
      <c r="AH15" s="2">
        <f t="shared" si="33"/>
        <v>1168</v>
      </c>
      <c r="AI15" s="221">
        <f>SUM(T15:AH15)</f>
        <v>20137</v>
      </c>
      <c r="AJ15" s="220"/>
    </row>
    <row r="16" spans="1:36" ht="14.6" x14ac:dyDescent="0.4">
      <c r="A16" s="3" t="s">
        <v>6</v>
      </c>
      <c r="B16" s="3" t="s">
        <v>7</v>
      </c>
      <c r="C16" s="184" t="s">
        <v>8</v>
      </c>
      <c r="D16" s="4" t="s">
        <v>9</v>
      </c>
      <c r="E16" s="5" t="s">
        <v>10</v>
      </c>
      <c r="F16" s="5" t="s">
        <v>11</v>
      </c>
      <c r="G16" s="5" t="s">
        <v>12</v>
      </c>
      <c r="H16" s="5" t="s">
        <v>13</v>
      </c>
      <c r="I16" s="5" t="s">
        <v>14</v>
      </c>
      <c r="J16" s="5" t="s">
        <v>15</v>
      </c>
      <c r="K16" s="5" t="s">
        <v>16</v>
      </c>
      <c r="L16" s="5" t="s">
        <v>17</v>
      </c>
      <c r="M16" s="5" t="s">
        <v>18</v>
      </c>
      <c r="N16" s="5" t="s">
        <v>19</v>
      </c>
      <c r="O16" s="5" t="s">
        <v>116</v>
      </c>
      <c r="P16" s="5" t="s">
        <v>117</v>
      </c>
      <c r="Q16" s="5" t="s">
        <v>118</v>
      </c>
      <c r="R16" s="5" t="s">
        <v>119</v>
      </c>
      <c r="S16" s="5" t="s">
        <v>120</v>
      </c>
      <c r="T16" s="36">
        <v>10000</v>
      </c>
      <c r="U16" s="36">
        <v>20000</v>
      </c>
      <c r="V16" s="36">
        <v>30000</v>
      </c>
      <c r="W16" s="36">
        <v>40000</v>
      </c>
      <c r="X16" s="36">
        <v>50000</v>
      </c>
      <c r="Y16" s="36">
        <v>60000</v>
      </c>
      <c r="Z16" s="36">
        <v>70000</v>
      </c>
      <c r="AA16" s="36">
        <v>80000</v>
      </c>
      <c r="AB16" s="36">
        <v>90000</v>
      </c>
      <c r="AC16" s="36">
        <v>100000</v>
      </c>
      <c r="AD16" s="65">
        <f>AC16+10000</f>
        <v>110000</v>
      </c>
      <c r="AE16" s="65">
        <f t="shared" ref="AE16" si="34">AD16+10000</f>
        <v>120000</v>
      </c>
      <c r="AF16" s="65">
        <f t="shared" ref="AF16" si="35">AE16+10000</f>
        <v>130000</v>
      </c>
      <c r="AG16" s="65">
        <f t="shared" ref="AG16" si="36">AF16+10000</f>
        <v>140000</v>
      </c>
      <c r="AH16" s="65">
        <f t="shared" ref="AH16" si="37">AG16+10000</f>
        <v>150000</v>
      </c>
      <c r="AI16" s="6" t="s">
        <v>20</v>
      </c>
      <c r="AJ16" s="3" t="s">
        <v>21</v>
      </c>
    </row>
    <row r="17" spans="1:36" ht="14.6" x14ac:dyDescent="0.4">
      <c r="A17" s="7">
        <v>1</v>
      </c>
      <c r="B17" s="8" t="s">
        <v>41</v>
      </c>
      <c r="C17" s="185" t="s">
        <v>23</v>
      </c>
      <c r="D17" s="9">
        <f>VLOOKUP(C17,'[1]PREÇO ATUAL'!$A:$D,4,0)</f>
        <v>79.900000000000006</v>
      </c>
      <c r="E17" s="10">
        <v>1</v>
      </c>
      <c r="F17" s="10">
        <v>1</v>
      </c>
      <c r="G17" s="10">
        <v>1</v>
      </c>
      <c r="H17" s="10">
        <v>1</v>
      </c>
      <c r="I17" s="10">
        <v>1</v>
      </c>
      <c r="J17" s="10">
        <v>1</v>
      </c>
      <c r="K17" s="10">
        <v>1</v>
      </c>
      <c r="L17" s="10">
        <v>1</v>
      </c>
      <c r="M17" s="10">
        <v>1</v>
      </c>
      <c r="N17" s="10">
        <v>1</v>
      </c>
      <c r="O17" s="10">
        <v>1</v>
      </c>
      <c r="P17" s="10">
        <v>1</v>
      </c>
      <c r="Q17" s="10">
        <v>1</v>
      </c>
      <c r="R17" s="10">
        <v>1</v>
      </c>
      <c r="S17" s="10">
        <v>1</v>
      </c>
      <c r="T17" s="13">
        <f t="shared" ref="T17:T25" si="38">$D17*E17</f>
        <v>79.900000000000006</v>
      </c>
      <c r="U17" s="13">
        <f t="shared" ref="U17:U25" si="39">$D17*F17</f>
        <v>79.900000000000006</v>
      </c>
      <c r="V17" s="13">
        <f t="shared" ref="V17:V25" si="40">$D17*G17</f>
        <v>79.900000000000006</v>
      </c>
      <c r="W17" s="13">
        <f t="shared" ref="W17:W25" si="41">$D17*H17</f>
        <v>79.900000000000006</v>
      </c>
      <c r="X17" s="13">
        <f t="shared" ref="X17:X25" si="42">$D17*I17</f>
        <v>79.900000000000006</v>
      </c>
      <c r="Y17" s="13">
        <f t="shared" ref="Y17:Y25" si="43">$D17*J17</f>
        <v>79.900000000000006</v>
      </c>
      <c r="Z17" s="13">
        <f t="shared" ref="Z17:Z25" si="44">$D17*K17</f>
        <v>79.900000000000006</v>
      </c>
      <c r="AA17" s="13">
        <f t="shared" ref="AA17:AA25" si="45">$D17*L17</f>
        <v>79.900000000000006</v>
      </c>
      <c r="AB17" s="13">
        <f t="shared" ref="AB17:AB25" si="46">$D17*M17</f>
        <v>79.900000000000006</v>
      </c>
      <c r="AC17" s="13">
        <f t="shared" ref="AC17:AC25" si="47">$D17*N17</f>
        <v>79.900000000000006</v>
      </c>
      <c r="AD17" s="13">
        <f t="shared" ref="AD17:AD25" si="48">$D17*O17</f>
        <v>79.900000000000006</v>
      </c>
      <c r="AE17" s="13">
        <f t="shared" ref="AE17:AE21" si="49">$D17*P17</f>
        <v>79.900000000000006</v>
      </c>
      <c r="AF17" s="13">
        <f t="shared" ref="AF17:AF25" si="50">$D17*Q17</f>
        <v>79.900000000000006</v>
      </c>
      <c r="AG17" s="13">
        <f t="shared" ref="AG17:AG25" si="51">$D17*R17</f>
        <v>79.900000000000006</v>
      </c>
      <c r="AH17" s="13">
        <f t="shared" ref="AH17:AH25" si="52">$D17*S17</f>
        <v>79.900000000000006</v>
      </c>
      <c r="AI17" s="14">
        <f t="shared" ref="AI17:AI21" si="53">AJ17/$AI$2</f>
        <v>8.1669505962521288E-2</v>
      </c>
      <c r="AJ17" s="13">
        <f>SUM(T17:AH17)</f>
        <v>1198.5</v>
      </c>
    </row>
    <row r="18" spans="1:36" ht="14.6" x14ac:dyDescent="0.4">
      <c r="A18" s="15">
        <v>2</v>
      </c>
      <c r="B18" s="16" t="s">
        <v>147</v>
      </c>
      <c r="C18" s="186" t="s">
        <v>25</v>
      </c>
      <c r="D18" s="17">
        <f>VLOOKUP(C18,'[1]PREÇO ATUAL'!$A:$D,4,0)</f>
        <v>35.9</v>
      </c>
      <c r="E18" s="18"/>
      <c r="F18" s="18">
        <v>1</v>
      </c>
      <c r="G18" s="18"/>
      <c r="H18" s="18">
        <v>1</v>
      </c>
      <c r="I18" s="18"/>
      <c r="J18" s="18">
        <v>1</v>
      </c>
      <c r="K18" s="18"/>
      <c r="L18" s="18">
        <v>1</v>
      </c>
      <c r="M18" s="18"/>
      <c r="N18" s="18">
        <v>1</v>
      </c>
      <c r="O18" s="18"/>
      <c r="P18" s="18">
        <v>1</v>
      </c>
      <c r="Q18" s="18"/>
      <c r="R18" s="18">
        <v>1</v>
      </c>
      <c r="S18" s="18"/>
      <c r="T18" s="21">
        <f t="shared" si="38"/>
        <v>0</v>
      </c>
      <c r="U18" s="21">
        <f t="shared" si="39"/>
        <v>35.9</v>
      </c>
      <c r="V18" s="21">
        <f t="shared" si="40"/>
        <v>0</v>
      </c>
      <c r="W18" s="21">
        <f t="shared" si="41"/>
        <v>35.9</v>
      </c>
      <c r="X18" s="21">
        <f t="shared" si="42"/>
        <v>0</v>
      </c>
      <c r="Y18" s="21">
        <f t="shared" si="43"/>
        <v>35.9</v>
      </c>
      <c r="Z18" s="21">
        <f t="shared" si="44"/>
        <v>0</v>
      </c>
      <c r="AA18" s="21">
        <f t="shared" si="45"/>
        <v>35.9</v>
      </c>
      <c r="AB18" s="21">
        <f t="shared" si="46"/>
        <v>0</v>
      </c>
      <c r="AC18" s="21">
        <f t="shared" si="47"/>
        <v>35.9</v>
      </c>
      <c r="AD18" s="21">
        <f t="shared" si="48"/>
        <v>0</v>
      </c>
      <c r="AE18" s="21">
        <f t="shared" si="49"/>
        <v>35.9</v>
      </c>
      <c r="AF18" s="21">
        <f t="shared" si="50"/>
        <v>0</v>
      </c>
      <c r="AG18" s="21">
        <f t="shared" si="51"/>
        <v>35.9</v>
      </c>
      <c r="AH18" s="21">
        <f t="shared" si="52"/>
        <v>0</v>
      </c>
      <c r="AI18" s="22">
        <f t="shared" si="53"/>
        <v>1.7124361158432709E-2</v>
      </c>
      <c r="AJ18" s="21">
        <f t="shared" ref="AJ18:AJ24" si="54">SUM(T18:AH18)</f>
        <v>251.3</v>
      </c>
    </row>
    <row r="19" spans="1:36" ht="14.6" x14ac:dyDescent="0.4">
      <c r="A19" s="7">
        <v>3</v>
      </c>
      <c r="B19" s="8" t="s">
        <v>42</v>
      </c>
      <c r="C19" s="185" t="s">
        <v>27</v>
      </c>
      <c r="D19" s="9">
        <f>VLOOKUP(C19,'[1]PREÇO ATUAL'!$A:$D,4,0)</f>
        <v>89.9</v>
      </c>
      <c r="E19" s="10">
        <v>1</v>
      </c>
      <c r="F19" s="10">
        <v>1</v>
      </c>
      <c r="G19" s="10">
        <v>1</v>
      </c>
      <c r="H19" s="10">
        <v>1</v>
      </c>
      <c r="I19" s="10">
        <v>1</v>
      </c>
      <c r="J19" s="10">
        <v>1</v>
      </c>
      <c r="K19" s="10">
        <v>1</v>
      </c>
      <c r="L19" s="10">
        <v>1</v>
      </c>
      <c r="M19" s="10">
        <v>1</v>
      </c>
      <c r="N19" s="10">
        <v>1</v>
      </c>
      <c r="O19" s="10">
        <v>1</v>
      </c>
      <c r="P19" s="10">
        <v>1</v>
      </c>
      <c r="Q19" s="10">
        <v>1</v>
      </c>
      <c r="R19" s="10">
        <v>1</v>
      </c>
      <c r="S19" s="10">
        <v>1</v>
      </c>
      <c r="T19" s="13">
        <f t="shared" si="38"/>
        <v>89.9</v>
      </c>
      <c r="U19" s="13">
        <f t="shared" si="39"/>
        <v>89.9</v>
      </c>
      <c r="V19" s="13">
        <f t="shared" si="40"/>
        <v>89.9</v>
      </c>
      <c r="W19" s="13">
        <f t="shared" si="41"/>
        <v>89.9</v>
      </c>
      <c r="X19" s="13">
        <f t="shared" si="42"/>
        <v>89.9</v>
      </c>
      <c r="Y19" s="13">
        <f t="shared" si="43"/>
        <v>89.9</v>
      </c>
      <c r="Z19" s="13">
        <f t="shared" si="44"/>
        <v>89.9</v>
      </c>
      <c r="AA19" s="13">
        <f t="shared" si="45"/>
        <v>89.9</v>
      </c>
      <c r="AB19" s="13">
        <f t="shared" si="46"/>
        <v>89.9</v>
      </c>
      <c r="AC19" s="13">
        <f t="shared" si="47"/>
        <v>89.9</v>
      </c>
      <c r="AD19" s="13">
        <f t="shared" si="48"/>
        <v>89.9</v>
      </c>
      <c r="AE19" s="13">
        <f t="shared" si="49"/>
        <v>89.9</v>
      </c>
      <c r="AF19" s="13">
        <f t="shared" si="50"/>
        <v>89.9</v>
      </c>
      <c r="AG19" s="13">
        <f t="shared" si="51"/>
        <v>89.9</v>
      </c>
      <c r="AH19" s="13">
        <f t="shared" si="52"/>
        <v>89.9</v>
      </c>
      <c r="AI19" s="14">
        <f t="shared" si="53"/>
        <v>9.1890971039182298E-2</v>
      </c>
      <c r="AJ19" s="13">
        <f t="shared" si="54"/>
        <v>1348.5000000000002</v>
      </c>
    </row>
    <row r="20" spans="1:36" ht="14.6" x14ac:dyDescent="0.4">
      <c r="A20" s="15">
        <v>4</v>
      </c>
      <c r="B20" s="16" t="s">
        <v>43</v>
      </c>
      <c r="C20" s="186" t="s">
        <v>148</v>
      </c>
      <c r="D20" s="17">
        <f>VLOOKUP(C20,'[1]PREÇO ATUAL'!$A:$D,4,0)</f>
        <v>314.82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21">
        <f t="shared" si="38"/>
        <v>314.82</v>
      </c>
      <c r="U20" s="21">
        <f t="shared" si="39"/>
        <v>314.82</v>
      </c>
      <c r="V20" s="21">
        <f t="shared" si="40"/>
        <v>314.82</v>
      </c>
      <c r="W20" s="21">
        <f t="shared" si="41"/>
        <v>314.82</v>
      </c>
      <c r="X20" s="21">
        <f t="shared" si="42"/>
        <v>314.82</v>
      </c>
      <c r="Y20" s="21">
        <f t="shared" si="43"/>
        <v>314.82</v>
      </c>
      <c r="Z20" s="21">
        <f t="shared" si="44"/>
        <v>314.82</v>
      </c>
      <c r="AA20" s="21">
        <f t="shared" si="45"/>
        <v>314.82</v>
      </c>
      <c r="AB20" s="21">
        <f t="shared" si="46"/>
        <v>314.82</v>
      </c>
      <c r="AC20" s="21">
        <f t="shared" si="47"/>
        <v>314.82</v>
      </c>
      <c r="AD20" s="21">
        <f t="shared" si="48"/>
        <v>314.82</v>
      </c>
      <c r="AE20" s="21">
        <f t="shared" si="49"/>
        <v>314.82</v>
      </c>
      <c r="AF20" s="21">
        <f t="shared" si="50"/>
        <v>314.82</v>
      </c>
      <c r="AG20" s="21">
        <f t="shared" si="51"/>
        <v>314.82</v>
      </c>
      <c r="AH20" s="21">
        <f t="shared" si="52"/>
        <v>314.82</v>
      </c>
      <c r="AI20" s="22">
        <f t="shared" si="53"/>
        <v>0.32179216354344126</v>
      </c>
      <c r="AJ20" s="21">
        <f t="shared" si="54"/>
        <v>4722.3</v>
      </c>
    </row>
    <row r="21" spans="1:36" ht="24.9" x14ac:dyDescent="0.4">
      <c r="A21" s="7">
        <v>5</v>
      </c>
      <c r="B21" s="142" t="s">
        <v>149</v>
      </c>
      <c r="C21" s="185" t="s">
        <v>29</v>
      </c>
      <c r="D21" s="9">
        <f>VLOOKUP(C21,'[1]PREÇO ATUAL'!$A:$D,4,0)</f>
        <v>175.9</v>
      </c>
      <c r="E21" s="10"/>
      <c r="F21" s="10"/>
      <c r="G21" s="10"/>
      <c r="H21" s="10">
        <v>3</v>
      </c>
      <c r="I21" s="11"/>
      <c r="J21" s="11"/>
      <c r="K21" s="11"/>
      <c r="L21" s="11">
        <v>3</v>
      </c>
      <c r="M21" s="11"/>
      <c r="N21" s="11"/>
      <c r="O21" s="11"/>
      <c r="P21" s="11">
        <v>3</v>
      </c>
      <c r="Q21" s="11"/>
      <c r="R21" s="11"/>
      <c r="S21" s="11"/>
      <c r="T21" s="13">
        <f t="shared" si="38"/>
        <v>0</v>
      </c>
      <c r="U21" s="13">
        <f t="shared" si="39"/>
        <v>0</v>
      </c>
      <c r="V21" s="13">
        <f t="shared" si="40"/>
        <v>0</v>
      </c>
      <c r="W21" s="13">
        <f t="shared" si="41"/>
        <v>527.70000000000005</v>
      </c>
      <c r="X21" s="13">
        <f t="shared" si="42"/>
        <v>0</v>
      </c>
      <c r="Y21" s="13">
        <f t="shared" si="43"/>
        <v>0</v>
      </c>
      <c r="Z21" s="13">
        <f t="shared" si="44"/>
        <v>0</v>
      </c>
      <c r="AA21" s="13">
        <f t="shared" si="45"/>
        <v>527.70000000000005</v>
      </c>
      <c r="AB21" s="13">
        <f t="shared" si="46"/>
        <v>0</v>
      </c>
      <c r="AC21" s="13">
        <f t="shared" si="47"/>
        <v>0</v>
      </c>
      <c r="AD21" s="13">
        <f t="shared" si="48"/>
        <v>0</v>
      </c>
      <c r="AE21" s="13">
        <f t="shared" si="49"/>
        <v>527.70000000000005</v>
      </c>
      <c r="AF21" s="13">
        <f t="shared" si="50"/>
        <v>0</v>
      </c>
      <c r="AG21" s="13">
        <f t="shared" si="51"/>
        <v>0</v>
      </c>
      <c r="AH21" s="13">
        <f t="shared" si="52"/>
        <v>0</v>
      </c>
      <c r="AI21" s="14">
        <f t="shared" si="53"/>
        <v>0.10787734241908008</v>
      </c>
      <c r="AJ21" s="13">
        <f t="shared" si="54"/>
        <v>1583.1000000000001</v>
      </c>
    </row>
    <row r="22" spans="1:36" ht="24.9" x14ac:dyDescent="0.4">
      <c r="A22" s="15">
        <v>6</v>
      </c>
      <c r="B22" s="143" t="s">
        <v>150</v>
      </c>
      <c r="C22" s="186" t="s">
        <v>31</v>
      </c>
      <c r="D22" s="17">
        <f>VLOOKUP(C22,'[1]PREÇO ATUAL'!$A:$D,4,0)</f>
        <v>143.22999999999999</v>
      </c>
      <c r="E22" s="18"/>
      <c r="F22" s="18"/>
      <c r="G22" s="18"/>
      <c r="H22" s="18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21">
        <f t="shared" si="38"/>
        <v>0</v>
      </c>
      <c r="U22" s="21">
        <f t="shared" si="39"/>
        <v>0</v>
      </c>
      <c r="V22" s="21">
        <f t="shared" si="40"/>
        <v>0</v>
      </c>
      <c r="W22" s="21">
        <f t="shared" si="41"/>
        <v>0</v>
      </c>
      <c r="X22" s="21">
        <f t="shared" si="42"/>
        <v>0</v>
      </c>
      <c r="Y22" s="21">
        <f t="shared" si="43"/>
        <v>0</v>
      </c>
      <c r="Z22" s="21">
        <f t="shared" si="44"/>
        <v>0</v>
      </c>
      <c r="AA22" s="21">
        <f t="shared" si="45"/>
        <v>0</v>
      </c>
      <c r="AB22" s="21">
        <f t="shared" si="46"/>
        <v>0</v>
      </c>
      <c r="AC22" s="21">
        <f t="shared" si="47"/>
        <v>0</v>
      </c>
      <c r="AD22" s="21">
        <f t="shared" si="48"/>
        <v>0</v>
      </c>
      <c r="AE22" s="21">
        <f>$D22*P22</f>
        <v>0</v>
      </c>
      <c r="AF22" s="21">
        <f t="shared" si="50"/>
        <v>0</v>
      </c>
      <c r="AG22" s="21">
        <f t="shared" si="51"/>
        <v>0</v>
      </c>
      <c r="AH22" s="21">
        <f t="shared" si="52"/>
        <v>0</v>
      </c>
      <c r="AI22" s="22"/>
      <c r="AJ22" s="21">
        <f t="shared" si="54"/>
        <v>0</v>
      </c>
    </row>
    <row r="23" spans="1:36" ht="24.9" x14ac:dyDescent="0.4">
      <c r="A23" s="7">
        <v>7</v>
      </c>
      <c r="B23" s="142" t="s">
        <v>151</v>
      </c>
      <c r="C23" s="185" t="s">
        <v>35</v>
      </c>
      <c r="D23" s="9">
        <f>VLOOKUP(C23,'[1]PREÇO ATUAL'!$A:$D,4,0)</f>
        <v>33.622493083850472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13">
        <f t="shared" si="38"/>
        <v>0</v>
      </c>
      <c r="U23" s="13">
        <f t="shared" si="39"/>
        <v>0</v>
      </c>
      <c r="V23" s="13">
        <f t="shared" si="40"/>
        <v>0</v>
      </c>
      <c r="W23" s="13">
        <f t="shared" si="41"/>
        <v>0</v>
      </c>
      <c r="X23" s="13">
        <f t="shared" si="42"/>
        <v>0</v>
      </c>
      <c r="Y23" s="13">
        <f t="shared" si="43"/>
        <v>0</v>
      </c>
      <c r="Z23" s="13">
        <f t="shared" si="44"/>
        <v>0</v>
      </c>
      <c r="AA23" s="13">
        <f t="shared" si="45"/>
        <v>0</v>
      </c>
      <c r="AB23" s="13">
        <f t="shared" si="46"/>
        <v>0</v>
      </c>
      <c r="AC23" s="13">
        <f t="shared" si="47"/>
        <v>0</v>
      </c>
      <c r="AD23" s="13">
        <f t="shared" si="48"/>
        <v>0</v>
      </c>
      <c r="AE23" s="13">
        <f t="shared" ref="AE23:AE25" si="55">$D23*P23</f>
        <v>0</v>
      </c>
      <c r="AF23" s="13">
        <f t="shared" si="50"/>
        <v>0</v>
      </c>
      <c r="AG23" s="13">
        <f t="shared" si="51"/>
        <v>0</v>
      </c>
      <c r="AH23" s="13">
        <f t="shared" si="52"/>
        <v>0</v>
      </c>
      <c r="AI23" s="14">
        <f t="shared" ref="AI23:AI25" si="56">AJ23/$AI$2</f>
        <v>0</v>
      </c>
      <c r="AJ23" s="13">
        <f t="shared" si="54"/>
        <v>0</v>
      </c>
    </row>
    <row r="24" spans="1:36" ht="24.9" x14ac:dyDescent="0.4">
      <c r="A24" s="15">
        <v>8</v>
      </c>
      <c r="B24" s="143" t="s">
        <v>106</v>
      </c>
      <c r="C24" s="186" t="s">
        <v>33</v>
      </c>
      <c r="D24" s="17">
        <f>VLOOKUP(C24,'[1]PREÇO ATUAL'!$A:$D,4,0)</f>
        <v>165.97812000000002</v>
      </c>
      <c r="E24" s="24"/>
      <c r="F24" s="24"/>
      <c r="G24" s="24"/>
      <c r="H24" s="24"/>
      <c r="I24" s="17"/>
      <c r="J24" s="17"/>
      <c r="K24" s="17"/>
      <c r="L24" s="17"/>
      <c r="M24" s="17"/>
      <c r="N24" s="17"/>
      <c r="O24" s="17"/>
      <c r="P24" s="42">
        <v>2</v>
      </c>
      <c r="Q24" s="17"/>
      <c r="R24" s="17"/>
      <c r="S24" s="17"/>
      <c r="T24" s="21">
        <f t="shared" si="38"/>
        <v>0</v>
      </c>
      <c r="U24" s="21">
        <f t="shared" si="39"/>
        <v>0</v>
      </c>
      <c r="V24" s="21">
        <f t="shared" si="40"/>
        <v>0</v>
      </c>
      <c r="W24" s="21">
        <f t="shared" si="41"/>
        <v>0</v>
      </c>
      <c r="X24" s="21">
        <f t="shared" si="42"/>
        <v>0</v>
      </c>
      <c r="Y24" s="21">
        <f t="shared" si="43"/>
        <v>0</v>
      </c>
      <c r="Z24" s="21">
        <f t="shared" si="44"/>
        <v>0</v>
      </c>
      <c r="AA24" s="21">
        <f t="shared" si="45"/>
        <v>0</v>
      </c>
      <c r="AB24" s="21">
        <f t="shared" si="46"/>
        <v>0</v>
      </c>
      <c r="AC24" s="21">
        <f t="shared" si="47"/>
        <v>0</v>
      </c>
      <c r="AD24" s="21">
        <f t="shared" si="48"/>
        <v>0</v>
      </c>
      <c r="AE24" s="21">
        <f t="shared" si="55"/>
        <v>331.95624000000004</v>
      </c>
      <c r="AF24" s="21">
        <f t="shared" si="50"/>
        <v>0</v>
      </c>
      <c r="AG24" s="21">
        <f t="shared" si="51"/>
        <v>0</v>
      </c>
      <c r="AH24" s="21">
        <f t="shared" si="52"/>
        <v>0</v>
      </c>
      <c r="AI24" s="22">
        <f t="shared" si="56"/>
        <v>2.2620527427597958E-2</v>
      </c>
      <c r="AJ24" s="21">
        <f t="shared" si="54"/>
        <v>331.95624000000004</v>
      </c>
    </row>
    <row r="25" spans="1:36" ht="14.6" x14ac:dyDescent="0.4">
      <c r="A25" s="7">
        <v>9</v>
      </c>
      <c r="B25" s="8" t="s">
        <v>152</v>
      </c>
      <c r="C25" s="185" t="s">
        <v>37</v>
      </c>
      <c r="D25" s="9">
        <f>VLOOKUP(C25,'[1]PREÇO ATUAL'!$A:$D,4,0)</f>
        <v>94.126931447834295</v>
      </c>
      <c r="E25" s="23">
        <v>2.54</v>
      </c>
      <c r="F25" s="23">
        <v>2.54</v>
      </c>
      <c r="G25" s="23">
        <v>2.54</v>
      </c>
      <c r="H25" s="23">
        <v>2.54</v>
      </c>
      <c r="I25" s="23">
        <v>2.54</v>
      </c>
      <c r="J25" s="23">
        <v>2.54</v>
      </c>
      <c r="K25" s="23">
        <v>2.54</v>
      </c>
      <c r="L25" s="23">
        <v>2.54</v>
      </c>
      <c r="M25" s="23">
        <v>2.54</v>
      </c>
      <c r="N25" s="23">
        <v>2.54</v>
      </c>
      <c r="O25" s="23">
        <v>2.54</v>
      </c>
      <c r="P25" s="23">
        <v>2.54</v>
      </c>
      <c r="Q25" s="23">
        <v>2.54</v>
      </c>
      <c r="R25" s="23">
        <v>2.54</v>
      </c>
      <c r="S25" s="23">
        <v>2.54</v>
      </c>
      <c r="T25" s="13">
        <f t="shared" si="38"/>
        <v>239.0824058774991</v>
      </c>
      <c r="U25" s="13">
        <f t="shared" si="39"/>
        <v>239.0824058774991</v>
      </c>
      <c r="V25" s="13">
        <f t="shared" si="40"/>
        <v>239.0824058774991</v>
      </c>
      <c r="W25" s="13">
        <f t="shared" si="41"/>
        <v>239.0824058774991</v>
      </c>
      <c r="X25" s="13">
        <f t="shared" si="42"/>
        <v>239.0824058774991</v>
      </c>
      <c r="Y25" s="13">
        <f t="shared" si="43"/>
        <v>239.0824058774991</v>
      </c>
      <c r="Z25" s="13">
        <f t="shared" si="44"/>
        <v>239.0824058774991</v>
      </c>
      <c r="AA25" s="13">
        <f t="shared" si="45"/>
        <v>239.0824058774991</v>
      </c>
      <c r="AB25" s="13">
        <f t="shared" si="46"/>
        <v>239.0824058774991</v>
      </c>
      <c r="AC25" s="13">
        <f t="shared" si="47"/>
        <v>239.0824058774991</v>
      </c>
      <c r="AD25" s="13">
        <f t="shared" si="48"/>
        <v>239.0824058774991</v>
      </c>
      <c r="AE25" s="13">
        <f t="shared" si="55"/>
        <v>239.0824058774991</v>
      </c>
      <c r="AF25" s="13">
        <f t="shared" si="50"/>
        <v>239.0824058774991</v>
      </c>
      <c r="AG25" s="13">
        <f t="shared" si="51"/>
        <v>239.0824058774991</v>
      </c>
      <c r="AH25" s="13">
        <f t="shared" si="52"/>
        <v>239.0824058774991</v>
      </c>
      <c r="AI25" s="14">
        <f t="shared" si="56"/>
        <v>0.24437724621209453</v>
      </c>
      <c r="AJ25" s="13">
        <f>SUM(T25:AH25)</f>
        <v>3586.2360881624872</v>
      </c>
    </row>
    <row r="26" spans="1:36" ht="14.6" x14ac:dyDescent="0.4">
      <c r="A26" s="15">
        <v>10</v>
      </c>
      <c r="B26" s="16" t="s">
        <v>38</v>
      </c>
      <c r="C26" s="186" t="s">
        <v>39</v>
      </c>
      <c r="D26" s="17">
        <f>VLOOKUP(C26,'[1]PREÇO ATUAL'!$A:$D,4,0)</f>
        <v>342</v>
      </c>
      <c r="E26" s="24">
        <v>1.05</v>
      </c>
      <c r="F26" s="24">
        <v>1.3</v>
      </c>
      <c r="G26" s="24">
        <v>1.1499999999999999</v>
      </c>
      <c r="H26" s="24">
        <v>1.6</v>
      </c>
      <c r="I26" s="17">
        <v>1.2</v>
      </c>
      <c r="J26" s="17">
        <v>2</v>
      </c>
      <c r="K26" s="17">
        <v>1.05</v>
      </c>
      <c r="L26" s="17">
        <v>1.6</v>
      </c>
      <c r="M26" s="17">
        <v>1.1499999999999999</v>
      </c>
      <c r="N26" s="17">
        <v>1.45</v>
      </c>
      <c r="O26" s="17">
        <v>1.05</v>
      </c>
      <c r="P26" s="17">
        <v>2.5500000000000003</v>
      </c>
      <c r="Q26" s="17">
        <v>1.05</v>
      </c>
      <c r="R26" s="17">
        <v>1.3</v>
      </c>
      <c r="S26" s="17">
        <v>1.3</v>
      </c>
      <c r="T26" s="21">
        <f t="shared" ref="T26" si="57">$D26*E26</f>
        <v>359.1</v>
      </c>
      <c r="U26" s="21">
        <f t="shared" ref="U26" si="58">$D26*F26</f>
        <v>444.6</v>
      </c>
      <c r="V26" s="21">
        <f t="shared" ref="V26" si="59">$D26*G26</f>
        <v>393.29999999999995</v>
      </c>
      <c r="W26" s="21">
        <f t="shared" ref="W26" si="60">$D26*H26</f>
        <v>547.20000000000005</v>
      </c>
      <c r="X26" s="21">
        <f t="shared" ref="X26" si="61">$D26*I26</f>
        <v>410.4</v>
      </c>
      <c r="Y26" s="21">
        <f t="shared" ref="Y26" si="62">$D26*J26</f>
        <v>684</v>
      </c>
      <c r="Z26" s="21">
        <f t="shared" ref="Z26" si="63">$D26*K26</f>
        <v>359.1</v>
      </c>
      <c r="AA26" s="21">
        <f t="shared" ref="AA26" si="64">$D26*L26</f>
        <v>547.20000000000005</v>
      </c>
      <c r="AB26" s="21">
        <f t="shared" ref="AB26" si="65">$D26*M26</f>
        <v>393.29999999999995</v>
      </c>
      <c r="AC26" s="21">
        <f t="shared" ref="AC26" si="66">$D26*N26</f>
        <v>495.9</v>
      </c>
      <c r="AD26" s="21">
        <f t="shared" ref="AD26" si="67">$D26*O26</f>
        <v>359.1</v>
      </c>
      <c r="AE26" s="21">
        <f t="shared" ref="AE26" si="68">$D26*P26</f>
        <v>872.10000000000014</v>
      </c>
      <c r="AF26" s="21">
        <f t="shared" ref="AF26" si="69">$D26*Q26</f>
        <v>359.1</v>
      </c>
      <c r="AG26" s="21">
        <f t="shared" ref="AG26" si="70">$D26*R26</f>
        <v>444.6</v>
      </c>
      <c r="AH26" s="21">
        <f t="shared" ref="AH26" si="71">$D26*S26</f>
        <v>444.6</v>
      </c>
      <c r="AI26" s="22">
        <f t="shared" ref="AI26" si="72">AJ26/$AI$2</f>
        <v>0.4847427597955708</v>
      </c>
      <c r="AJ26" s="21">
        <f t="shared" ref="AJ26" si="73">SUM(T26:AH26)</f>
        <v>7113.6000000000013</v>
      </c>
    </row>
    <row r="27" spans="1:36" ht="15.75" customHeight="1" x14ac:dyDescent="0.4"/>
    <row r="28" spans="1:36" ht="15.75" customHeight="1" x14ac:dyDescent="0.4"/>
    <row r="29" spans="1:36" ht="15.75" customHeight="1" x14ac:dyDescent="0.4"/>
    <row r="30" spans="1:36" ht="15.75" customHeight="1" x14ac:dyDescent="0.4"/>
    <row r="31" spans="1:36" ht="15.75" customHeight="1" x14ac:dyDescent="0.4"/>
    <row r="32" spans="1:36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</sheetData>
  <mergeCells count="4">
    <mergeCell ref="AI1:AJ1"/>
    <mergeCell ref="AI2:AJ2"/>
    <mergeCell ref="AI14:AJ14"/>
    <mergeCell ref="AI15:AJ15"/>
  </mergeCells>
  <pageMargins left="0.511811024" right="0.511811024" top="0.78740157499999996" bottom="0.78740157499999996" header="0" footer="0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Planilha26">
    <tabColor rgb="FF00FF00"/>
  </sheetPr>
  <dimension ref="A1:Z973"/>
  <sheetViews>
    <sheetView showGridLines="0" workbookViewId="0">
      <pane xSplit="4" topLeftCell="E1" activePane="topRight" state="frozen"/>
      <selection activeCell="B23" sqref="B23"/>
      <selection pane="topRight" activeCell="M19" sqref="M19"/>
    </sheetView>
  </sheetViews>
  <sheetFormatPr defaultColWidth="14.3828125" defaultRowHeight="15" customHeight="1" x14ac:dyDescent="0.4"/>
  <cols>
    <col min="1" max="1" width="3.69140625" customWidth="1"/>
    <col min="2" max="2" width="44.84375" customWidth="1"/>
    <col min="3" max="3" width="16.84375" customWidth="1"/>
    <col min="4" max="4" width="7.84375" customWidth="1"/>
    <col min="5" max="5" width="6.15234375" customWidth="1"/>
    <col min="6" max="14" width="5.3828125" customWidth="1"/>
    <col min="15" max="16" width="14.53515625" customWidth="1"/>
    <col min="17" max="18" width="15.69140625" bestFit="1" customWidth="1"/>
    <col min="19" max="19" width="14.53515625" customWidth="1"/>
    <col min="20" max="20" width="16.84375" customWidth="1"/>
    <col min="21" max="21" width="14.53515625" customWidth="1"/>
    <col min="22" max="23" width="15.69140625" bestFit="1" customWidth="1"/>
    <col min="24" max="24" width="14.53515625" customWidth="1"/>
    <col min="25" max="25" width="8.3828125" customWidth="1"/>
    <col min="26" max="26" width="15.53515625" customWidth="1"/>
    <col min="27" max="27" width="11.69140625" customWidth="1"/>
    <col min="28" max="28" width="9.15234375" customWidth="1"/>
    <col min="29" max="29" width="11.3828125" customWidth="1"/>
    <col min="30" max="32" width="9.15234375" customWidth="1"/>
  </cols>
  <sheetData>
    <row r="1" spans="1:26" ht="14.6" x14ac:dyDescent="0.4">
      <c r="A1" s="222" t="s">
        <v>153</v>
      </c>
      <c r="B1" s="223"/>
      <c r="C1" s="223"/>
      <c r="D1" s="223"/>
      <c r="E1" s="226" t="s">
        <v>3</v>
      </c>
      <c r="F1" s="223"/>
      <c r="G1" s="223"/>
      <c r="H1" s="223"/>
      <c r="I1" s="223"/>
      <c r="J1" s="223"/>
      <c r="K1" s="223"/>
      <c r="L1" s="223"/>
      <c r="M1" s="223"/>
      <c r="N1" s="234"/>
      <c r="O1" s="230" t="s">
        <v>4</v>
      </c>
      <c r="P1" s="237"/>
      <c r="Q1" s="237"/>
      <c r="R1" s="237"/>
      <c r="S1" s="237"/>
      <c r="T1" s="237"/>
      <c r="U1" s="237"/>
      <c r="V1" s="237"/>
      <c r="W1" s="237"/>
      <c r="X1" s="237"/>
      <c r="Y1" s="219" t="s">
        <v>5</v>
      </c>
      <c r="Z1" s="220"/>
    </row>
    <row r="2" spans="1:26" ht="14.6" x14ac:dyDescent="0.4">
      <c r="A2" s="224"/>
      <c r="B2" s="225"/>
      <c r="C2" s="225"/>
      <c r="D2" s="225"/>
      <c r="E2" s="236"/>
      <c r="F2" s="225"/>
      <c r="G2" s="225"/>
      <c r="H2" s="225"/>
      <c r="I2" s="225"/>
      <c r="J2" s="225"/>
      <c r="K2" s="225"/>
      <c r="L2" s="225"/>
      <c r="M2" s="225"/>
      <c r="N2" s="235"/>
      <c r="O2" s="2">
        <f>MROUND(SUM(O4:O11),1)</f>
        <v>467</v>
      </c>
      <c r="P2" s="2">
        <f t="shared" ref="P2:X2" si="0">MROUND(SUM(P4:P11),1)</f>
        <v>1089</v>
      </c>
      <c r="Q2" s="2">
        <f t="shared" si="0"/>
        <v>1191</v>
      </c>
      <c r="R2" s="2">
        <f t="shared" si="0"/>
        <v>1175</v>
      </c>
      <c r="S2" s="2">
        <f t="shared" si="0"/>
        <v>928</v>
      </c>
      <c r="T2" s="2">
        <f t="shared" si="0"/>
        <v>1965</v>
      </c>
      <c r="U2" s="2">
        <f t="shared" si="0"/>
        <v>894</v>
      </c>
      <c r="V2" s="2">
        <f t="shared" si="0"/>
        <v>1175</v>
      </c>
      <c r="W2" s="2">
        <f t="shared" si="0"/>
        <v>1191</v>
      </c>
      <c r="X2" s="2">
        <f t="shared" si="0"/>
        <v>1141</v>
      </c>
      <c r="Y2" s="221">
        <f>SUM(O2:X2)</f>
        <v>11216</v>
      </c>
      <c r="Z2" s="220"/>
    </row>
    <row r="3" spans="1:26" ht="14.6" x14ac:dyDescent="0.4">
      <c r="A3" s="3" t="s">
        <v>6</v>
      </c>
      <c r="B3" s="3" t="s">
        <v>7</v>
      </c>
      <c r="C3" s="3" t="s">
        <v>8</v>
      </c>
      <c r="D3" s="4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18</v>
      </c>
      <c r="N3" s="5" t="s">
        <v>19</v>
      </c>
      <c r="O3" s="36">
        <v>10000</v>
      </c>
      <c r="P3" s="36">
        <v>20000</v>
      </c>
      <c r="Q3" s="36">
        <v>30000</v>
      </c>
      <c r="R3" s="36">
        <v>40000</v>
      </c>
      <c r="S3" s="36">
        <v>50000</v>
      </c>
      <c r="T3" s="36">
        <v>60000</v>
      </c>
      <c r="U3" s="36">
        <v>70000</v>
      </c>
      <c r="V3" s="36">
        <v>80000</v>
      </c>
      <c r="W3" s="36">
        <v>90000</v>
      </c>
      <c r="X3" s="36">
        <v>100000</v>
      </c>
      <c r="Y3" s="6" t="s">
        <v>20</v>
      </c>
      <c r="Z3" s="3" t="s">
        <v>21</v>
      </c>
    </row>
    <row r="4" spans="1:26" ht="14.6" x14ac:dyDescent="0.4">
      <c r="A4" s="7">
        <v>1</v>
      </c>
      <c r="B4" s="8" t="s">
        <v>66</v>
      </c>
      <c r="C4" s="185" t="s">
        <v>85</v>
      </c>
      <c r="D4" s="9">
        <f>VLOOKUP(C4,'[1]PREÇO ATUAL'!$A:$D,4,0)</f>
        <v>52.9</v>
      </c>
      <c r="E4" s="30"/>
      <c r="F4" s="10"/>
      <c r="G4" s="10">
        <v>4</v>
      </c>
      <c r="H4" s="10"/>
      <c r="I4" s="11"/>
      <c r="J4" s="11">
        <v>4</v>
      </c>
      <c r="K4" s="11"/>
      <c r="L4" s="11"/>
      <c r="M4" s="11">
        <v>4</v>
      </c>
      <c r="N4" s="11"/>
      <c r="O4" s="31">
        <f t="shared" ref="O4:X4" si="1">$D4*E4</f>
        <v>0</v>
      </c>
      <c r="P4" s="13">
        <f t="shared" si="1"/>
        <v>0</v>
      </c>
      <c r="Q4" s="13">
        <f t="shared" si="1"/>
        <v>211.6</v>
      </c>
      <c r="R4" s="13">
        <f t="shared" si="1"/>
        <v>0</v>
      </c>
      <c r="S4" s="13">
        <f t="shared" si="1"/>
        <v>0</v>
      </c>
      <c r="T4" s="13">
        <f t="shared" si="1"/>
        <v>211.6</v>
      </c>
      <c r="U4" s="13">
        <f t="shared" si="1"/>
        <v>0</v>
      </c>
      <c r="V4" s="13">
        <f t="shared" si="1"/>
        <v>0</v>
      </c>
      <c r="W4" s="13">
        <f t="shared" si="1"/>
        <v>211.6</v>
      </c>
      <c r="X4" s="13">
        <f t="shared" si="1"/>
        <v>0</v>
      </c>
      <c r="Y4" s="37">
        <f t="shared" ref="Y4:Y11" si="2">Z4/$Y$2</f>
        <v>5.6597717546362336E-2</v>
      </c>
      <c r="Z4" s="13">
        <f t="shared" ref="Z4:Z11" si="3">SUM(O4:X4)</f>
        <v>634.79999999999995</v>
      </c>
    </row>
    <row r="5" spans="1:26" ht="14.6" x14ac:dyDescent="0.4">
      <c r="A5" s="15">
        <v>2</v>
      </c>
      <c r="B5" s="16" t="s">
        <v>70</v>
      </c>
      <c r="C5" s="186" t="s">
        <v>56</v>
      </c>
      <c r="D5" s="17">
        <f>VLOOKUP(C5,'[1]PREÇO ATUAL'!$A:$D,4,0)</f>
        <v>42.9</v>
      </c>
      <c r="E5" s="32">
        <v>1</v>
      </c>
      <c r="F5" s="18">
        <v>1</v>
      </c>
      <c r="G5" s="18">
        <v>1</v>
      </c>
      <c r="H5" s="18">
        <v>1</v>
      </c>
      <c r="I5" s="19">
        <v>1</v>
      </c>
      <c r="J5" s="19">
        <v>1</v>
      </c>
      <c r="K5" s="19">
        <v>1</v>
      </c>
      <c r="L5" s="19">
        <v>1</v>
      </c>
      <c r="M5" s="19">
        <v>1</v>
      </c>
      <c r="N5" s="19">
        <v>1</v>
      </c>
      <c r="O5" s="33">
        <f t="shared" ref="O5:X5" si="4">$D5*E5</f>
        <v>42.9</v>
      </c>
      <c r="P5" s="21">
        <f t="shared" si="4"/>
        <v>42.9</v>
      </c>
      <c r="Q5" s="21">
        <f t="shared" si="4"/>
        <v>42.9</v>
      </c>
      <c r="R5" s="21">
        <f t="shared" si="4"/>
        <v>42.9</v>
      </c>
      <c r="S5" s="21">
        <f t="shared" si="4"/>
        <v>42.9</v>
      </c>
      <c r="T5" s="21">
        <f t="shared" si="4"/>
        <v>42.9</v>
      </c>
      <c r="U5" s="21">
        <f t="shared" si="4"/>
        <v>42.9</v>
      </c>
      <c r="V5" s="21">
        <f t="shared" si="4"/>
        <v>42.9</v>
      </c>
      <c r="W5" s="21">
        <f t="shared" si="4"/>
        <v>42.9</v>
      </c>
      <c r="X5" s="21">
        <f t="shared" si="4"/>
        <v>42.9</v>
      </c>
      <c r="Y5" s="38">
        <f t="shared" si="2"/>
        <v>3.8248930099857338E-2</v>
      </c>
      <c r="Z5" s="21">
        <f t="shared" si="3"/>
        <v>428.99999999999989</v>
      </c>
    </row>
    <row r="6" spans="1:26" ht="15.75" customHeight="1" x14ac:dyDescent="0.4">
      <c r="A6" s="7">
        <v>3</v>
      </c>
      <c r="B6" s="8" t="s">
        <v>72</v>
      </c>
      <c r="C6" s="185" t="s">
        <v>25</v>
      </c>
      <c r="D6" s="9">
        <f>VLOOKUP(C6,'[1]PREÇO ATUAL'!$A:$D,4,0)</f>
        <v>35.9</v>
      </c>
      <c r="E6" s="30"/>
      <c r="F6" s="10">
        <v>1</v>
      </c>
      <c r="G6" s="10"/>
      <c r="H6" s="10">
        <v>1</v>
      </c>
      <c r="I6" s="11"/>
      <c r="J6" s="11">
        <v>1</v>
      </c>
      <c r="K6" s="11"/>
      <c r="L6" s="11">
        <v>1</v>
      </c>
      <c r="M6" s="11"/>
      <c r="N6" s="11">
        <v>1</v>
      </c>
      <c r="O6" s="31">
        <f t="shared" ref="O6:X6" si="5">$D6*E6</f>
        <v>0</v>
      </c>
      <c r="P6" s="13">
        <f t="shared" si="5"/>
        <v>35.9</v>
      </c>
      <c r="Q6" s="13">
        <f t="shared" si="5"/>
        <v>0</v>
      </c>
      <c r="R6" s="13">
        <f t="shared" si="5"/>
        <v>35.9</v>
      </c>
      <c r="S6" s="13">
        <f t="shared" si="5"/>
        <v>0</v>
      </c>
      <c r="T6" s="13">
        <f t="shared" si="5"/>
        <v>35.9</v>
      </c>
      <c r="U6" s="13">
        <f t="shared" si="5"/>
        <v>0</v>
      </c>
      <c r="V6" s="13">
        <f t="shared" si="5"/>
        <v>35.9</v>
      </c>
      <c r="W6" s="13">
        <f t="shared" si="5"/>
        <v>0</v>
      </c>
      <c r="X6" s="13">
        <f t="shared" si="5"/>
        <v>35.9</v>
      </c>
      <c r="Y6" s="37">
        <f t="shared" si="2"/>
        <v>1.6003922967189728E-2</v>
      </c>
      <c r="Z6" s="13">
        <f t="shared" si="3"/>
        <v>179.5</v>
      </c>
    </row>
    <row r="7" spans="1:26" ht="15.75" customHeight="1" x14ac:dyDescent="0.4">
      <c r="A7" s="15">
        <v>4</v>
      </c>
      <c r="B7" s="16" t="s">
        <v>73</v>
      </c>
      <c r="C7" s="186" t="s">
        <v>86</v>
      </c>
      <c r="D7" s="17">
        <f>VLOOKUP(C7,'[1]PREÇO ATUAL'!$A:$D,4,0)</f>
        <v>90.75</v>
      </c>
      <c r="E7" s="32"/>
      <c r="F7" s="18">
        <v>1</v>
      </c>
      <c r="G7" s="18"/>
      <c r="H7" s="18">
        <v>1</v>
      </c>
      <c r="I7" s="19"/>
      <c r="J7" s="19">
        <v>1</v>
      </c>
      <c r="K7" s="19"/>
      <c r="L7" s="19">
        <v>1</v>
      </c>
      <c r="M7" s="19"/>
      <c r="N7" s="19">
        <v>1</v>
      </c>
      <c r="O7" s="33">
        <f t="shared" ref="O7:X7" si="6">$D7*E7</f>
        <v>0</v>
      </c>
      <c r="P7" s="21">
        <f t="shared" si="6"/>
        <v>90.75</v>
      </c>
      <c r="Q7" s="21">
        <f t="shared" si="6"/>
        <v>0</v>
      </c>
      <c r="R7" s="21">
        <f t="shared" si="6"/>
        <v>90.75</v>
      </c>
      <c r="S7" s="21">
        <f t="shared" si="6"/>
        <v>0</v>
      </c>
      <c r="T7" s="21">
        <f t="shared" si="6"/>
        <v>90.75</v>
      </c>
      <c r="U7" s="21">
        <f t="shared" si="6"/>
        <v>0</v>
      </c>
      <c r="V7" s="21">
        <f t="shared" si="6"/>
        <v>90.75</v>
      </c>
      <c r="W7" s="21">
        <f t="shared" si="6"/>
        <v>0</v>
      </c>
      <c r="X7" s="21">
        <f t="shared" si="6"/>
        <v>90.75</v>
      </c>
      <c r="Y7" s="38">
        <f t="shared" si="2"/>
        <v>4.0455599144079889E-2</v>
      </c>
      <c r="Z7" s="21">
        <f t="shared" si="3"/>
        <v>453.75</v>
      </c>
    </row>
    <row r="8" spans="1:26" ht="15.75" customHeight="1" x14ac:dyDescent="0.4">
      <c r="A8" s="7">
        <v>5</v>
      </c>
      <c r="B8" s="8" t="s">
        <v>75</v>
      </c>
      <c r="C8" s="185" t="s">
        <v>87</v>
      </c>
      <c r="D8" s="9">
        <f>VLOOKUP(C8,'[1]PREÇO ATUAL'!$A:$D,4,0)</f>
        <v>219.9</v>
      </c>
      <c r="E8" s="30"/>
      <c r="F8" s="10"/>
      <c r="G8" s="10"/>
      <c r="H8" s="10"/>
      <c r="I8" s="11"/>
      <c r="J8" s="11">
        <v>1</v>
      </c>
      <c r="K8" s="11"/>
      <c r="L8" s="11"/>
      <c r="M8" s="11"/>
      <c r="N8" s="11"/>
      <c r="O8" s="31">
        <f t="shared" ref="O8:X8" si="7">$D8*E8</f>
        <v>0</v>
      </c>
      <c r="P8" s="13">
        <f t="shared" si="7"/>
        <v>0</v>
      </c>
      <c r="Q8" s="13">
        <f t="shared" si="7"/>
        <v>0</v>
      </c>
      <c r="R8" s="13">
        <f t="shared" si="7"/>
        <v>0</v>
      </c>
      <c r="S8" s="13">
        <f t="shared" si="7"/>
        <v>0</v>
      </c>
      <c r="T8" s="13">
        <f t="shared" si="7"/>
        <v>219.9</v>
      </c>
      <c r="U8" s="13">
        <f t="shared" si="7"/>
        <v>0</v>
      </c>
      <c r="V8" s="13">
        <f t="shared" si="7"/>
        <v>0</v>
      </c>
      <c r="W8" s="13">
        <f t="shared" si="7"/>
        <v>0</v>
      </c>
      <c r="X8" s="13">
        <f t="shared" si="7"/>
        <v>0</v>
      </c>
      <c r="Y8" s="37">
        <f t="shared" si="2"/>
        <v>1.9605920114122682E-2</v>
      </c>
      <c r="Z8" s="13">
        <f t="shared" si="3"/>
        <v>219.9</v>
      </c>
    </row>
    <row r="9" spans="1:26" ht="15.75" customHeight="1" x14ac:dyDescent="0.4">
      <c r="A9" s="15">
        <v>6</v>
      </c>
      <c r="B9" s="16" t="s">
        <v>63</v>
      </c>
      <c r="C9" s="186" t="s">
        <v>64</v>
      </c>
      <c r="D9" s="17">
        <f>VLOOKUP(C9,'[1]PREÇO ATUAL'!$A:$D,4,0)</f>
        <v>98.56222158238279</v>
      </c>
      <c r="E9" s="34">
        <v>4.3</v>
      </c>
      <c r="F9" s="24">
        <v>4.3</v>
      </c>
      <c r="G9" s="24">
        <v>4.3</v>
      </c>
      <c r="H9" s="24">
        <v>4.3</v>
      </c>
      <c r="I9" s="17">
        <v>4.3</v>
      </c>
      <c r="J9" s="17">
        <v>4.3</v>
      </c>
      <c r="K9" s="17">
        <v>4.3</v>
      </c>
      <c r="L9" s="17">
        <v>4.3</v>
      </c>
      <c r="M9" s="17">
        <v>4.3</v>
      </c>
      <c r="N9" s="17">
        <v>4.3</v>
      </c>
      <c r="O9" s="33">
        <f t="shared" ref="O9:X9" si="8">$D9*E9</f>
        <v>423.81755280424596</v>
      </c>
      <c r="P9" s="21">
        <f t="shared" si="8"/>
        <v>423.81755280424596</v>
      </c>
      <c r="Q9" s="21">
        <f t="shared" si="8"/>
        <v>423.81755280424596</v>
      </c>
      <c r="R9" s="21">
        <f t="shared" si="8"/>
        <v>423.81755280424596</v>
      </c>
      <c r="S9" s="21">
        <f t="shared" si="8"/>
        <v>423.81755280424596</v>
      </c>
      <c r="T9" s="21">
        <f t="shared" si="8"/>
        <v>423.81755280424596</v>
      </c>
      <c r="U9" s="21">
        <f t="shared" si="8"/>
        <v>423.81755280424596</v>
      </c>
      <c r="V9" s="21">
        <f t="shared" si="8"/>
        <v>423.81755280424596</v>
      </c>
      <c r="W9" s="21">
        <f t="shared" si="8"/>
        <v>423.81755280424596</v>
      </c>
      <c r="X9" s="21">
        <f t="shared" si="8"/>
        <v>423.81755280424596</v>
      </c>
      <c r="Y9" s="38">
        <f t="shared" si="2"/>
        <v>0.37786871683688128</v>
      </c>
      <c r="Z9" s="21">
        <f t="shared" si="3"/>
        <v>4238.1755280424604</v>
      </c>
    </row>
    <row r="10" spans="1:26" ht="15.75" customHeight="1" x14ac:dyDescent="0.4">
      <c r="A10" s="7">
        <v>7</v>
      </c>
      <c r="B10" s="8" t="s">
        <v>34</v>
      </c>
      <c r="C10" s="185" t="s">
        <v>35</v>
      </c>
      <c r="D10" s="9">
        <f>VLOOKUP(C10,'[1]PREÇO ATUAL'!$A:$D,4,0)</f>
        <v>33.622493083850472</v>
      </c>
      <c r="E10" s="30"/>
      <c r="F10" s="10"/>
      <c r="G10" s="10"/>
      <c r="H10" s="10"/>
      <c r="I10" s="11"/>
      <c r="J10" s="11"/>
      <c r="K10" s="11"/>
      <c r="L10" s="11"/>
      <c r="M10" s="11"/>
      <c r="N10" s="11"/>
      <c r="O10" s="31">
        <f t="shared" ref="O10:X10" si="9">$D10*E10</f>
        <v>0</v>
      </c>
      <c r="P10" s="13">
        <f t="shared" si="9"/>
        <v>0</v>
      </c>
      <c r="Q10" s="13">
        <f t="shared" si="9"/>
        <v>0</v>
      </c>
      <c r="R10" s="13">
        <f t="shared" si="9"/>
        <v>0</v>
      </c>
      <c r="S10" s="13">
        <f t="shared" si="9"/>
        <v>0</v>
      </c>
      <c r="T10" s="13">
        <f t="shared" si="9"/>
        <v>0</v>
      </c>
      <c r="U10" s="13">
        <f t="shared" si="9"/>
        <v>0</v>
      </c>
      <c r="V10" s="13">
        <f t="shared" si="9"/>
        <v>0</v>
      </c>
      <c r="W10" s="13">
        <f t="shared" si="9"/>
        <v>0</v>
      </c>
      <c r="X10" s="13">
        <f t="shared" si="9"/>
        <v>0</v>
      </c>
      <c r="Y10" s="37">
        <f t="shared" si="2"/>
        <v>0</v>
      </c>
      <c r="Z10" s="13">
        <f t="shared" si="3"/>
        <v>0</v>
      </c>
    </row>
    <row r="11" spans="1:26" ht="15.75" customHeight="1" x14ac:dyDescent="0.4">
      <c r="A11" s="15">
        <v>8</v>
      </c>
      <c r="B11" s="16" t="s">
        <v>38</v>
      </c>
      <c r="C11" s="186" t="s">
        <v>39</v>
      </c>
      <c r="D11" s="17">
        <f>VLOOKUP(C11,'[1]PREÇO ATUAL'!$A:$D,4,0)</f>
        <v>342</v>
      </c>
      <c r="E11" s="35">
        <v>1.25</v>
      </c>
      <c r="F11" s="28">
        <v>1.45</v>
      </c>
      <c r="G11" s="28">
        <v>1.5</v>
      </c>
      <c r="H11" s="28">
        <v>1.7</v>
      </c>
      <c r="I11" s="29">
        <v>1.35</v>
      </c>
      <c r="J11" s="29">
        <v>2.75</v>
      </c>
      <c r="K11" s="29">
        <v>1.25</v>
      </c>
      <c r="L11" s="29">
        <v>1.7</v>
      </c>
      <c r="M11" s="29">
        <v>1.5</v>
      </c>
      <c r="N11" s="29">
        <v>1.6</v>
      </c>
      <c r="O11" s="33"/>
      <c r="P11" s="21">
        <f t="shared" ref="P11:X11" si="10">$D11*F11</f>
        <v>495.9</v>
      </c>
      <c r="Q11" s="21">
        <f t="shared" si="10"/>
        <v>513</v>
      </c>
      <c r="R11" s="21">
        <f t="shared" si="10"/>
        <v>581.4</v>
      </c>
      <c r="S11" s="21">
        <f t="shared" si="10"/>
        <v>461.70000000000005</v>
      </c>
      <c r="T11" s="21">
        <f t="shared" si="10"/>
        <v>940.5</v>
      </c>
      <c r="U11" s="21">
        <f t="shared" si="10"/>
        <v>427.5</v>
      </c>
      <c r="V11" s="21">
        <f t="shared" si="10"/>
        <v>581.4</v>
      </c>
      <c r="W11" s="21">
        <f t="shared" si="10"/>
        <v>513</v>
      </c>
      <c r="X11" s="21">
        <f t="shared" si="10"/>
        <v>547.20000000000005</v>
      </c>
      <c r="Y11" s="38">
        <f t="shared" si="2"/>
        <v>0.45128388017118398</v>
      </c>
      <c r="Z11" s="21">
        <f t="shared" si="3"/>
        <v>5061.5999999999995</v>
      </c>
    </row>
    <row r="12" spans="1:26" ht="15.75" customHeight="1" x14ac:dyDescent="0.4">
      <c r="H12" s="54"/>
    </row>
    <row r="13" spans="1:26" ht="15.75" customHeight="1" x14ac:dyDescent="0.4"/>
    <row r="14" spans="1:26" ht="15.75" customHeight="1" x14ac:dyDescent="0.4"/>
    <row r="15" spans="1:26" ht="15.75" customHeight="1" x14ac:dyDescent="0.4"/>
    <row r="16" spans="1:26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</sheetData>
  <mergeCells count="5">
    <mergeCell ref="A1:D2"/>
    <mergeCell ref="E1:N2"/>
    <mergeCell ref="O1:X1"/>
    <mergeCell ref="Y1:Z1"/>
    <mergeCell ref="Y2:Z2"/>
  </mergeCells>
  <pageMargins left="0.511811024" right="0.511811024" top="0.78740157499999996" bottom="0.78740157499999996" header="0" footer="0"/>
  <pageSetup paperSize="9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Planilha27">
    <tabColor rgb="FF00FF00"/>
  </sheetPr>
  <dimension ref="A1:Z961"/>
  <sheetViews>
    <sheetView showGridLines="0" workbookViewId="0">
      <pane xSplit="4" topLeftCell="E1" activePane="topRight" state="frozen"/>
      <selection activeCell="B23" sqref="B23"/>
      <selection pane="topRight" activeCell="C4" sqref="C4:C11"/>
    </sheetView>
  </sheetViews>
  <sheetFormatPr defaultColWidth="14.3828125" defaultRowHeight="15" customHeight="1" x14ac:dyDescent="0.4"/>
  <cols>
    <col min="1" max="1" width="3.3046875" customWidth="1"/>
    <col min="2" max="2" width="51.3046875" customWidth="1"/>
    <col min="3" max="3" width="16.84375" customWidth="1"/>
    <col min="4" max="4" width="8.69140625" customWidth="1"/>
    <col min="5" max="5" width="6.53515625" customWidth="1"/>
    <col min="6" max="13" width="5.3828125" customWidth="1"/>
    <col min="14" max="14" width="5.53515625" customWidth="1"/>
    <col min="15" max="15" width="15" customWidth="1"/>
    <col min="16" max="16" width="16.84375" customWidth="1"/>
    <col min="17" max="17" width="17.15234375" customWidth="1"/>
    <col min="18" max="18" width="16.84375" customWidth="1"/>
    <col min="19" max="19" width="17.15234375" customWidth="1"/>
    <col min="20" max="20" width="16.84375" customWidth="1"/>
    <col min="21" max="21" width="17.15234375" customWidth="1"/>
    <col min="22" max="22" width="16.84375" customWidth="1"/>
    <col min="23" max="23" width="17.15234375" customWidth="1"/>
    <col min="24" max="24" width="16.84375" customWidth="1"/>
    <col min="25" max="25" width="13.69140625" customWidth="1"/>
    <col min="26" max="26" width="15.53515625" customWidth="1"/>
  </cols>
  <sheetData>
    <row r="1" spans="1:26" ht="15.75" customHeight="1" x14ac:dyDescent="0.4">
      <c r="A1" s="222" t="s">
        <v>154</v>
      </c>
      <c r="B1" s="223"/>
      <c r="C1" s="223"/>
      <c r="D1" s="234"/>
      <c r="E1" s="226" t="s">
        <v>3</v>
      </c>
      <c r="F1" s="223"/>
      <c r="G1" s="223"/>
      <c r="H1" s="223"/>
      <c r="I1" s="223"/>
      <c r="J1" s="223"/>
      <c r="K1" s="223"/>
      <c r="L1" s="223"/>
      <c r="M1" s="223"/>
      <c r="N1" s="234"/>
      <c r="O1" s="230" t="s">
        <v>4</v>
      </c>
      <c r="P1" s="237"/>
      <c r="Q1" s="237"/>
      <c r="R1" s="237"/>
      <c r="S1" s="237"/>
      <c r="T1" s="237"/>
      <c r="U1" s="237"/>
      <c r="V1" s="237"/>
      <c r="W1" s="237"/>
      <c r="X1" s="238"/>
      <c r="Y1" s="219" t="s">
        <v>5</v>
      </c>
      <c r="Z1" s="220"/>
    </row>
    <row r="2" spans="1:26" ht="15" customHeight="1" x14ac:dyDescent="0.4">
      <c r="A2" s="224"/>
      <c r="B2" s="225"/>
      <c r="C2" s="225"/>
      <c r="D2" s="235"/>
      <c r="E2" s="236"/>
      <c r="F2" s="225"/>
      <c r="G2" s="225"/>
      <c r="H2" s="225"/>
      <c r="I2" s="225"/>
      <c r="J2" s="225"/>
      <c r="K2" s="225"/>
      <c r="L2" s="225"/>
      <c r="M2" s="225"/>
      <c r="N2" s="235"/>
      <c r="O2" s="2">
        <f>MROUND(SUM(O4:O11),1)</f>
        <v>542</v>
      </c>
      <c r="P2" s="2">
        <f t="shared" ref="P2:X2" si="0">MROUND(SUM(P4:P11),1)</f>
        <v>1139</v>
      </c>
      <c r="Q2" s="2">
        <f t="shared" si="0"/>
        <v>987</v>
      </c>
      <c r="R2" s="2">
        <f t="shared" si="0"/>
        <v>1157</v>
      </c>
      <c r="S2" s="2">
        <f t="shared" si="0"/>
        <v>1089</v>
      </c>
      <c r="T2" s="2">
        <f t="shared" si="0"/>
        <v>2363</v>
      </c>
      <c r="U2" s="2">
        <f t="shared" si="0"/>
        <v>987</v>
      </c>
      <c r="V2" s="2">
        <f t="shared" si="0"/>
        <v>1157</v>
      </c>
      <c r="W2" s="2">
        <f t="shared" si="0"/>
        <v>987</v>
      </c>
      <c r="X2" s="2">
        <f t="shared" si="0"/>
        <v>1276</v>
      </c>
      <c r="Y2" s="221">
        <f>SUM(O2:X2)</f>
        <v>11684</v>
      </c>
      <c r="Z2" s="220"/>
    </row>
    <row r="3" spans="1:26" ht="15.75" customHeight="1" x14ac:dyDescent="0.4">
      <c r="A3" s="3" t="s">
        <v>6</v>
      </c>
      <c r="B3" s="3" t="s">
        <v>7</v>
      </c>
      <c r="C3" s="3" t="s">
        <v>8</v>
      </c>
      <c r="D3" s="4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18</v>
      </c>
      <c r="N3" s="5" t="s">
        <v>19</v>
      </c>
      <c r="O3" s="36">
        <v>10000</v>
      </c>
      <c r="P3" s="36">
        <v>20000</v>
      </c>
      <c r="Q3" s="36">
        <v>30000</v>
      </c>
      <c r="R3" s="36">
        <v>40000</v>
      </c>
      <c r="S3" s="36">
        <v>50000</v>
      </c>
      <c r="T3" s="36">
        <v>60000</v>
      </c>
      <c r="U3" s="36">
        <v>70000</v>
      </c>
      <c r="V3" s="36">
        <v>80000</v>
      </c>
      <c r="W3" s="36">
        <v>90000</v>
      </c>
      <c r="X3" s="36">
        <v>100000</v>
      </c>
      <c r="Y3" s="6" t="s">
        <v>20</v>
      </c>
      <c r="Z3" s="3" t="s">
        <v>21</v>
      </c>
    </row>
    <row r="4" spans="1:26" ht="15.75" customHeight="1" x14ac:dyDescent="0.4">
      <c r="A4" s="7">
        <v>1</v>
      </c>
      <c r="B4" s="8" t="s">
        <v>155</v>
      </c>
      <c r="C4" s="185" t="s">
        <v>56</v>
      </c>
      <c r="D4" s="9">
        <f>VLOOKUP(C4,'[1]PREÇO ATUAL'!$A:$D,4,0)</f>
        <v>42.9</v>
      </c>
      <c r="E4" s="57">
        <v>1</v>
      </c>
      <c r="F4" s="10">
        <v>1</v>
      </c>
      <c r="G4" s="10">
        <v>1</v>
      </c>
      <c r="H4" s="10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2">
        <v>1</v>
      </c>
      <c r="O4" s="58">
        <f t="shared" ref="O4:X4" si="1">$D4*E4</f>
        <v>42.9</v>
      </c>
      <c r="P4" s="13">
        <f t="shared" si="1"/>
        <v>42.9</v>
      </c>
      <c r="Q4" s="13">
        <f t="shared" si="1"/>
        <v>42.9</v>
      </c>
      <c r="R4" s="13">
        <f t="shared" si="1"/>
        <v>42.9</v>
      </c>
      <c r="S4" s="13">
        <f t="shared" si="1"/>
        <v>42.9</v>
      </c>
      <c r="T4" s="13">
        <f t="shared" si="1"/>
        <v>42.9</v>
      </c>
      <c r="U4" s="13">
        <f t="shared" si="1"/>
        <v>42.9</v>
      </c>
      <c r="V4" s="13">
        <f t="shared" si="1"/>
        <v>42.9</v>
      </c>
      <c r="W4" s="13">
        <f t="shared" si="1"/>
        <v>42.9</v>
      </c>
      <c r="X4" s="13">
        <f t="shared" si="1"/>
        <v>42.9</v>
      </c>
      <c r="Y4" s="37">
        <f t="shared" ref="Y4:Y11" si="2">Z4/$Y$2</f>
        <v>3.6716877781581642E-2</v>
      </c>
      <c r="Z4" s="13">
        <f t="shared" ref="Z4:Z11" si="3">SUM(O4:X4)</f>
        <v>428.99999999999989</v>
      </c>
    </row>
    <row r="5" spans="1:26" ht="15.75" customHeight="1" x14ac:dyDescent="0.4">
      <c r="A5" s="15">
        <v>2</v>
      </c>
      <c r="B5" s="16" t="s">
        <v>72</v>
      </c>
      <c r="C5" s="186" t="s">
        <v>25</v>
      </c>
      <c r="D5" s="17">
        <f>VLOOKUP(C5,'[1]PREÇO ATUAL'!$A:$D,4,0)</f>
        <v>35.9</v>
      </c>
      <c r="E5" s="59">
        <v>1</v>
      </c>
      <c r="F5" s="18">
        <v>1</v>
      </c>
      <c r="G5" s="18">
        <v>1</v>
      </c>
      <c r="H5" s="18">
        <v>1</v>
      </c>
      <c r="I5" s="19">
        <v>1</v>
      </c>
      <c r="J5" s="19">
        <v>1</v>
      </c>
      <c r="K5" s="19">
        <v>1</v>
      </c>
      <c r="L5" s="19">
        <v>1</v>
      </c>
      <c r="M5" s="19">
        <v>1</v>
      </c>
      <c r="N5" s="20">
        <v>1</v>
      </c>
      <c r="O5" s="60">
        <f t="shared" ref="O5:X5" si="4">$D5*E5</f>
        <v>35.9</v>
      </c>
      <c r="P5" s="21">
        <f t="shared" si="4"/>
        <v>35.9</v>
      </c>
      <c r="Q5" s="21">
        <f t="shared" si="4"/>
        <v>35.9</v>
      </c>
      <c r="R5" s="21">
        <f t="shared" si="4"/>
        <v>35.9</v>
      </c>
      <c r="S5" s="21">
        <f t="shared" si="4"/>
        <v>35.9</v>
      </c>
      <c r="T5" s="21">
        <f t="shared" si="4"/>
        <v>35.9</v>
      </c>
      <c r="U5" s="21">
        <f t="shared" si="4"/>
        <v>35.9</v>
      </c>
      <c r="V5" s="21">
        <f t="shared" si="4"/>
        <v>35.9</v>
      </c>
      <c r="W5" s="21">
        <f t="shared" si="4"/>
        <v>35.9</v>
      </c>
      <c r="X5" s="21">
        <f t="shared" si="4"/>
        <v>35.9</v>
      </c>
      <c r="Y5" s="38">
        <f t="shared" si="2"/>
        <v>3.0725778842862029E-2</v>
      </c>
      <c r="Z5" s="21">
        <f t="shared" si="3"/>
        <v>358.99999999999994</v>
      </c>
    </row>
    <row r="6" spans="1:26" ht="15.75" customHeight="1" x14ac:dyDescent="0.4">
      <c r="A6" s="7">
        <v>3</v>
      </c>
      <c r="B6" s="8" t="s">
        <v>156</v>
      </c>
      <c r="C6" s="185" t="s">
        <v>157</v>
      </c>
      <c r="D6" s="9">
        <f>VLOOKUP(C6,'[1]PREÇO ATUAL'!$A:$D,4,0)</f>
        <v>101.54</v>
      </c>
      <c r="E6" s="57"/>
      <c r="F6" s="10">
        <v>1</v>
      </c>
      <c r="G6" s="10"/>
      <c r="H6" s="10">
        <v>1</v>
      </c>
      <c r="I6" s="11"/>
      <c r="J6" s="11">
        <v>1</v>
      </c>
      <c r="K6" s="11"/>
      <c r="L6" s="11">
        <v>1</v>
      </c>
      <c r="M6" s="11"/>
      <c r="N6" s="12">
        <v>1</v>
      </c>
      <c r="O6" s="58">
        <f t="shared" ref="O6:X6" si="5">$D6*E6</f>
        <v>0</v>
      </c>
      <c r="P6" s="13">
        <f t="shared" si="5"/>
        <v>101.54</v>
      </c>
      <c r="Q6" s="13">
        <f t="shared" si="5"/>
        <v>0</v>
      </c>
      <c r="R6" s="13">
        <f t="shared" si="5"/>
        <v>101.54</v>
      </c>
      <c r="S6" s="13">
        <f t="shared" si="5"/>
        <v>0</v>
      </c>
      <c r="T6" s="13">
        <f t="shared" si="5"/>
        <v>101.54</v>
      </c>
      <c r="U6" s="13">
        <f t="shared" si="5"/>
        <v>0</v>
      </c>
      <c r="V6" s="13">
        <f t="shared" si="5"/>
        <v>101.54</v>
      </c>
      <c r="W6" s="13">
        <f t="shared" si="5"/>
        <v>0</v>
      </c>
      <c r="X6" s="13">
        <f t="shared" si="5"/>
        <v>101.54</v>
      </c>
      <c r="Y6" s="37">
        <f t="shared" si="2"/>
        <v>4.3452584731256426E-2</v>
      </c>
      <c r="Z6" s="13">
        <f t="shared" si="3"/>
        <v>507.70000000000005</v>
      </c>
    </row>
    <row r="7" spans="1:26" ht="15.75" customHeight="1" x14ac:dyDescent="0.4">
      <c r="A7" s="15">
        <v>4</v>
      </c>
      <c r="B7" s="16" t="s">
        <v>158</v>
      </c>
      <c r="C7" s="186" t="s">
        <v>60</v>
      </c>
      <c r="D7" s="17">
        <f>VLOOKUP(C7,'[1]PREÇO ATUAL'!$A:$D,4,0)</f>
        <v>119.9</v>
      </c>
      <c r="E7" s="59"/>
      <c r="F7" s="18"/>
      <c r="G7" s="18"/>
      <c r="H7" s="18"/>
      <c r="I7" s="19"/>
      <c r="J7" s="19">
        <v>4</v>
      </c>
      <c r="K7" s="19"/>
      <c r="L7" s="19"/>
      <c r="M7" s="19"/>
      <c r="N7" s="20"/>
      <c r="O7" s="60">
        <f t="shared" ref="O7:X7" si="6">$D7*E7</f>
        <v>0</v>
      </c>
      <c r="P7" s="21">
        <f t="shared" si="6"/>
        <v>0</v>
      </c>
      <c r="Q7" s="21">
        <f t="shared" si="6"/>
        <v>0</v>
      </c>
      <c r="R7" s="21">
        <f t="shared" si="6"/>
        <v>0</v>
      </c>
      <c r="S7" s="21">
        <f t="shared" si="6"/>
        <v>0</v>
      </c>
      <c r="T7" s="21">
        <f t="shared" si="6"/>
        <v>479.6</v>
      </c>
      <c r="U7" s="21">
        <f t="shared" si="6"/>
        <v>0</v>
      </c>
      <c r="V7" s="21">
        <f t="shared" si="6"/>
        <v>0</v>
      </c>
      <c r="W7" s="21">
        <f t="shared" si="6"/>
        <v>0</v>
      </c>
      <c r="X7" s="21">
        <f t="shared" si="6"/>
        <v>0</v>
      </c>
      <c r="Y7" s="38">
        <f t="shared" si="2"/>
        <v>4.1047586442998975E-2</v>
      </c>
      <c r="Z7" s="21">
        <f t="shared" si="3"/>
        <v>479.6</v>
      </c>
    </row>
    <row r="8" spans="1:26" ht="15.75" customHeight="1" x14ac:dyDescent="0.4">
      <c r="A8" s="7">
        <v>5</v>
      </c>
      <c r="B8" s="8" t="s">
        <v>159</v>
      </c>
      <c r="C8" s="185" t="s">
        <v>62</v>
      </c>
      <c r="D8" s="9">
        <f>VLOOKUP(C8,'[1]PREÇO ATUAL'!$A:$D,4,0)</f>
        <v>179.9</v>
      </c>
      <c r="E8" s="57"/>
      <c r="F8" s="10"/>
      <c r="G8" s="10"/>
      <c r="H8" s="10"/>
      <c r="I8" s="11"/>
      <c r="J8" s="11">
        <v>1</v>
      </c>
      <c r="K8" s="11"/>
      <c r="L8" s="11"/>
      <c r="M8" s="11"/>
      <c r="N8" s="12"/>
      <c r="O8" s="58">
        <f t="shared" ref="O8:X8" si="7">$D8*E8</f>
        <v>0</v>
      </c>
      <c r="P8" s="13">
        <f t="shared" si="7"/>
        <v>0</v>
      </c>
      <c r="Q8" s="13">
        <f t="shared" si="7"/>
        <v>0</v>
      </c>
      <c r="R8" s="13">
        <f t="shared" si="7"/>
        <v>0</v>
      </c>
      <c r="S8" s="13">
        <f t="shared" si="7"/>
        <v>0</v>
      </c>
      <c r="T8" s="13">
        <f t="shared" si="7"/>
        <v>179.9</v>
      </c>
      <c r="U8" s="13">
        <f t="shared" si="7"/>
        <v>0</v>
      </c>
      <c r="V8" s="13">
        <f t="shared" si="7"/>
        <v>0</v>
      </c>
      <c r="W8" s="13">
        <f t="shared" si="7"/>
        <v>0</v>
      </c>
      <c r="X8" s="13">
        <f t="shared" si="7"/>
        <v>0</v>
      </c>
      <c r="Y8" s="37">
        <f t="shared" si="2"/>
        <v>1.5397124272509414E-2</v>
      </c>
      <c r="Z8" s="13">
        <f t="shared" si="3"/>
        <v>179.9</v>
      </c>
    </row>
    <row r="9" spans="1:26" ht="15.75" customHeight="1" x14ac:dyDescent="0.4">
      <c r="A9" s="15">
        <v>6</v>
      </c>
      <c r="B9" s="16" t="s">
        <v>160</v>
      </c>
      <c r="C9" s="186" t="s">
        <v>161</v>
      </c>
      <c r="D9" s="17">
        <f>VLOOKUP(C9,'[1]PREÇO ATUAL'!$A:$D,4,0)</f>
        <v>45.09</v>
      </c>
      <c r="E9" s="59"/>
      <c r="F9" s="18"/>
      <c r="G9" s="18"/>
      <c r="H9" s="18"/>
      <c r="I9" s="19"/>
      <c r="J9" s="19"/>
      <c r="K9" s="19"/>
      <c r="L9" s="19"/>
      <c r="M9" s="19"/>
      <c r="N9" s="20"/>
      <c r="O9" s="60">
        <f t="shared" ref="O9:X9" si="8">$D9*E9</f>
        <v>0</v>
      </c>
      <c r="P9" s="21">
        <f t="shared" si="8"/>
        <v>0</v>
      </c>
      <c r="Q9" s="21">
        <f t="shared" si="8"/>
        <v>0</v>
      </c>
      <c r="R9" s="21">
        <f t="shared" si="8"/>
        <v>0</v>
      </c>
      <c r="S9" s="21">
        <f t="shared" si="8"/>
        <v>0</v>
      </c>
      <c r="T9" s="21">
        <f t="shared" si="8"/>
        <v>0</v>
      </c>
      <c r="U9" s="21">
        <f t="shared" si="8"/>
        <v>0</v>
      </c>
      <c r="V9" s="21">
        <f t="shared" si="8"/>
        <v>0</v>
      </c>
      <c r="W9" s="21">
        <f t="shared" si="8"/>
        <v>0</v>
      </c>
      <c r="X9" s="21">
        <f t="shared" si="8"/>
        <v>0</v>
      </c>
      <c r="Y9" s="38">
        <f t="shared" si="2"/>
        <v>0</v>
      </c>
      <c r="Z9" s="21">
        <f t="shared" si="3"/>
        <v>0</v>
      </c>
    </row>
    <row r="10" spans="1:26" ht="15.75" customHeight="1" x14ac:dyDescent="0.4">
      <c r="A10" s="7">
        <v>7</v>
      </c>
      <c r="B10" s="8" t="s">
        <v>63</v>
      </c>
      <c r="C10" s="185" t="s">
        <v>64</v>
      </c>
      <c r="D10" s="9">
        <f>VLOOKUP(C10,'[1]PREÇO ATUAL'!$A:$D,4,0)</f>
        <v>98.56222158238279</v>
      </c>
      <c r="E10" s="61">
        <v>4.7</v>
      </c>
      <c r="F10" s="48">
        <v>4.7</v>
      </c>
      <c r="G10" s="48">
        <v>4.7</v>
      </c>
      <c r="H10" s="48">
        <v>4.7</v>
      </c>
      <c r="I10" s="48">
        <v>4.7</v>
      </c>
      <c r="J10" s="48">
        <v>4.7</v>
      </c>
      <c r="K10" s="48">
        <v>4.7</v>
      </c>
      <c r="L10" s="48">
        <v>4.7</v>
      </c>
      <c r="M10" s="48">
        <v>4.7</v>
      </c>
      <c r="N10" s="48">
        <v>4.7</v>
      </c>
      <c r="O10" s="58">
        <f t="shared" ref="O10:X10" si="9">$D10*E10</f>
        <v>463.24244143719915</v>
      </c>
      <c r="P10" s="13">
        <f t="shared" si="9"/>
        <v>463.24244143719915</v>
      </c>
      <c r="Q10" s="13">
        <f t="shared" si="9"/>
        <v>463.24244143719915</v>
      </c>
      <c r="R10" s="13">
        <f t="shared" si="9"/>
        <v>463.24244143719915</v>
      </c>
      <c r="S10" s="13">
        <f t="shared" si="9"/>
        <v>463.24244143719915</v>
      </c>
      <c r="T10" s="13">
        <f t="shared" si="9"/>
        <v>463.24244143719915</v>
      </c>
      <c r="U10" s="13">
        <f t="shared" si="9"/>
        <v>463.24244143719915</v>
      </c>
      <c r="V10" s="13">
        <f t="shared" si="9"/>
        <v>463.24244143719915</v>
      </c>
      <c r="W10" s="13">
        <f t="shared" si="9"/>
        <v>463.24244143719915</v>
      </c>
      <c r="X10" s="13">
        <f t="shared" si="9"/>
        <v>463.24244143719915</v>
      </c>
      <c r="Y10" s="37">
        <f t="shared" si="2"/>
        <v>0.39647589989489823</v>
      </c>
      <c r="Z10" s="13">
        <f t="shared" si="3"/>
        <v>4632.4244143719907</v>
      </c>
    </row>
    <row r="11" spans="1:26" ht="15.75" customHeight="1" x14ac:dyDescent="0.4">
      <c r="A11" s="15">
        <v>8</v>
      </c>
      <c r="B11" s="16" t="s">
        <v>38</v>
      </c>
      <c r="C11" s="186" t="s">
        <v>39</v>
      </c>
      <c r="D11" s="17">
        <f>VLOOKUP(C11,'[1]PREÇO ATUAL'!$A:$D,4,0)</f>
        <v>342</v>
      </c>
      <c r="E11" s="62">
        <v>1.25</v>
      </c>
      <c r="F11" s="24">
        <v>1.45</v>
      </c>
      <c r="G11" s="24">
        <v>1.3</v>
      </c>
      <c r="H11" s="24">
        <v>1.5</v>
      </c>
      <c r="I11" s="17">
        <v>1.6</v>
      </c>
      <c r="J11" s="17">
        <v>3.1</v>
      </c>
      <c r="K11" s="17">
        <v>1.3</v>
      </c>
      <c r="L11" s="17">
        <v>1.5</v>
      </c>
      <c r="M11" s="17">
        <v>1.3</v>
      </c>
      <c r="N11" s="25">
        <v>1.85</v>
      </c>
      <c r="O11" s="60"/>
      <c r="P11" s="21">
        <f t="shared" ref="P11:X11" si="10">$D11*F11</f>
        <v>495.9</v>
      </c>
      <c r="Q11" s="21">
        <f t="shared" si="10"/>
        <v>444.6</v>
      </c>
      <c r="R11" s="21">
        <f t="shared" si="10"/>
        <v>513</v>
      </c>
      <c r="S11" s="21">
        <f t="shared" si="10"/>
        <v>547.20000000000005</v>
      </c>
      <c r="T11" s="21">
        <f t="shared" si="10"/>
        <v>1060.2</v>
      </c>
      <c r="U11" s="21">
        <f t="shared" si="10"/>
        <v>444.6</v>
      </c>
      <c r="V11" s="21">
        <f t="shared" si="10"/>
        <v>513</v>
      </c>
      <c r="W11" s="21">
        <f t="shared" si="10"/>
        <v>444.6</v>
      </c>
      <c r="X11" s="21">
        <f t="shared" si="10"/>
        <v>632.70000000000005</v>
      </c>
      <c r="Y11" s="38">
        <f t="shared" si="2"/>
        <v>0.4361348853132489</v>
      </c>
      <c r="Z11" s="21">
        <f t="shared" si="3"/>
        <v>5095.8</v>
      </c>
    </row>
    <row r="12" spans="1:26" ht="17.25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63"/>
      <c r="P12" s="63"/>
      <c r="Q12" s="63"/>
      <c r="R12" s="63"/>
      <c r="S12" s="63"/>
      <c r="T12" s="63"/>
      <c r="U12" s="63"/>
      <c r="V12" s="63"/>
      <c r="W12" s="63"/>
      <c r="X12" s="63"/>
    </row>
    <row r="13" spans="1:26" ht="15.75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6" ht="15.75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6" ht="15.75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6" ht="15.75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.75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.75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.75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75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75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75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75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75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75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75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75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75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75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75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.75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.75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.75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75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75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75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.75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75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75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75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75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.75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75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75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75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75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75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75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75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.75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75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7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7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7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.7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.7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.7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.7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.7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.7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.7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.7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.7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.7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.7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.7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.7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.7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.7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.7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.7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.7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.7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.7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.7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.7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.7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.7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.7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.7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.7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.75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.75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.75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.75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.75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75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75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75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.75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.75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75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75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.75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75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75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75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75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75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75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75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75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75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75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75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75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75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75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75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75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75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75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75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75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75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75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75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75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.75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.75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.75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.75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.75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.75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.75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.75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.75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.75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.75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.75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.75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.75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.75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.75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.75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.75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.75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.75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.75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.75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.75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.75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.75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.75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.75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.75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.75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.75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.75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.75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.75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.75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.75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.75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.75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.75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.75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.75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.75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.75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75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.75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75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.75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.75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.75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.75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.75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.75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.75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.75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.75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.75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.75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.75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.75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.75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.75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.75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.75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.75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.75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.75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.75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.75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.75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.75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.75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.75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.75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.75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.75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.75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.75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.75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.75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.75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.75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.75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.75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.75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.75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.75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.75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.75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.75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.75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.75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.75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.75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.75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5.75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.75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.75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.75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.75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.75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.75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5.75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.75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.75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.75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.75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.75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.75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.75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5.75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5.75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.75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.75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.75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.75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.75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.75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.75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.75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.75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.75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.75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.75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.75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.75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.75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.75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.75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.75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.75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.75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.75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.75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.75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.75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.75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.75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.75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.75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.75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.75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.75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.75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.75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.75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.75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.75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.75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.75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.75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.75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.75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.75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.75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.75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.75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.75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.75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.75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.75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.75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.75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.75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.75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.75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.75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.75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.75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.75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.75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.75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.75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.75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.75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.75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.75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.75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.75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.75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.75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.75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.75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.75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.75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.75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.75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.75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5.75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5.75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.75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.75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.75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.75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.75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.75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.75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.75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.75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.75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.75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.75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.75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.75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.75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.75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.75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.75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.75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.75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.75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.75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.75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.75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.75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.75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.75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.75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.75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.75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.75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.75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.75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.75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.75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.75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.75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.75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.75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.75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.75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.75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.75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.75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.75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.75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.75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.75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.75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.75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.75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.75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.75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.75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.75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.75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.75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.75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.75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.75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.75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.75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.75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.75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.75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.75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.75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.75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.75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.75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.75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.75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.75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.75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.75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.75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.75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.75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.75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.75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.75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.75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.75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.75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.75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.75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.75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.75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.75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.75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.75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.75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.75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.75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.75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.75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.75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.75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.75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.75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.75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.75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.75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.75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.75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.75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.75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.75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.75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.75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.75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.75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.75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.75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.75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.75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.75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.75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.75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.75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.75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.75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.75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.75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.75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.75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.75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.75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.75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.75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.75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.75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.75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.75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.75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5.75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5.75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5.75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5.75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5.75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5.75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5.75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5.75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5.75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5.75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5.75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5.75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5.75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5.75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5.75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5.75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5.75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5.75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5.75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5.75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5.75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5.75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5.75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5.75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5.75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5.75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5.75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5.75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5.75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5.75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5.75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5.75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5.75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5.75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5.75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5.75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5.75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5.75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5.75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5.75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5.75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5.75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5.75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5.75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5.75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5.75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5.75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5.75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5.75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5.75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5.75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5.75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5.75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5.75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5.75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5.75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5.75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5.75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5.75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5.75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5.75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5.75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5.75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5.75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5.75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5.75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5.75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5.75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5.75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5.75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5.75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5.75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5.75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5.75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5.75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5.75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5.75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5.75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5.75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5.75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5.75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5.75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5.75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5.75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5.75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5.75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5.75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5.75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5.75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5.75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5.75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5.75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5.75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5.75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5.75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5.75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5.75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5.75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5.75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5.75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5.75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5.75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5.75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5.75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5.75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5.75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5.75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5.75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5.75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5.75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5.75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5.75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5.75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5.75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5.75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5.75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5.75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5.75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5.75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5.75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5.75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5.75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5.75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5.75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5.75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5.75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5.75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5.75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5.75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5.75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5.75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5.75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5.75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5.75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5.75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5.75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5.75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5.75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5.75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5.75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5.75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5.75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5.75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5.75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5.75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5.75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5.75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5.75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5.75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5.75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5.75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5.75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5.75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5.75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5.75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5.75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5.75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5.75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5.75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5.75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5.75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5.75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5.75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5.75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5.75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5.75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5.75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5.75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5.75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5.75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5.75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5.75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5.75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5.75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5.75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5.75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5.75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5.75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5.75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5.75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5.75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5.75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5.75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5.75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5.75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5.75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5.75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5.75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5.75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5.75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5.75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5.75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5.75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5.75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5.75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5.75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5.75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5.75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5.75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5.75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5.75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5.75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5.75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5.75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5.75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5.75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5.75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5.75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5.75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5.75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5.75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5.75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5.75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5.75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5.75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5.75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5.75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5.75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5.75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5.75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5.75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5.75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5.75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5.75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5.75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5.75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5.75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5.75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5.75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5.75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5.75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5.75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5.75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5.75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5.75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5.75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5.75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5.75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5.75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5.75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5.75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5.75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5.75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5.75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5.75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5.75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5.75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5.75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5.75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5.75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5.75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5.75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5.75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5.75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5.75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5.75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5.75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5.75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5.75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5.75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5.75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5.75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5.75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5.75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5.75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5.75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5.75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5.75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5.75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5.75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5.75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5.75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5.75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5.75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5.75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5.75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5.75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5.75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5.75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5.75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5.75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5.75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5.75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5.75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5.75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5.75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5.75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5.75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5.75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5.75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5.75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5.75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5.75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5.75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5.75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5.75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5.75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5.75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5.75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5.75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5.75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5.75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5.75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5.75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5.75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5.75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5.75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5.75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5.75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5.75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5.75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5.75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5.75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5.75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5.75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5.75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5.75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5.75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5.75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5.75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5.75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5.75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5.75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5.75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5.75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5.75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5.75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5.75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5.75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5.75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5.75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5.75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5.75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5.75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5.75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5.75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5.75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5.75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5.75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5.75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5.75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5.75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5.75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5.75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5.75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5.75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5.75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5.75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5.75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5.75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5.75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5.75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5.75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5.75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5.75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5.75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5.75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5.75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5.75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5.75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5.75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5.75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5.75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5.75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5.75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5.75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5.75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5.75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5.75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5.75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5.75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5.75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5.75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5.75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5.75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5.75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5.75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5.75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5.75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5.75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5.75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5.75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5.75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5.75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5.75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5.75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5.75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5.75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5.75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5.75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5.75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5.75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5.75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5.75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5.75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5.75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5.75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5.75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5.75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5.75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5.75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5.75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5.75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5.75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5.75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5.75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5.75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5.75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5.75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5.75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5.75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5.75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5.75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5.75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5.75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5.75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5.75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5.75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5.75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5.75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5.75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5.75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5.75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5.75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5.75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5.75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5.75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5.75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5.75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5.75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5.75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5.75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5.75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5.75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5.75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5.75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5.75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5.75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5.75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5.75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5.75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5.75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5.75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5.75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5.75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5.75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5.75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5.75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5.75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5.75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5.75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5.75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5.75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5.75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5.75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5.75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5.75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5.75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5.75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5.75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5.75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5.75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</sheetData>
  <mergeCells count="5">
    <mergeCell ref="A1:D2"/>
    <mergeCell ref="E1:N2"/>
    <mergeCell ref="O1:X1"/>
    <mergeCell ref="Y1:Z1"/>
    <mergeCell ref="Y2:Z2"/>
  </mergeCells>
  <pageMargins left="0.511811024" right="0.511811024" top="0.78740157499999996" bottom="0.78740157499999996" header="0" footer="0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Planilha28">
    <tabColor rgb="FF00FF00"/>
  </sheetPr>
  <dimension ref="A1:Z961"/>
  <sheetViews>
    <sheetView showGridLines="0" workbookViewId="0">
      <pane xSplit="4" topLeftCell="E1" activePane="topRight" state="frozen"/>
      <selection activeCell="B23" sqref="B23"/>
      <selection pane="topRight" activeCell="O25" sqref="O25"/>
    </sheetView>
  </sheetViews>
  <sheetFormatPr defaultColWidth="14.3828125" defaultRowHeight="15" customHeight="1" x14ac:dyDescent="0.4"/>
  <cols>
    <col min="1" max="1" width="3.3046875" customWidth="1"/>
    <col min="2" max="2" width="51.3046875" customWidth="1"/>
    <col min="3" max="3" width="16.84375" customWidth="1"/>
    <col min="4" max="4" width="8.69140625" customWidth="1"/>
    <col min="5" max="5" width="6.53515625" customWidth="1"/>
    <col min="6" max="13" width="5.3828125" customWidth="1"/>
    <col min="14" max="14" width="5.53515625" customWidth="1"/>
    <col min="15" max="15" width="15" customWidth="1"/>
    <col min="16" max="16" width="16.84375" customWidth="1"/>
    <col min="17" max="17" width="17.15234375" customWidth="1"/>
    <col min="18" max="18" width="16.84375" customWidth="1"/>
    <col min="19" max="19" width="17.15234375" customWidth="1"/>
    <col min="20" max="20" width="16.84375" customWidth="1"/>
    <col min="21" max="21" width="17.15234375" customWidth="1"/>
    <col min="22" max="22" width="16.84375" customWidth="1"/>
    <col min="23" max="23" width="17.15234375" customWidth="1"/>
    <col min="24" max="24" width="16.84375" customWidth="1"/>
    <col min="25" max="25" width="13.69140625" customWidth="1"/>
    <col min="26" max="26" width="15.53515625" customWidth="1"/>
  </cols>
  <sheetData>
    <row r="1" spans="1:26" ht="15.75" customHeight="1" x14ac:dyDescent="0.4">
      <c r="A1" s="222" t="s">
        <v>162</v>
      </c>
      <c r="B1" s="223"/>
      <c r="C1" s="223"/>
      <c r="D1" s="234"/>
      <c r="E1" s="226" t="s">
        <v>3</v>
      </c>
      <c r="F1" s="223"/>
      <c r="G1" s="223"/>
      <c r="H1" s="223"/>
      <c r="I1" s="223"/>
      <c r="J1" s="223"/>
      <c r="K1" s="223"/>
      <c r="L1" s="223"/>
      <c r="M1" s="223"/>
      <c r="N1" s="234"/>
      <c r="O1" s="230" t="s">
        <v>4</v>
      </c>
      <c r="P1" s="237"/>
      <c r="Q1" s="237"/>
      <c r="R1" s="237"/>
      <c r="S1" s="237"/>
      <c r="T1" s="237"/>
      <c r="U1" s="237"/>
      <c r="V1" s="237"/>
      <c r="W1" s="237"/>
      <c r="X1" s="238"/>
      <c r="Y1" s="219" t="s">
        <v>5</v>
      </c>
      <c r="Z1" s="220"/>
    </row>
    <row r="2" spans="1:26" ht="15" customHeight="1" x14ac:dyDescent="0.4">
      <c r="A2" s="224"/>
      <c r="B2" s="225"/>
      <c r="C2" s="225"/>
      <c r="D2" s="235"/>
      <c r="E2" s="236"/>
      <c r="F2" s="225"/>
      <c r="G2" s="225"/>
      <c r="H2" s="225"/>
      <c r="I2" s="225"/>
      <c r="J2" s="225"/>
      <c r="K2" s="225"/>
      <c r="L2" s="225"/>
      <c r="M2" s="225"/>
      <c r="N2" s="235"/>
      <c r="O2" s="2">
        <f>MROUND(SUM(O4:O11),1)</f>
        <v>753</v>
      </c>
      <c r="P2" s="2">
        <f t="shared" ref="P2:X2" si="0">MROUND(SUM(P4:P11),1)</f>
        <v>1112</v>
      </c>
      <c r="Q2" s="2">
        <f t="shared" si="0"/>
        <v>1163</v>
      </c>
      <c r="R2" s="2">
        <f t="shared" si="0"/>
        <v>1197</v>
      </c>
      <c r="S2" s="2">
        <f t="shared" si="0"/>
        <v>1146</v>
      </c>
      <c r="T2" s="2">
        <f t="shared" si="0"/>
        <v>2555</v>
      </c>
      <c r="U2" s="2">
        <f t="shared" si="0"/>
        <v>1112</v>
      </c>
      <c r="V2" s="2">
        <f t="shared" si="0"/>
        <v>1197</v>
      </c>
      <c r="W2" s="2">
        <f t="shared" si="0"/>
        <v>1163</v>
      </c>
      <c r="X2" s="2">
        <f t="shared" si="0"/>
        <v>1146</v>
      </c>
      <c r="Y2" s="221">
        <f>SUM(O2:X2)</f>
        <v>12544</v>
      </c>
      <c r="Z2" s="220"/>
    </row>
    <row r="3" spans="1:26" ht="15.75" customHeight="1" x14ac:dyDescent="0.4">
      <c r="A3" s="3" t="s">
        <v>6</v>
      </c>
      <c r="B3" s="3" t="s">
        <v>7</v>
      </c>
      <c r="C3" s="3" t="s">
        <v>8</v>
      </c>
      <c r="D3" s="4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18</v>
      </c>
      <c r="N3" s="5" t="s">
        <v>19</v>
      </c>
      <c r="O3" s="36">
        <v>10000</v>
      </c>
      <c r="P3" s="36">
        <v>20000</v>
      </c>
      <c r="Q3" s="36">
        <v>30000</v>
      </c>
      <c r="R3" s="36">
        <v>40000</v>
      </c>
      <c r="S3" s="36">
        <v>50000</v>
      </c>
      <c r="T3" s="36">
        <v>60000</v>
      </c>
      <c r="U3" s="36">
        <v>70000</v>
      </c>
      <c r="V3" s="36">
        <v>80000</v>
      </c>
      <c r="W3" s="36">
        <v>90000</v>
      </c>
      <c r="X3" s="36">
        <v>100000</v>
      </c>
      <c r="Y3" s="6" t="s">
        <v>20</v>
      </c>
      <c r="Z3" s="3" t="s">
        <v>21</v>
      </c>
    </row>
    <row r="4" spans="1:26" ht="15.75" customHeight="1" x14ac:dyDescent="0.4">
      <c r="A4" s="7">
        <v>1</v>
      </c>
      <c r="B4" s="8" t="s">
        <v>155</v>
      </c>
      <c r="C4" s="185" t="s">
        <v>163</v>
      </c>
      <c r="D4" s="9">
        <f>VLOOKUP(C4,'[1]PREÇO ATUAL'!$A:$D,4,0)</f>
        <v>102.7</v>
      </c>
      <c r="E4" s="10">
        <v>1</v>
      </c>
      <c r="F4" s="10">
        <v>1</v>
      </c>
      <c r="G4" s="10">
        <v>1</v>
      </c>
      <c r="H4" s="10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2">
        <v>1</v>
      </c>
      <c r="O4" s="13">
        <f t="shared" ref="O4:X4" si="1">$D4*E4</f>
        <v>102.7</v>
      </c>
      <c r="P4" s="13">
        <f t="shared" si="1"/>
        <v>102.7</v>
      </c>
      <c r="Q4" s="13">
        <f t="shared" si="1"/>
        <v>102.7</v>
      </c>
      <c r="R4" s="13">
        <f t="shared" si="1"/>
        <v>102.7</v>
      </c>
      <c r="S4" s="13">
        <f t="shared" si="1"/>
        <v>102.7</v>
      </c>
      <c r="T4" s="13">
        <f t="shared" si="1"/>
        <v>102.7</v>
      </c>
      <c r="U4" s="13">
        <f t="shared" si="1"/>
        <v>102.7</v>
      </c>
      <c r="V4" s="13">
        <f t="shared" si="1"/>
        <v>102.7</v>
      </c>
      <c r="W4" s="13">
        <f t="shared" si="1"/>
        <v>102.7</v>
      </c>
      <c r="X4" s="13">
        <f t="shared" si="1"/>
        <v>102.7</v>
      </c>
      <c r="Y4" s="37">
        <f t="shared" ref="Y4:Y11" si="2">Z4/$Y$2</f>
        <v>8.1871811224489818E-2</v>
      </c>
      <c r="Z4" s="13">
        <f t="shared" ref="Z4:Z11" si="3">SUM(O4:X4)</f>
        <v>1027.0000000000002</v>
      </c>
    </row>
    <row r="5" spans="1:26" ht="15.75" customHeight="1" x14ac:dyDescent="0.4">
      <c r="A5" s="15">
        <v>2</v>
      </c>
      <c r="B5" s="16" t="s">
        <v>72</v>
      </c>
      <c r="C5" s="186" t="s">
        <v>25</v>
      </c>
      <c r="D5" s="17">
        <f>VLOOKUP(C5,'[1]PREÇO ATUAL'!$A:$D,4,0)</f>
        <v>35.9</v>
      </c>
      <c r="E5" s="18">
        <v>1</v>
      </c>
      <c r="F5" s="18">
        <v>1</v>
      </c>
      <c r="G5" s="18">
        <v>1</v>
      </c>
      <c r="H5" s="18">
        <v>1</v>
      </c>
      <c r="I5" s="19">
        <v>1</v>
      </c>
      <c r="J5" s="19">
        <v>1</v>
      </c>
      <c r="K5" s="19">
        <v>1</v>
      </c>
      <c r="L5" s="19">
        <v>1</v>
      </c>
      <c r="M5" s="19">
        <v>1</v>
      </c>
      <c r="N5" s="20">
        <v>1</v>
      </c>
      <c r="O5" s="21">
        <f t="shared" ref="O5:X5" si="4">$D5*E5</f>
        <v>35.9</v>
      </c>
      <c r="P5" s="21">
        <f t="shared" si="4"/>
        <v>35.9</v>
      </c>
      <c r="Q5" s="21">
        <f t="shared" si="4"/>
        <v>35.9</v>
      </c>
      <c r="R5" s="21">
        <f t="shared" si="4"/>
        <v>35.9</v>
      </c>
      <c r="S5" s="21">
        <f t="shared" si="4"/>
        <v>35.9</v>
      </c>
      <c r="T5" s="21">
        <f t="shared" si="4"/>
        <v>35.9</v>
      </c>
      <c r="U5" s="21">
        <f t="shared" si="4"/>
        <v>35.9</v>
      </c>
      <c r="V5" s="21">
        <f t="shared" si="4"/>
        <v>35.9</v>
      </c>
      <c r="W5" s="21">
        <f t="shared" si="4"/>
        <v>35.9</v>
      </c>
      <c r="X5" s="21">
        <f t="shared" si="4"/>
        <v>35.9</v>
      </c>
      <c r="Y5" s="38">
        <f t="shared" si="2"/>
        <v>2.8619260204081627E-2</v>
      </c>
      <c r="Z5" s="21">
        <f t="shared" si="3"/>
        <v>358.99999999999994</v>
      </c>
    </row>
    <row r="6" spans="1:26" ht="15.75" customHeight="1" x14ac:dyDescent="0.4">
      <c r="A6" s="7">
        <v>3</v>
      </c>
      <c r="B6" s="8" t="s">
        <v>156</v>
      </c>
      <c r="C6" s="185" t="s">
        <v>157</v>
      </c>
      <c r="D6" s="9">
        <f>VLOOKUP(C6,'[1]PREÇO ATUAL'!$A:$D,4,0)</f>
        <v>101.54</v>
      </c>
      <c r="E6" s="10">
        <v>1</v>
      </c>
      <c r="F6" s="10">
        <v>1</v>
      </c>
      <c r="G6" s="10">
        <v>1</v>
      </c>
      <c r="H6" s="10">
        <v>1</v>
      </c>
      <c r="I6" s="11">
        <v>1</v>
      </c>
      <c r="J6" s="11">
        <v>1</v>
      </c>
      <c r="K6" s="11">
        <v>1</v>
      </c>
      <c r="L6" s="11">
        <v>1</v>
      </c>
      <c r="M6" s="11">
        <v>1</v>
      </c>
      <c r="N6" s="12">
        <v>1</v>
      </c>
      <c r="O6" s="13">
        <f t="shared" ref="O6:X6" si="5">$D6*E6</f>
        <v>101.54</v>
      </c>
      <c r="P6" s="13">
        <f t="shared" si="5"/>
        <v>101.54</v>
      </c>
      <c r="Q6" s="13">
        <f t="shared" si="5"/>
        <v>101.54</v>
      </c>
      <c r="R6" s="13">
        <f t="shared" si="5"/>
        <v>101.54</v>
      </c>
      <c r="S6" s="13">
        <f t="shared" si="5"/>
        <v>101.54</v>
      </c>
      <c r="T6" s="13">
        <f t="shared" si="5"/>
        <v>101.54</v>
      </c>
      <c r="U6" s="13">
        <f t="shared" si="5"/>
        <v>101.54</v>
      </c>
      <c r="V6" s="13">
        <f t="shared" si="5"/>
        <v>101.54</v>
      </c>
      <c r="W6" s="13">
        <f t="shared" si="5"/>
        <v>101.54</v>
      </c>
      <c r="X6" s="13">
        <f t="shared" si="5"/>
        <v>101.54</v>
      </c>
      <c r="Y6" s="37">
        <f t="shared" si="2"/>
        <v>8.0947066326530606E-2</v>
      </c>
      <c r="Z6" s="13">
        <f t="shared" si="3"/>
        <v>1015.3999999999999</v>
      </c>
    </row>
    <row r="7" spans="1:26" ht="15.75" customHeight="1" x14ac:dyDescent="0.4">
      <c r="A7" s="15">
        <v>4</v>
      </c>
      <c r="B7" s="16" t="s">
        <v>158</v>
      </c>
      <c r="C7" s="186" t="s">
        <v>164</v>
      </c>
      <c r="D7" s="17">
        <f>VLOOKUP(C7,'[1]PREÇO ATUAL'!$A:$D,4,0)</f>
        <v>169.9</v>
      </c>
      <c r="E7" s="18"/>
      <c r="F7" s="18"/>
      <c r="G7" s="18"/>
      <c r="H7" s="18"/>
      <c r="I7" s="19"/>
      <c r="J7" s="19">
        <v>4</v>
      </c>
      <c r="K7" s="19"/>
      <c r="L7" s="19"/>
      <c r="M7" s="19"/>
      <c r="N7" s="20"/>
      <c r="O7" s="21">
        <f t="shared" ref="O7:X7" si="6">$D7*E7</f>
        <v>0</v>
      </c>
      <c r="P7" s="21">
        <f t="shared" si="6"/>
        <v>0</v>
      </c>
      <c r="Q7" s="21">
        <f t="shared" si="6"/>
        <v>0</v>
      </c>
      <c r="R7" s="21">
        <f t="shared" si="6"/>
        <v>0</v>
      </c>
      <c r="S7" s="21">
        <f t="shared" si="6"/>
        <v>0</v>
      </c>
      <c r="T7" s="21">
        <f t="shared" si="6"/>
        <v>679.6</v>
      </c>
      <c r="U7" s="21">
        <f t="shared" si="6"/>
        <v>0</v>
      </c>
      <c r="V7" s="21">
        <f t="shared" si="6"/>
        <v>0</v>
      </c>
      <c r="W7" s="21">
        <f t="shared" si="6"/>
        <v>0</v>
      </c>
      <c r="X7" s="21">
        <f t="shared" si="6"/>
        <v>0</v>
      </c>
      <c r="Y7" s="38">
        <f t="shared" si="2"/>
        <v>5.4177295918367348E-2</v>
      </c>
      <c r="Z7" s="21">
        <f t="shared" si="3"/>
        <v>679.6</v>
      </c>
    </row>
    <row r="8" spans="1:26" ht="15.75" customHeight="1" x14ac:dyDescent="0.4">
      <c r="A8" s="7">
        <v>5</v>
      </c>
      <c r="B8" s="8" t="s">
        <v>159</v>
      </c>
      <c r="C8" s="185" t="s">
        <v>165</v>
      </c>
      <c r="D8" s="9">
        <f>VLOOKUP(C8,'[1]PREÇO ATUAL'!$A:$D,4,0)</f>
        <v>302.22000000000003</v>
      </c>
      <c r="E8" s="10"/>
      <c r="F8" s="10"/>
      <c r="G8" s="10"/>
      <c r="H8" s="10"/>
      <c r="I8" s="11"/>
      <c r="J8" s="11">
        <v>1</v>
      </c>
      <c r="K8" s="11"/>
      <c r="L8" s="11"/>
      <c r="M8" s="11"/>
      <c r="N8" s="12"/>
      <c r="O8" s="13">
        <f t="shared" ref="O8:X8" si="7">$D8*E8</f>
        <v>0</v>
      </c>
      <c r="P8" s="13">
        <f t="shared" si="7"/>
        <v>0</v>
      </c>
      <c r="Q8" s="13">
        <f t="shared" si="7"/>
        <v>0</v>
      </c>
      <c r="R8" s="13">
        <f t="shared" si="7"/>
        <v>0</v>
      </c>
      <c r="S8" s="13">
        <f t="shared" si="7"/>
        <v>0</v>
      </c>
      <c r="T8" s="13">
        <f>$D8*J8</f>
        <v>302.22000000000003</v>
      </c>
      <c r="U8" s="13">
        <f t="shared" si="7"/>
        <v>0</v>
      </c>
      <c r="V8" s="13">
        <f t="shared" si="7"/>
        <v>0</v>
      </c>
      <c r="W8" s="13">
        <f t="shared" si="7"/>
        <v>0</v>
      </c>
      <c r="X8" s="13">
        <f t="shared" si="7"/>
        <v>0</v>
      </c>
      <c r="Y8" s="37">
        <f t="shared" si="2"/>
        <v>2.4092793367346942E-2</v>
      </c>
      <c r="Z8" s="13">
        <f t="shared" si="3"/>
        <v>302.22000000000003</v>
      </c>
    </row>
    <row r="9" spans="1:26" ht="15.75" customHeight="1" x14ac:dyDescent="0.4">
      <c r="A9" s="15">
        <v>6</v>
      </c>
      <c r="B9" s="16" t="s">
        <v>160</v>
      </c>
      <c r="C9" s="186" t="s">
        <v>161</v>
      </c>
      <c r="D9" s="17">
        <f>VLOOKUP(C9,'[1]PREÇO ATUAL'!$A:$D,4,0)</f>
        <v>45.09</v>
      </c>
      <c r="E9" s="18"/>
      <c r="F9" s="18"/>
      <c r="G9" s="18"/>
      <c r="H9" s="18"/>
      <c r="I9" s="19"/>
      <c r="J9" s="19"/>
      <c r="K9" s="19"/>
      <c r="L9" s="19"/>
      <c r="M9" s="19"/>
      <c r="N9" s="20"/>
      <c r="O9" s="21">
        <f t="shared" ref="O9:X9" si="8">$D9*E9</f>
        <v>0</v>
      </c>
      <c r="P9" s="21">
        <f t="shared" si="8"/>
        <v>0</v>
      </c>
      <c r="Q9" s="21">
        <f t="shared" si="8"/>
        <v>0</v>
      </c>
      <c r="R9" s="21">
        <f t="shared" si="8"/>
        <v>0</v>
      </c>
      <c r="S9" s="21">
        <f t="shared" si="8"/>
        <v>0</v>
      </c>
      <c r="T9" s="21">
        <f t="shared" si="8"/>
        <v>0</v>
      </c>
      <c r="U9" s="21">
        <f t="shared" si="8"/>
        <v>0</v>
      </c>
      <c r="V9" s="21">
        <f t="shared" si="8"/>
        <v>0</v>
      </c>
      <c r="W9" s="21">
        <f t="shared" si="8"/>
        <v>0</v>
      </c>
      <c r="X9" s="21">
        <f t="shared" si="8"/>
        <v>0</v>
      </c>
      <c r="Y9" s="38">
        <f t="shared" si="2"/>
        <v>0</v>
      </c>
      <c r="Z9" s="21">
        <f t="shared" si="3"/>
        <v>0</v>
      </c>
    </row>
    <row r="10" spans="1:26" ht="15.75" customHeight="1" x14ac:dyDescent="0.4">
      <c r="A10" s="7">
        <v>7</v>
      </c>
      <c r="B10" s="8" t="s">
        <v>63</v>
      </c>
      <c r="C10" s="185" t="s">
        <v>64</v>
      </c>
      <c r="D10" s="9">
        <f>VLOOKUP(C10,'[1]PREÇO ATUAL'!$A:$D,4,0)</f>
        <v>98.56222158238279</v>
      </c>
      <c r="E10" s="48">
        <v>5.2</v>
      </c>
      <c r="F10" s="48">
        <v>5.2</v>
      </c>
      <c r="G10" s="48">
        <v>5.2</v>
      </c>
      <c r="H10" s="48">
        <v>5.2</v>
      </c>
      <c r="I10" s="48">
        <v>5.2</v>
      </c>
      <c r="J10" s="48">
        <v>5.2</v>
      </c>
      <c r="K10" s="48">
        <v>5.2</v>
      </c>
      <c r="L10" s="48">
        <v>5.2</v>
      </c>
      <c r="M10" s="48">
        <v>5.2</v>
      </c>
      <c r="N10" s="48">
        <v>5.2</v>
      </c>
      <c r="O10" s="13">
        <f t="shared" ref="O10:X10" si="9">$D10*E10</f>
        <v>512.52355222839049</v>
      </c>
      <c r="P10" s="13">
        <f t="shared" si="9"/>
        <v>512.52355222839049</v>
      </c>
      <c r="Q10" s="13">
        <f t="shared" si="9"/>
        <v>512.52355222839049</v>
      </c>
      <c r="R10" s="13">
        <f t="shared" si="9"/>
        <v>512.52355222839049</v>
      </c>
      <c r="S10" s="13">
        <f t="shared" si="9"/>
        <v>512.52355222839049</v>
      </c>
      <c r="T10" s="13">
        <f t="shared" si="9"/>
        <v>512.52355222839049</v>
      </c>
      <c r="U10" s="13">
        <f t="shared" si="9"/>
        <v>512.52355222839049</v>
      </c>
      <c r="V10" s="13">
        <f t="shared" si="9"/>
        <v>512.52355222839049</v>
      </c>
      <c r="W10" s="13">
        <f t="shared" si="9"/>
        <v>512.52355222839049</v>
      </c>
      <c r="X10" s="13">
        <f t="shared" si="9"/>
        <v>512.52355222839049</v>
      </c>
      <c r="Y10" s="37">
        <f t="shared" si="2"/>
        <v>0.40858063793717347</v>
      </c>
      <c r="Z10" s="13">
        <f t="shared" si="3"/>
        <v>5125.2355222839042</v>
      </c>
    </row>
    <row r="11" spans="1:26" ht="15.75" customHeight="1" x14ac:dyDescent="0.4">
      <c r="A11" s="15">
        <v>8</v>
      </c>
      <c r="B11" s="16" t="s">
        <v>38</v>
      </c>
      <c r="C11" s="186" t="s">
        <v>39</v>
      </c>
      <c r="D11" s="17">
        <f>VLOOKUP(C11,'[1]PREÇO ATUAL'!$A:$D,4,0)</f>
        <v>342</v>
      </c>
      <c r="E11" s="24">
        <v>1.05</v>
      </c>
      <c r="F11" s="24">
        <v>1.05</v>
      </c>
      <c r="G11" s="24">
        <v>1.2</v>
      </c>
      <c r="H11" s="24">
        <v>1.3</v>
      </c>
      <c r="I11" s="17">
        <v>1.1499999999999999</v>
      </c>
      <c r="J11" s="17">
        <v>2.4</v>
      </c>
      <c r="K11" s="17">
        <v>1.05</v>
      </c>
      <c r="L11" s="17">
        <v>1.3</v>
      </c>
      <c r="M11" s="17">
        <v>1.2</v>
      </c>
      <c r="N11" s="25">
        <v>1.1499999999999999</v>
      </c>
      <c r="O11" s="21">
        <v>0</v>
      </c>
      <c r="P11" s="21">
        <f t="shared" ref="P11:X11" si="10">$D11*F11</f>
        <v>359.1</v>
      </c>
      <c r="Q11" s="21">
        <f t="shared" si="10"/>
        <v>410.4</v>
      </c>
      <c r="R11" s="21">
        <f t="shared" si="10"/>
        <v>444.6</v>
      </c>
      <c r="S11" s="21">
        <f t="shared" si="10"/>
        <v>393.29999999999995</v>
      </c>
      <c r="T11" s="21">
        <f t="shared" si="10"/>
        <v>820.8</v>
      </c>
      <c r="U11" s="21">
        <f t="shared" si="10"/>
        <v>359.1</v>
      </c>
      <c r="V11" s="21">
        <f t="shared" si="10"/>
        <v>444.6</v>
      </c>
      <c r="W11" s="21">
        <f t="shared" si="10"/>
        <v>410.4</v>
      </c>
      <c r="X11" s="21">
        <f t="shared" si="10"/>
        <v>393.29999999999995</v>
      </c>
      <c r="Y11" s="38">
        <f t="shared" si="2"/>
        <v>0.32171556122448974</v>
      </c>
      <c r="Z11" s="21">
        <f t="shared" si="3"/>
        <v>4035.5999999999995</v>
      </c>
    </row>
    <row r="12" spans="1:26" ht="17.25" customHeight="1" x14ac:dyDescent="0.4">
      <c r="A12" s="1"/>
      <c r="B12" s="1"/>
      <c r="C12" s="1"/>
      <c r="D12" s="1"/>
      <c r="E12" s="1"/>
      <c r="F12" s="1"/>
      <c r="G12" s="1"/>
      <c r="H12" s="123"/>
      <c r="I12" s="1"/>
      <c r="J12" s="1"/>
      <c r="K12" s="1"/>
      <c r="L12" s="1"/>
      <c r="M12" s="1"/>
      <c r="N12" s="1"/>
      <c r="O12" s="63"/>
      <c r="P12" s="63"/>
      <c r="Q12" s="63"/>
      <c r="R12" s="63"/>
      <c r="S12" s="63"/>
      <c r="T12" s="63"/>
      <c r="U12" s="63"/>
      <c r="V12" s="63"/>
      <c r="W12" s="63"/>
      <c r="X12" s="63"/>
    </row>
    <row r="13" spans="1:26" ht="15.75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6" ht="15.75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6" ht="15.75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6" ht="15.75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.75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.75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.75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75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75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75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75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75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75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75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75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75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75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75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.75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.75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.75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75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75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75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.75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75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75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75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75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.75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75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75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75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75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75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75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75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.75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75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7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7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7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.7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.7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.7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.7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.7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.7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.7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.7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.7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.7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.7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.7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.7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.7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.7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.7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.7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.7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.7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.7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.7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.7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.7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.7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.7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.7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.7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.75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.75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.75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.75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.75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75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75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75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.75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.75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75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75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.75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75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75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75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75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75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75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75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75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75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75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75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75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75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75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75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75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75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75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75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75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75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75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75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75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.75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.75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.75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.75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.75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.75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.75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.75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.75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.75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.75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.75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.75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.75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.75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.75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.75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.75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.75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.75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.75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.75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.75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.75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.75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.75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.75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.75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.75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.75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.75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.75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.75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.75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.75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.75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.75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.75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.75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.75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.75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.75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75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.75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75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.75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.75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.75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.75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.75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.75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.75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.75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.75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.75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.75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.75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.75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.75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.75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.75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.75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.75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.75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.75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.75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.75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.75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.75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.75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.75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.75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.75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.75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.75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.75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.75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.75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.75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.75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.75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.75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.75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.75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.75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.75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.75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.75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.75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.75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.75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.75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.75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5.75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.75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.75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.75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.75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.75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.75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5.75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.75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.75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.75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.75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.75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.75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.75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5.75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5.75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.75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.75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.75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.75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.75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.75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.75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.75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.75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.75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.75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.75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.75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.75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.75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.75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.75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.75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.75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.75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.75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.75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.75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.75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.75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.75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.75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.75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.75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.75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.75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.75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.75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.75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.75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.75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.75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.75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.75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.75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.75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.75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.75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.75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.75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.75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.75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.75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.75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.75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.75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.75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.75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.75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.75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.75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.75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.75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.75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.75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.75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.75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.75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.75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.75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.75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.75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.75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.75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.75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.75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.75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.75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.75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.75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.75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5.75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5.75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.75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.75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.75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.75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.75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.75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.75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.75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.75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.75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.75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.75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.75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.75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.75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.75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.75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.75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.75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.75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.75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.75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.75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.75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.75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.75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.75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.75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.75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.75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.75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.75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.75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.75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.75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.75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.75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.75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.75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.75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.75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.75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.75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.75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.75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.75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.75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.75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.75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.75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.75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.75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.75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.75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.75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.75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.75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.75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.75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.75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.75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.75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.75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.75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.75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.75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.75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.75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.75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.75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.75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.75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.75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.75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.75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.75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.75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.75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.75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.75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.75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.75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.75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.75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.75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.75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.75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.75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.75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.75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.75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.75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.75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.75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.75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.75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.75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.75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.75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.75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.75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.75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.75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.75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.75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.75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.75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.75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.75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.75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.75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.75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.75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.75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.75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.75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.75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.75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.75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.75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.75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.75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.75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.75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.75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.75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.75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.75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.75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.75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.75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.75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.75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.75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.75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5.75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5.75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5.75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5.75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5.75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5.75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5.75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5.75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5.75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5.75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5.75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5.75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5.75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5.75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5.75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5.75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5.75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5.75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5.75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5.75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5.75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5.75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5.75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5.75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5.75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5.75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5.75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5.75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5.75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5.75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5.75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5.75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5.75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5.75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5.75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5.75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5.75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5.75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5.75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5.75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5.75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5.75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5.75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5.75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5.75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5.75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5.75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5.75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5.75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5.75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5.75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5.75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5.75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5.75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5.75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5.75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5.75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5.75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5.75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5.75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5.75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5.75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5.75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5.75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5.75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5.75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5.75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5.75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5.75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5.75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5.75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5.75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5.75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5.75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5.75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5.75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5.75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5.75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5.75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5.75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5.75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5.75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5.75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5.75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5.75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5.75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5.75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5.75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5.75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5.75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5.75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5.75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5.75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5.75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5.75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5.75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5.75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5.75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5.75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5.75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5.75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5.75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5.75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5.75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5.75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5.75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5.75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5.75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5.75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5.75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5.75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5.75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5.75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5.75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5.75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5.75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5.75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5.75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5.75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5.75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5.75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5.75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5.75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5.75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5.75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5.75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5.75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5.75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5.75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5.75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5.75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5.75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5.75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5.75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5.75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5.75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5.75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5.75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5.75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5.75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5.75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5.75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5.75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5.75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5.75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5.75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5.75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5.75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5.75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5.75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5.75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5.75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5.75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5.75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5.75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5.75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5.75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5.75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5.75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5.75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5.75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5.75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5.75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5.75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5.75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5.75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5.75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5.75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5.75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5.75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5.75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5.75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5.75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5.75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5.75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5.75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5.75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5.75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5.75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5.75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5.75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5.75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5.75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5.75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5.75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5.75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5.75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5.75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5.75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5.75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5.75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5.75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5.75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5.75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5.75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5.75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5.75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5.75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5.75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5.75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5.75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5.75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5.75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5.75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5.75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5.75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5.75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5.75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5.75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5.75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5.75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5.75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5.75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5.75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5.75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5.75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5.75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5.75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5.75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5.75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5.75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5.75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5.75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5.75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5.75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5.75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5.75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5.75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5.75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5.75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5.75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5.75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5.75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5.75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5.75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5.75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5.75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5.75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5.75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5.75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5.75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5.75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5.75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5.75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5.75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5.75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5.75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5.75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5.75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5.75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5.75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5.75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5.75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5.75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5.75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5.75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5.75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5.75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5.75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5.75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5.75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5.75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5.75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5.75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5.75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5.75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5.75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5.75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5.75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5.75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5.75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5.75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5.75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5.75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5.75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5.75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5.75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5.75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5.75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5.75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5.75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5.75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5.75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5.75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5.75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5.75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5.75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5.75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5.75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5.75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5.75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5.75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5.75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5.75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5.75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5.75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5.75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5.75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5.75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5.75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5.75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5.75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5.75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5.75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5.75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5.75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5.75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5.75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5.75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5.75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5.75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5.75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5.75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5.75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5.75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5.75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5.75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5.75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5.75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5.75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5.75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5.75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5.75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5.75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5.75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5.75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5.75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5.75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5.75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5.75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5.75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5.75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5.75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5.75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5.75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5.75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5.75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5.75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5.75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5.75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5.75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5.75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5.75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5.75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5.75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5.75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5.75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5.75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5.75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5.75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5.75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5.75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5.75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5.75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5.75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5.75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5.75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5.75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5.75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5.75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5.75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5.75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5.75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5.75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5.75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5.75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5.75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5.75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5.75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5.75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5.75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5.75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5.75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5.75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5.75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5.75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5.75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5.75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5.75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5.75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5.75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5.75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5.75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5.75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5.75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5.75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5.75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5.75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5.75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5.75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5.75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5.75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5.75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5.75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5.75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5.75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5.75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5.75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5.75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5.75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5.75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5.75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5.75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5.75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5.75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5.75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5.75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5.75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5.75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5.75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5.75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5.75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5.75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5.75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5.75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5.75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5.75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5.75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5.75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5.75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5.75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5.75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5.75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5.75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5.75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5.75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5.75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5.75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5.75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5.75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5.75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5.75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5.75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5.75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5.75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5.75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5.75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5.75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5.75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5.75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5.75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5.75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5.75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5.75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5.75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5.75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5.75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5.75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5.75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5.75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5.75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5.75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5.75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5.75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5.75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5.75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5.75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5.75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5.75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5.75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5.75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5.75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</sheetData>
  <mergeCells count="5">
    <mergeCell ref="A1:D2"/>
    <mergeCell ref="E1:N2"/>
    <mergeCell ref="O1:X1"/>
    <mergeCell ref="Y1:Z1"/>
    <mergeCell ref="Y2:Z2"/>
  </mergeCells>
  <pageMargins left="0.511811024" right="0.511811024" top="0.78740157499999996" bottom="0.78740157499999996" header="0" footer="0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Planilha29">
    <tabColor rgb="FF00FF00"/>
  </sheetPr>
  <dimension ref="A1:AO964"/>
  <sheetViews>
    <sheetView showGridLines="0" workbookViewId="0">
      <pane xSplit="4" topLeftCell="E1" activePane="topRight" state="frozen"/>
      <selection activeCell="B23" sqref="B23"/>
      <selection pane="topRight" activeCell="X40" sqref="X40"/>
    </sheetView>
  </sheetViews>
  <sheetFormatPr defaultColWidth="14.3828125" defaultRowHeight="15" customHeight="1" x14ac:dyDescent="0.4"/>
  <cols>
    <col min="1" max="1" width="3.3046875" customWidth="1"/>
    <col min="2" max="2" width="60.3828125" customWidth="1"/>
    <col min="3" max="3" width="16" bestFit="1" customWidth="1"/>
    <col min="4" max="4" width="8.69140625" customWidth="1"/>
    <col min="5" max="7" width="5.15234375" bestFit="1" customWidth="1"/>
    <col min="8" max="19" width="5.15234375" customWidth="1"/>
    <col min="20" max="22" width="5.15234375" hidden="1" customWidth="1"/>
    <col min="23" max="25" width="15.69140625" bestFit="1" customWidth="1"/>
    <col min="26" max="26" width="17.15234375" customWidth="1"/>
    <col min="27" max="27" width="16.84375" customWidth="1"/>
    <col min="28" max="38" width="15.69140625" bestFit="1" customWidth="1"/>
    <col min="39" max="39" width="13.69140625" bestFit="1" customWidth="1"/>
    <col min="40" max="41" width="15.69140625" bestFit="1" customWidth="1"/>
    <col min="42" max="42" width="13.69140625" bestFit="1" customWidth="1"/>
    <col min="43" max="43" width="15.69140625" bestFit="1" customWidth="1"/>
  </cols>
  <sheetData>
    <row r="1" spans="1:41" ht="15.75" customHeight="1" x14ac:dyDescent="0.4">
      <c r="A1" s="201" t="s">
        <v>166</v>
      </c>
      <c r="B1" s="202"/>
      <c r="C1" s="202"/>
      <c r="D1" s="203"/>
      <c r="E1" s="112" t="s">
        <v>3</v>
      </c>
      <c r="F1" s="113"/>
      <c r="G1" s="113"/>
      <c r="H1" s="113"/>
      <c r="I1" s="113"/>
      <c r="J1" s="113"/>
      <c r="K1" s="113"/>
      <c r="L1" s="113"/>
      <c r="M1" s="113"/>
      <c r="N1" s="114"/>
      <c r="O1" s="114"/>
      <c r="P1" s="114"/>
      <c r="Q1" s="114"/>
      <c r="R1" s="114"/>
      <c r="S1" s="114"/>
      <c r="T1" s="114"/>
      <c r="U1" s="114"/>
      <c r="V1" s="114"/>
      <c r="W1" s="110" t="s">
        <v>4</v>
      </c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</row>
    <row r="2" spans="1:41" ht="15" customHeight="1" x14ac:dyDescent="0.4">
      <c r="A2" s="196"/>
      <c r="B2" s="197"/>
      <c r="C2" s="197"/>
      <c r="D2" s="198"/>
      <c r="E2" s="115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2">
        <f t="shared" ref="W2:AN2" si="0">MROUND(SUM(W4:W11),1)</f>
        <v>953</v>
      </c>
      <c r="X2" s="2">
        <f t="shared" si="0"/>
        <v>1084</v>
      </c>
      <c r="Y2" s="2">
        <f t="shared" si="0"/>
        <v>953</v>
      </c>
      <c r="Z2" s="2">
        <f t="shared" si="0"/>
        <v>1101</v>
      </c>
      <c r="AA2" s="2">
        <f t="shared" si="0"/>
        <v>987</v>
      </c>
      <c r="AB2" s="2">
        <f t="shared" si="0"/>
        <v>1935</v>
      </c>
      <c r="AC2" s="2">
        <f t="shared" si="0"/>
        <v>953</v>
      </c>
      <c r="AD2" s="2">
        <f t="shared" si="0"/>
        <v>1101</v>
      </c>
      <c r="AE2" s="2">
        <f t="shared" si="0"/>
        <v>953</v>
      </c>
      <c r="AF2" s="2">
        <f t="shared" si="0"/>
        <v>1119</v>
      </c>
      <c r="AG2" s="2">
        <f t="shared" si="0"/>
        <v>953</v>
      </c>
      <c r="AH2" s="2">
        <f t="shared" si="0"/>
        <v>2143</v>
      </c>
      <c r="AI2" s="2">
        <f t="shared" si="0"/>
        <v>953</v>
      </c>
      <c r="AJ2" s="2">
        <f t="shared" si="0"/>
        <v>1084</v>
      </c>
      <c r="AK2" s="2">
        <f t="shared" si="0"/>
        <v>987</v>
      </c>
      <c r="AL2" s="2">
        <f t="shared" si="0"/>
        <v>1101</v>
      </c>
      <c r="AM2" s="2">
        <f t="shared" si="0"/>
        <v>953</v>
      </c>
      <c r="AN2" s="2">
        <f t="shared" si="0"/>
        <v>1935</v>
      </c>
      <c r="AO2" s="124"/>
    </row>
    <row r="3" spans="1:41" ht="15.75" customHeight="1" x14ac:dyDescent="0.4">
      <c r="A3" s="3" t="s">
        <v>6</v>
      </c>
      <c r="B3" s="3" t="s">
        <v>7</v>
      </c>
      <c r="C3" s="184" t="s">
        <v>8</v>
      </c>
      <c r="D3" s="4" t="s">
        <v>9</v>
      </c>
      <c r="E3" s="5" t="s">
        <v>167</v>
      </c>
      <c r="F3" s="5" t="s">
        <v>168</v>
      </c>
      <c r="G3" s="5" t="s">
        <v>169</v>
      </c>
      <c r="H3" s="5" t="s">
        <v>170</v>
      </c>
      <c r="I3" s="5" t="s">
        <v>171</v>
      </c>
      <c r="J3" s="5" t="s">
        <v>172</v>
      </c>
      <c r="K3" s="5" t="s">
        <v>173</v>
      </c>
      <c r="L3" s="5" t="s">
        <v>174</v>
      </c>
      <c r="M3" s="5" t="s">
        <v>175</v>
      </c>
      <c r="N3" s="5" t="s">
        <v>176</v>
      </c>
      <c r="O3" s="5" t="s">
        <v>116</v>
      </c>
      <c r="P3" s="5" t="s">
        <v>117</v>
      </c>
      <c r="Q3" s="5" t="s">
        <v>118</v>
      </c>
      <c r="R3" s="5" t="s">
        <v>119</v>
      </c>
      <c r="S3" s="5" t="s">
        <v>120</v>
      </c>
      <c r="T3" s="5" t="s">
        <v>177</v>
      </c>
      <c r="U3" s="5" t="s">
        <v>178</v>
      </c>
      <c r="V3" s="5" t="s">
        <v>179</v>
      </c>
      <c r="W3" s="36">
        <v>10000</v>
      </c>
      <c r="X3" s="36">
        <v>20000</v>
      </c>
      <c r="Y3" s="36">
        <v>30000</v>
      </c>
      <c r="Z3" s="36">
        <v>40000</v>
      </c>
      <c r="AA3" s="36">
        <v>50000</v>
      </c>
      <c r="AB3" s="36">
        <v>60000</v>
      </c>
      <c r="AC3" s="36">
        <v>70000</v>
      </c>
      <c r="AD3" s="36">
        <v>80000</v>
      </c>
      <c r="AE3" s="36">
        <v>90000</v>
      </c>
      <c r="AF3" s="36">
        <v>100000</v>
      </c>
      <c r="AG3" s="36">
        <v>110000</v>
      </c>
      <c r="AH3" s="36">
        <v>120000</v>
      </c>
      <c r="AI3" s="36">
        <v>130000</v>
      </c>
      <c r="AJ3" s="36">
        <v>140000</v>
      </c>
      <c r="AK3" s="36">
        <v>150000</v>
      </c>
      <c r="AL3" s="36">
        <v>160000</v>
      </c>
      <c r="AM3" s="36">
        <v>170000</v>
      </c>
      <c r="AN3" s="36">
        <v>180000</v>
      </c>
    </row>
    <row r="4" spans="1:41" ht="15.75" customHeight="1" x14ac:dyDescent="0.4">
      <c r="A4" s="7">
        <v>1</v>
      </c>
      <c r="B4" s="8" t="s">
        <v>180</v>
      </c>
      <c r="C4" s="185" t="s">
        <v>97</v>
      </c>
      <c r="D4" s="9">
        <f>VLOOKUP(C4,'[1]PREÇO ATUAL'!$A:$D,4,0)</f>
        <v>112.46</v>
      </c>
      <c r="E4" s="10">
        <v>1</v>
      </c>
      <c r="F4" s="10">
        <v>1</v>
      </c>
      <c r="G4" s="10">
        <v>1</v>
      </c>
      <c r="H4" s="10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1">
        <v>1</v>
      </c>
      <c r="O4" s="11">
        <v>1</v>
      </c>
      <c r="P4" s="11">
        <v>1</v>
      </c>
      <c r="Q4" s="11">
        <v>1</v>
      </c>
      <c r="R4" s="11">
        <v>1</v>
      </c>
      <c r="S4" s="11">
        <v>1</v>
      </c>
      <c r="T4" s="11">
        <v>1</v>
      </c>
      <c r="U4" s="11">
        <v>1</v>
      </c>
      <c r="V4" s="11">
        <v>1</v>
      </c>
      <c r="W4" s="13">
        <f t="shared" ref="W4:AF10" si="1">$D4*E4</f>
        <v>112.46</v>
      </c>
      <c r="X4" s="13">
        <f t="shared" si="1"/>
        <v>112.46</v>
      </c>
      <c r="Y4" s="13">
        <f t="shared" si="1"/>
        <v>112.46</v>
      </c>
      <c r="Z4" s="13">
        <f t="shared" si="1"/>
        <v>112.46</v>
      </c>
      <c r="AA4" s="13">
        <f t="shared" si="1"/>
        <v>112.46</v>
      </c>
      <c r="AB4" s="13">
        <f t="shared" si="1"/>
        <v>112.46</v>
      </c>
      <c r="AC4" s="13">
        <f t="shared" si="1"/>
        <v>112.46</v>
      </c>
      <c r="AD4" s="13">
        <f t="shared" si="1"/>
        <v>112.46</v>
      </c>
      <c r="AE4" s="13">
        <f t="shared" si="1"/>
        <v>112.46</v>
      </c>
      <c r="AF4" s="13">
        <f t="shared" si="1"/>
        <v>112.46</v>
      </c>
      <c r="AG4" s="13">
        <f t="shared" ref="AG4:AN10" si="2">$D4*O4</f>
        <v>112.46</v>
      </c>
      <c r="AH4" s="13">
        <f t="shared" si="2"/>
        <v>112.46</v>
      </c>
      <c r="AI4" s="13">
        <f t="shared" si="2"/>
        <v>112.46</v>
      </c>
      <c r="AJ4" s="13">
        <f t="shared" si="2"/>
        <v>112.46</v>
      </c>
      <c r="AK4" s="13">
        <f t="shared" si="2"/>
        <v>112.46</v>
      </c>
      <c r="AL4" s="13">
        <f t="shared" si="2"/>
        <v>112.46</v>
      </c>
      <c r="AM4" s="13">
        <f t="shared" si="2"/>
        <v>112.46</v>
      </c>
      <c r="AN4" s="13">
        <f t="shared" si="2"/>
        <v>112.46</v>
      </c>
    </row>
    <row r="5" spans="1:41" ht="15.75" customHeight="1" x14ac:dyDescent="0.4">
      <c r="A5" s="15">
        <v>2</v>
      </c>
      <c r="B5" s="16" t="s">
        <v>57</v>
      </c>
      <c r="C5" s="186" t="s">
        <v>98</v>
      </c>
      <c r="D5" s="17">
        <f>VLOOKUP(C5,'[1]PREÇO ATUAL'!$A:$D,4,0)</f>
        <v>35.9</v>
      </c>
      <c r="E5" s="18">
        <v>1</v>
      </c>
      <c r="F5" s="18">
        <v>1</v>
      </c>
      <c r="G5" s="18">
        <v>1</v>
      </c>
      <c r="H5" s="18">
        <v>1</v>
      </c>
      <c r="I5" s="19">
        <v>1</v>
      </c>
      <c r="J5" s="19">
        <v>1</v>
      </c>
      <c r="K5" s="19">
        <v>1</v>
      </c>
      <c r="L5" s="19">
        <v>1</v>
      </c>
      <c r="M5" s="19">
        <v>1</v>
      </c>
      <c r="N5" s="19">
        <v>1</v>
      </c>
      <c r="O5" s="19">
        <v>1</v>
      </c>
      <c r="P5" s="19">
        <v>1</v>
      </c>
      <c r="Q5" s="19">
        <v>1</v>
      </c>
      <c r="R5" s="19">
        <v>1</v>
      </c>
      <c r="S5" s="19">
        <v>1</v>
      </c>
      <c r="T5" s="19">
        <v>1</v>
      </c>
      <c r="U5" s="19">
        <v>1</v>
      </c>
      <c r="V5" s="19">
        <v>1</v>
      </c>
      <c r="W5" s="21">
        <f t="shared" si="1"/>
        <v>35.9</v>
      </c>
      <c r="X5" s="21">
        <f t="shared" si="1"/>
        <v>35.9</v>
      </c>
      <c r="Y5" s="21">
        <f t="shared" si="1"/>
        <v>35.9</v>
      </c>
      <c r="Z5" s="21">
        <f t="shared" si="1"/>
        <v>35.9</v>
      </c>
      <c r="AA5" s="21">
        <f t="shared" si="1"/>
        <v>35.9</v>
      </c>
      <c r="AB5" s="21">
        <f t="shared" si="1"/>
        <v>35.9</v>
      </c>
      <c r="AC5" s="21">
        <f t="shared" si="1"/>
        <v>35.9</v>
      </c>
      <c r="AD5" s="21">
        <f t="shared" si="1"/>
        <v>35.9</v>
      </c>
      <c r="AE5" s="21">
        <f t="shared" si="1"/>
        <v>35.9</v>
      </c>
      <c r="AF5" s="21">
        <f t="shared" si="1"/>
        <v>35.9</v>
      </c>
      <c r="AG5" s="21">
        <f t="shared" si="2"/>
        <v>35.9</v>
      </c>
      <c r="AH5" s="21">
        <f t="shared" si="2"/>
        <v>35.9</v>
      </c>
      <c r="AI5" s="21">
        <f t="shared" si="2"/>
        <v>35.9</v>
      </c>
      <c r="AJ5" s="21">
        <f t="shared" si="2"/>
        <v>35.9</v>
      </c>
      <c r="AK5" s="21">
        <f t="shared" si="2"/>
        <v>35.9</v>
      </c>
      <c r="AL5" s="21">
        <f t="shared" si="2"/>
        <v>35.9</v>
      </c>
      <c r="AM5" s="21">
        <f t="shared" si="2"/>
        <v>35.9</v>
      </c>
      <c r="AN5" s="21">
        <f t="shared" si="2"/>
        <v>35.9</v>
      </c>
    </row>
    <row r="6" spans="1:41" ht="15.75" customHeight="1" x14ac:dyDescent="0.4">
      <c r="A6" s="7">
        <v>3</v>
      </c>
      <c r="B6" s="8" t="s">
        <v>181</v>
      </c>
      <c r="C6" s="185" t="s">
        <v>135</v>
      </c>
      <c r="D6" s="9">
        <f>VLOOKUP(C6,'[1]PREÇO ATUAL'!$A:$D,4,0)</f>
        <v>114.17</v>
      </c>
      <c r="E6" s="10"/>
      <c r="F6" s="10">
        <v>1</v>
      </c>
      <c r="G6" s="10"/>
      <c r="H6" s="10">
        <v>1</v>
      </c>
      <c r="I6" s="11"/>
      <c r="J6" s="11">
        <v>1</v>
      </c>
      <c r="K6" s="11"/>
      <c r="L6" s="11">
        <v>1</v>
      </c>
      <c r="M6" s="11"/>
      <c r="N6" s="11">
        <v>1</v>
      </c>
      <c r="O6" s="11"/>
      <c r="P6" s="11">
        <v>1</v>
      </c>
      <c r="Q6" s="11"/>
      <c r="R6" s="11">
        <v>1</v>
      </c>
      <c r="S6" s="11"/>
      <c r="T6" s="11">
        <v>1</v>
      </c>
      <c r="U6" s="11"/>
      <c r="V6" s="11">
        <v>1</v>
      </c>
      <c r="W6" s="13">
        <f t="shared" si="1"/>
        <v>0</v>
      </c>
      <c r="X6" s="13">
        <f t="shared" si="1"/>
        <v>114.17</v>
      </c>
      <c r="Y6" s="13">
        <f t="shared" si="1"/>
        <v>0</v>
      </c>
      <c r="Z6" s="13">
        <f t="shared" si="1"/>
        <v>114.17</v>
      </c>
      <c r="AA6" s="13">
        <f t="shared" si="1"/>
        <v>0</v>
      </c>
      <c r="AB6" s="13">
        <f t="shared" si="1"/>
        <v>114.17</v>
      </c>
      <c r="AC6" s="13">
        <f t="shared" si="1"/>
        <v>0</v>
      </c>
      <c r="AD6" s="13">
        <f t="shared" si="1"/>
        <v>114.17</v>
      </c>
      <c r="AE6" s="13">
        <f t="shared" si="1"/>
        <v>0</v>
      </c>
      <c r="AF6" s="13">
        <f t="shared" si="1"/>
        <v>114.17</v>
      </c>
      <c r="AG6" s="13">
        <f t="shared" si="2"/>
        <v>0</v>
      </c>
      <c r="AH6" s="13">
        <f t="shared" si="2"/>
        <v>114.17</v>
      </c>
      <c r="AI6" s="13">
        <f t="shared" si="2"/>
        <v>0</v>
      </c>
      <c r="AJ6" s="13">
        <f t="shared" si="2"/>
        <v>114.17</v>
      </c>
      <c r="AK6" s="13">
        <f t="shared" si="2"/>
        <v>0</v>
      </c>
      <c r="AL6" s="13">
        <f t="shared" si="2"/>
        <v>114.17</v>
      </c>
      <c r="AM6" s="13">
        <f t="shared" si="2"/>
        <v>0</v>
      </c>
      <c r="AN6" s="13">
        <f t="shared" si="2"/>
        <v>114.17</v>
      </c>
    </row>
    <row r="7" spans="1:41" ht="15.75" customHeight="1" x14ac:dyDescent="0.4">
      <c r="A7" s="15">
        <v>4</v>
      </c>
      <c r="B7" s="16" t="s">
        <v>59</v>
      </c>
      <c r="C7" s="186" t="s">
        <v>100</v>
      </c>
      <c r="D7" s="17">
        <f>VLOOKUP(C7,'[1]PREÇO ATUAL'!$A:$D,4,0)</f>
        <v>169.9</v>
      </c>
      <c r="E7" s="18"/>
      <c r="F7" s="18"/>
      <c r="G7" s="18"/>
      <c r="H7" s="18"/>
      <c r="I7" s="19"/>
      <c r="J7" s="19">
        <v>4</v>
      </c>
      <c r="K7" s="19"/>
      <c r="L7" s="19"/>
      <c r="M7" s="19"/>
      <c r="N7" s="19"/>
      <c r="O7" s="19"/>
      <c r="P7" s="19">
        <v>4</v>
      </c>
      <c r="Q7" s="19"/>
      <c r="R7" s="19"/>
      <c r="S7" s="19"/>
      <c r="T7" s="19"/>
      <c r="U7" s="19"/>
      <c r="V7" s="19">
        <v>4</v>
      </c>
      <c r="W7" s="21">
        <f t="shared" si="1"/>
        <v>0</v>
      </c>
      <c r="X7" s="21">
        <f t="shared" si="1"/>
        <v>0</v>
      </c>
      <c r="Y7" s="21">
        <f t="shared" si="1"/>
        <v>0</v>
      </c>
      <c r="Z7" s="21">
        <f t="shared" si="1"/>
        <v>0</v>
      </c>
      <c r="AA7" s="21">
        <f t="shared" si="1"/>
        <v>0</v>
      </c>
      <c r="AB7" s="21">
        <f t="shared" si="1"/>
        <v>679.6</v>
      </c>
      <c r="AC7" s="21">
        <f t="shared" si="1"/>
        <v>0</v>
      </c>
      <c r="AD7" s="21">
        <f t="shared" si="1"/>
        <v>0</v>
      </c>
      <c r="AE7" s="21">
        <f t="shared" si="1"/>
        <v>0</v>
      </c>
      <c r="AF7" s="21">
        <f t="shared" si="1"/>
        <v>0</v>
      </c>
      <c r="AG7" s="21">
        <f t="shared" si="2"/>
        <v>0</v>
      </c>
      <c r="AH7" s="21">
        <f t="shared" si="2"/>
        <v>679.6</v>
      </c>
      <c r="AI7" s="21">
        <f t="shared" si="2"/>
        <v>0</v>
      </c>
      <c r="AJ7" s="21">
        <f t="shared" si="2"/>
        <v>0</v>
      </c>
      <c r="AK7" s="21">
        <f t="shared" si="2"/>
        <v>0</v>
      </c>
      <c r="AL7" s="21">
        <f t="shared" si="2"/>
        <v>0</v>
      </c>
      <c r="AM7" s="21">
        <f t="shared" si="2"/>
        <v>0</v>
      </c>
      <c r="AN7" s="21">
        <f t="shared" si="2"/>
        <v>679.6</v>
      </c>
    </row>
    <row r="8" spans="1:41" ht="15.75" customHeight="1" x14ac:dyDescent="0.4">
      <c r="A8" s="7">
        <v>5</v>
      </c>
      <c r="B8" s="8" t="s">
        <v>182</v>
      </c>
      <c r="C8" s="185" t="s">
        <v>140</v>
      </c>
      <c r="D8" s="9">
        <f>VLOOKUP(C8,'[1]PREÇO ATUAL'!$A:$D,4,0)</f>
        <v>88.64</v>
      </c>
      <c r="E8" s="10"/>
      <c r="F8" s="10"/>
      <c r="G8" s="10"/>
      <c r="H8" s="10"/>
      <c r="I8" s="11"/>
      <c r="J8" s="11"/>
      <c r="K8" s="11"/>
      <c r="L8" s="11"/>
      <c r="M8" s="11"/>
      <c r="N8" s="11"/>
      <c r="O8" s="11"/>
      <c r="P8" s="11">
        <v>1</v>
      </c>
      <c r="Q8" s="11"/>
      <c r="R8" s="11"/>
      <c r="S8" s="11"/>
      <c r="T8" s="11"/>
      <c r="U8" s="11"/>
      <c r="V8" s="11"/>
      <c r="W8" s="13">
        <f t="shared" si="1"/>
        <v>0</v>
      </c>
      <c r="X8" s="13">
        <f t="shared" si="1"/>
        <v>0</v>
      </c>
      <c r="Y8" s="13">
        <f t="shared" si="1"/>
        <v>0</v>
      </c>
      <c r="Z8" s="13">
        <f t="shared" si="1"/>
        <v>0</v>
      </c>
      <c r="AA8" s="13">
        <f t="shared" si="1"/>
        <v>0</v>
      </c>
      <c r="AB8" s="13">
        <f t="shared" si="1"/>
        <v>0</v>
      </c>
      <c r="AC8" s="13">
        <f t="shared" si="1"/>
        <v>0</v>
      </c>
      <c r="AD8" s="13">
        <f t="shared" si="1"/>
        <v>0</v>
      </c>
      <c r="AE8" s="13">
        <f t="shared" si="1"/>
        <v>0</v>
      </c>
      <c r="AF8" s="13">
        <f t="shared" si="1"/>
        <v>0</v>
      </c>
      <c r="AG8" s="13">
        <f t="shared" si="2"/>
        <v>0</v>
      </c>
      <c r="AH8" s="13">
        <f t="shared" si="2"/>
        <v>88.64</v>
      </c>
      <c r="AI8" s="13">
        <f t="shared" si="2"/>
        <v>0</v>
      </c>
      <c r="AJ8" s="13">
        <f t="shared" si="2"/>
        <v>0</v>
      </c>
      <c r="AK8" s="13">
        <f t="shared" si="2"/>
        <v>0</v>
      </c>
      <c r="AL8" s="13">
        <f t="shared" si="2"/>
        <v>0</v>
      </c>
      <c r="AM8" s="13">
        <f t="shared" si="2"/>
        <v>0</v>
      </c>
      <c r="AN8" s="13">
        <f t="shared" si="2"/>
        <v>0</v>
      </c>
    </row>
    <row r="9" spans="1:41" ht="15.75" customHeight="1" x14ac:dyDescent="0.4">
      <c r="A9" s="15">
        <v>6</v>
      </c>
      <c r="B9" s="16" t="s">
        <v>160</v>
      </c>
      <c r="C9" s="186" t="s">
        <v>161</v>
      </c>
      <c r="D9" s="17">
        <f>VLOOKUP(C9,'[1]PREÇO ATUAL'!$A:$D,4,0)</f>
        <v>45.09</v>
      </c>
      <c r="E9" s="18"/>
      <c r="F9" s="18"/>
      <c r="G9" s="18"/>
      <c r="H9" s="18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21">
        <f t="shared" si="1"/>
        <v>0</v>
      </c>
      <c r="X9" s="21">
        <f t="shared" si="1"/>
        <v>0</v>
      </c>
      <c r="Y9" s="21">
        <f t="shared" si="1"/>
        <v>0</v>
      </c>
      <c r="Z9" s="21">
        <f t="shared" si="1"/>
        <v>0</v>
      </c>
      <c r="AA9" s="21">
        <f t="shared" si="1"/>
        <v>0</v>
      </c>
      <c r="AB9" s="21">
        <f t="shared" si="1"/>
        <v>0</v>
      </c>
      <c r="AC9" s="21">
        <f t="shared" si="1"/>
        <v>0</v>
      </c>
      <c r="AD9" s="21">
        <f t="shared" si="1"/>
        <v>0</v>
      </c>
      <c r="AE9" s="21">
        <f t="shared" si="1"/>
        <v>0</v>
      </c>
      <c r="AF9" s="21">
        <f t="shared" si="1"/>
        <v>0</v>
      </c>
      <c r="AG9" s="21">
        <f t="shared" si="2"/>
        <v>0</v>
      </c>
      <c r="AH9" s="21">
        <f t="shared" si="2"/>
        <v>0</v>
      </c>
      <c r="AI9" s="21">
        <f t="shared" si="2"/>
        <v>0</v>
      </c>
      <c r="AJ9" s="21">
        <f t="shared" si="2"/>
        <v>0</v>
      </c>
      <c r="AK9" s="21">
        <f t="shared" si="2"/>
        <v>0</v>
      </c>
      <c r="AL9" s="21">
        <f t="shared" si="2"/>
        <v>0</v>
      </c>
      <c r="AM9" s="21">
        <f t="shared" si="2"/>
        <v>0</v>
      </c>
      <c r="AN9" s="21">
        <f t="shared" si="2"/>
        <v>0</v>
      </c>
    </row>
    <row r="10" spans="1:41" ht="15.75" customHeight="1" x14ac:dyDescent="0.4">
      <c r="A10" s="7">
        <v>7</v>
      </c>
      <c r="B10" s="8" t="s">
        <v>101</v>
      </c>
      <c r="C10" s="185" t="s">
        <v>102</v>
      </c>
      <c r="D10" s="9">
        <f>VLOOKUP(C10,'[1]PREÇO ATUAL'!$A:$D,4,0)</f>
        <v>107.0915531472088</v>
      </c>
      <c r="E10" s="48">
        <v>4.8</v>
      </c>
      <c r="F10" s="48">
        <v>4.8</v>
      </c>
      <c r="G10" s="48">
        <v>4.8</v>
      </c>
      <c r="H10" s="48">
        <v>4.8</v>
      </c>
      <c r="I10" s="48">
        <v>4.8</v>
      </c>
      <c r="J10" s="48">
        <v>4.8</v>
      </c>
      <c r="K10" s="48">
        <v>4.8</v>
      </c>
      <c r="L10" s="48">
        <v>4.8</v>
      </c>
      <c r="M10" s="48">
        <v>4.8</v>
      </c>
      <c r="N10" s="48">
        <v>4.8</v>
      </c>
      <c r="O10" s="48">
        <v>4.8</v>
      </c>
      <c r="P10" s="48">
        <v>4.8</v>
      </c>
      <c r="Q10" s="48">
        <v>4.8</v>
      </c>
      <c r="R10" s="48">
        <v>4.8</v>
      </c>
      <c r="S10" s="48">
        <v>4.8</v>
      </c>
      <c r="T10" s="48">
        <v>4.8</v>
      </c>
      <c r="U10" s="48">
        <v>4.8</v>
      </c>
      <c r="V10" s="48">
        <v>4.8</v>
      </c>
      <c r="W10" s="13">
        <f t="shared" si="1"/>
        <v>514.03945510660219</v>
      </c>
      <c r="X10" s="13">
        <f t="shared" si="1"/>
        <v>514.03945510660219</v>
      </c>
      <c r="Y10" s="13">
        <f t="shared" si="1"/>
        <v>514.03945510660219</v>
      </c>
      <c r="Z10" s="13">
        <f t="shared" si="1"/>
        <v>514.03945510660219</v>
      </c>
      <c r="AA10" s="13">
        <f t="shared" si="1"/>
        <v>514.03945510660219</v>
      </c>
      <c r="AB10" s="13">
        <f t="shared" si="1"/>
        <v>514.03945510660219</v>
      </c>
      <c r="AC10" s="13">
        <f t="shared" si="1"/>
        <v>514.03945510660219</v>
      </c>
      <c r="AD10" s="13">
        <f t="shared" si="1"/>
        <v>514.03945510660219</v>
      </c>
      <c r="AE10" s="13">
        <f t="shared" si="1"/>
        <v>514.03945510660219</v>
      </c>
      <c r="AF10" s="13">
        <f t="shared" si="1"/>
        <v>514.03945510660219</v>
      </c>
      <c r="AG10" s="13">
        <f t="shared" si="2"/>
        <v>514.03945510660219</v>
      </c>
      <c r="AH10" s="13">
        <f t="shared" si="2"/>
        <v>514.03945510660219</v>
      </c>
      <c r="AI10" s="13">
        <f t="shared" si="2"/>
        <v>514.03945510660219</v>
      </c>
      <c r="AJ10" s="13">
        <f t="shared" si="2"/>
        <v>514.03945510660219</v>
      </c>
      <c r="AK10" s="13">
        <f t="shared" si="2"/>
        <v>514.03945510660219</v>
      </c>
      <c r="AL10" s="13">
        <f t="shared" si="2"/>
        <v>514.03945510660219</v>
      </c>
      <c r="AM10" s="13">
        <f t="shared" si="2"/>
        <v>514.03945510660219</v>
      </c>
      <c r="AN10" s="13">
        <f t="shared" si="2"/>
        <v>514.03945510660219</v>
      </c>
    </row>
    <row r="11" spans="1:41" ht="15.75" customHeight="1" x14ac:dyDescent="0.4">
      <c r="A11" s="15">
        <v>8</v>
      </c>
      <c r="B11" s="16" t="s">
        <v>38</v>
      </c>
      <c r="C11" s="186" t="s">
        <v>39</v>
      </c>
      <c r="D11" s="17">
        <f>VLOOKUP(C11,'[1]PREÇO ATUAL'!$A:$D,4,0)</f>
        <v>342</v>
      </c>
      <c r="E11" s="24">
        <v>0.85</v>
      </c>
      <c r="F11" s="24">
        <v>0.9</v>
      </c>
      <c r="G11" s="24">
        <v>0.85</v>
      </c>
      <c r="H11" s="24">
        <v>0.95</v>
      </c>
      <c r="I11" s="17">
        <v>0.95</v>
      </c>
      <c r="J11" s="17">
        <v>1.4</v>
      </c>
      <c r="K11" s="17">
        <v>0.85</v>
      </c>
      <c r="L11" s="17">
        <v>0.95</v>
      </c>
      <c r="M11" s="17">
        <v>0.85</v>
      </c>
      <c r="N11" s="17">
        <v>1</v>
      </c>
      <c r="O11" s="17">
        <v>0.85</v>
      </c>
      <c r="P11" s="17">
        <v>1.75</v>
      </c>
      <c r="Q11" s="17">
        <v>0.85</v>
      </c>
      <c r="R11" s="17">
        <v>0.9</v>
      </c>
      <c r="S11" s="17">
        <v>0.95</v>
      </c>
      <c r="T11" s="17">
        <v>0.95</v>
      </c>
      <c r="U11" s="17">
        <v>0.85</v>
      </c>
      <c r="V11" s="17">
        <v>1.4</v>
      </c>
      <c r="W11" s="21">
        <f>D11*E11</f>
        <v>290.7</v>
      </c>
      <c r="X11" s="21">
        <f t="shared" ref="X11:AN11" si="3">$D11*F11</f>
        <v>307.8</v>
      </c>
      <c r="Y11" s="21">
        <f t="shared" si="3"/>
        <v>290.7</v>
      </c>
      <c r="Z11" s="21">
        <f t="shared" si="3"/>
        <v>324.89999999999998</v>
      </c>
      <c r="AA11" s="21">
        <f t="shared" si="3"/>
        <v>324.89999999999998</v>
      </c>
      <c r="AB11" s="21">
        <f t="shared" si="3"/>
        <v>478.79999999999995</v>
      </c>
      <c r="AC11" s="21">
        <f t="shared" si="3"/>
        <v>290.7</v>
      </c>
      <c r="AD11" s="21">
        <f t="shared" si="3"/>
        <v>324.89999999999998</v>
      </c>
      <c r="AE11" s="21">
        <f t="shared" si="3"/>
        <v>290.7</v>
      </c>
      <c r="AF11" s="21">
        <f t="shared" si="3"/>
        <v>342</v>
      </c>
      <c r="AG11" s="21">
        <f t="shared" si="3"/>
        <v>290.7</v>
      </c>
      <c r="AH11" s="21">
        <f t="shared" si="3"/>
        <v>598.5</v>
      </c>
      <c r="AI11" s="21">
        <f t="shared" si="3"/>
        <v>290.7</v>
      </c>
      <c r="AJ11" s="21">
        <f t="shared" si="3"/>
        <v>307.8</v>
      </c>
      <c r="AK11" s="21">
        <f t="shared" si="3"/>
        <v>324.89999999999998</v>
      </c>
      <c r="AL11" s="21">
        <f t="shared" si="3"/>
        <v>324.89999999999998</v>
      </c>
      <c r="AM11" s="21">
        <f t="shared" si="3"/>
        <v>290.7</v>
      </c>
      <c r="AN11" s="21">
        <f t="shared" si="3"/>
        <v>478.79999999999995</v>
      </c>
    </row>
    <row r="12" spans="1:41" ht="17.25" customHeight="1" x14ac:dyDescent="0.4">
      <c r="A12" s="1"/>
      <c r="B12" s="1"/>
      <c r="C12" s="1"/>
      <c r="D12" s="1"/>
      <c r="E12" s="1"/>
      <c r="F12" s="1"/>
      <c r="G12" s="1"/>
      <c r="H12" s="123"/>
      <c r="I12" s="1"/>
      <c r="J12" s="1"/>
      <c r="K12" s="1"/>
      <c r="L12" s="1"/>
      <c r="M12" s="1"/>
      <c r="N12" s="1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 spans="1:41" ht="15.75" customHeight="1" x14ac:dyDescent="0.4">
      <c r="A13" s="201" t="s">
        <v>183</v>
      </c>
      <c r="B13" s="202"/>
      <c r="C13" s="202"/>
      <c r="D13" s="203"/>
      <c r="E13" s="112" t="s">
        <v>3</v>
      </c>
      <c r="F13" s="112"/>
      <c r="G13" s="113"/>
      <c r="H13" s="113"/>
      <c r="I13" s="113"/>
      <c r="J13" s="113"/>
      <c r="K13" s="113"/>
      <c r="L13" s="113"/>
      <c r="M13" s="113"/>
      <c r="N13" s="113"/>
      <c r="O13" s="114"/>
      <c r="P13" s="113"/>
      <c r="Q13" s="113"/>
      <c r="R13" s="113"/>
      <c r="S13" s="113"/>
      <c r="T13" s="113" t="s">
        <v>4</v>
      </c>
      <c r="U13" s="114"/>
      <c r="V13" s="114"/>
      <c r="W13" s="199"/>
      <c r="X13" s="111"/>
      <c r="Y13" s="111"/>
      <c r="Z13" s="111"/>
      <c r="AA13" s="111"/>
      <c r="AB13" s="111"/>
      <c r="AC13" s="111"/>
      <c r="AD13" s="111"/>
      <c r="AE13" s="111"/>
      <c r="AF13" s="111"/>
      <c r="AG13" s="182"/>
      <c r="AH13" s="182"/>
      <c r="AI13" s="182"/>
      <c r="AJ13" s="182"/>
      <c r="AK13" s="182"/>
    </row>
    <row r="14" spans="1:41" ht="15" customHeight="1" x14ac:dyDescent="0.4">
      <c r="A14" s="196"/>
      <c r="B14" s="197"/>
      <c r="C14" s="197"/>
      <c r="D14" s="198"/>
      <c r="E14" s="115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82"/>
      <c r="T14" s="182"/>
      <c r="U14" s="182"/>
      <c r="V14" s="182"/>
      <c r="W14" s="127">
        <f>MROUND(SUM(W16:W24),1)</f>
        <v>1239</v>
      </c>
      <c r="X14" s="2">
        <f>MROUND(SUM(X16:X24),1)</f>
        <v>1371</v>
      </c>
      <c r="Y14" s="2">
        <f>MROUND(SUM(Y16:Y24),1)</f>
        <v>1239</v>
      </c>
      <c r="Z14" s="2">
        <f t="shared" ref="Z14:AF14" si="4">MROUND(SUM(Z16:Z24),1)</f>
        <v>1251</v>
      </c>
      <c r="AA14" s="2">
        <f t="shared" si="4"/>
        <v>1274</v>
      </c>
      <c r="AB14" s="2">
        <f t="shared" si="4"/>
        <v>2221</v>
      </c>
      <c r="AC14" s="2">
        <f t="shared" si="4"/>
        <v>1239</v>
      </c>
      <c r="AD14" s="2">
        <f t="shared" si="4"/>
        <v>1251</v>
      </c>
      <c r="AE14" s="2">
        <f t="shared" si="4"/>
        <v>1239</v>
      </c>
      <c r="AF14" s="2">
        <f t="shared" si="4"/>
        <v>1405</v>
      </c>
      <c r="AG14" s="2">
        <f t="shared" ref="AG14:AK14" si="5">MROUND(SUM(AG16:AG24),1)</f>
        <v>1239</v>
      </c>
      <c r="AH14" s="2">
        <f t="shared" si="5"/>
        <v>2341</v>
      </c>
      <c r="AI14" s="2">
        <f t="shared" si="5"/>
        <v>1239</v>
      </c>
      <c r="AJ14" s="2">
        <f t="shared" si="5"/>
        <v>1371</v>
      </c>
      <c r="AK14" s="2">
        <f t="shared" si="5"/>
        <v>1274</v>
      </c>
      <c r="AL14" s="124"/>
    </row>
    <row r="15" spans="1:41" ht="15.75" customHeight="1" x14ac:dyDescent="0.4">
      <c r="A15" s="3" t="s">
        <v>6</v>
      </c>
      <c r="B15" s="3" t="s">
        <v>7</v>
      </c>
      <c r="C15" s="184" t="s">
        <v>8</v>
      </c>
      <c r="D15" s="4" t="s">
        <v>9</v>
      </c>
      <c r="E15" s="5" t="s">
        <v>167</v>
      </c>
      <c r="F15" s="5" t="s">
        <v>168</v>
      </c>
      <c r="G15" s="5" t="s">
        <v>169</v>
      </c>
      <c r="H15" s="5" t="s">
        <v>170</v>
      </c>
      <c r="I15" s="5" t="s">
        <v>171</v>
      </c>
      <c r="J15" s="5" t="s">
        <v>172</v>
      </c>
      <c r="K15" s="5" t="s">
        <v>173</v>
      </c>
      <c r="L15" s="5" t="s">
        <v>174</v>
      </c>
      <c r="M15" s="5" t="s">
        <v>175</v>
      </c>
      <c r="N15" s="5" t="s">
        <v>176</v>
      </c>
      <c r="O15" s="5" t="s">
        <v>116</v>
      </c>
      <c r="P15" s="5" t="s">
        <v>117</v>
      </c>
      <c r="Q15" s="5" t="s">
        <v>118</v>
      </c>
      <c r="R15" s="5" t="s">
        <v>119</v>
      </c>
      <c r="S15" s="5" t="s">
        <v>120</v>
      </c>
      <c r="T15" s="5" t="s">
        <v>177</v>
      </c>
      <c r="U15" s="5" t="s">
        <v>178</v>
      </c>
      <c r="V15" s="5" t="s">
        <v>179</v>
      </c>
      <c r="W15" s="36">
        <v>10000</v>
      </c>
      <c r="X15" s="36">
        <v>20000</v>
      </c>
      <c r="Y15" s="36">
        <v>30000</v>
      </c>
      <c r="Z15" s="36">
        <v>40000</v>
      </c>
      <c r="AA15" s="36">
        <v>50000</v>
      </c>
      <c r="AB15" s="36">
        <v>60000</v>
      </c>
      <c r="AC15" s="36">
        <v>70000</v>
      </c>
      <c r="AD15" s="36">
        <v>80000</v>
      </c>
      <c r="AE15" s="36">
        <v>90000</v>
      </c>
      <c r="AF15" s="36">
        <f>AE15+10000</f>
        <v>100000</v>
      </c>
      <c r="AG15" s="36">
        <f t="shared" ref="AG15:AK15" si="6">AF15+10000</f>
        <v>110000</v>
      </c>
      <c r="AH15" s="36">
        <f t="shared" si="6"/>
        <v>120000</v>
      </c>
      <c r="AI15" s="36">
        <f t="shared" si="6"/>
        <v>130000</v>
      </c>
      <c r="AJ15" s="36">
        <f t="shared" si="6"/>
        <v>140000</v>
      </c>
      <c r="AK15" s="36">
        <f t="shared" si="6"/>
        <v>150000</v>
      </c>
    </row>
    <row r="16" spans="1:41" ht="15.75" customHeight="1" x14ac:dyDescent="0.4">
      <c r="A16" s="7">
        <v>1</v>
      </c>
      <c r="B16" s="8" t="s">
        <v>180</v>
      </c>
      <c r="C16" s="185" t="s">
        <v>97</v>
      </c>
      <c r="D16" s="9">
        <f>VLOOKUP(C16,'[1]PREÇO ATUAL'!$A:$D,4,0)</f>
        <v>112.46</v>
      </c>
      <c r="E16" s="10">
        <v>1</v>
      </c>
      <c r="F16" s="10">
        <v>1</v>
      </c>
      <c r="G16" s="10">
        <v>1</v>
      </c>
      <c r="H16" s="10">
        <v>1</v>
      </c>
      <c r="I16" s="11">
        <v>1</v>
      </c>
      <c r="J16" s="11">
        <v>1</v>
      </c>
      <c r="K16" s="11">
        <v>1</v>
      </c>
      <c r="L16" s="11">
        <v>1</v>
      </c>
      <c r="M16" s="11">
        <v>1</v>
      </c>
      <c r="N16" s="11">
        <v>1</v>
      </c>
      <c r="O16" s="11">
        <v>1</v>
      </c>
      <c r="P16" s="11">
        <v>1</v>
      </c>
      <c r="Q16" s="11">
        <v>1</v>
      </c>
      <c r="R16" s="11">
        <v>1</v>
      </c>
      <c r="S16" s="11">
        <v>1</v>
      </c>
      <c r="T16" s="11"/>
      <c r="U16" s="11"/>
      <c r="V16" s="11"/>
      <c r="W16" s="13">
        <f t="shared" ref="W16:AK23" si="7">$D16*E16</f>
        <v>112.46</v>
      </c>
      <c r="X16" s="13">
        <f t="shared" si="7"/>
        <v>112.46</v>
      </c>
      <c r="Y16" s="13">
        <f t="shared" si="7"/>
        <v>112.46</v>
      </c>
      <c r="Z16" s="13">
        <f t="shared" si="7"/>
        <v>112.46</v>
      </c>
      <c r="AA16" s="13">
        <f t="shared" si="7"/>
        <v>112.46</v>
      </c>
      <c r="AB16" s="13">
        <f t="shared" si="7"/>
        <v>112.46</v>
      </c>
      <c r="AC16" s="13">
        <f t="shared" si="7"/>
        <v>112.46</v>
      </c>
      <c r="AD16" s="13">
        <f t="shared" si="7"/>
        <v>112.46</v>
      </c>
      <c r="AE16" s="13">
        <f t="shared" si="7"/>
        <v>112.46</v>
      </c>
      <c r="AF16" s="13">
        <f t="shared" si="7"/>
        <v>112.46</v>
      </c>
      <c r="AG16" s="13">
        <f t="shared" si="7"/>
        <v>112.46</v>
      </c>
      <c r="AH16" s="13">
        <f t="shared" si="7"/>
        <v>112.46</v>
      </c>
      <c r="AI16" s="13">
        <f t="shared" si="7"/>
        <v>112.46</v>
      </c>
      <c r="AJ16" s="13">
        <f t="shared" si="7"/>
        <v>112.46</v>
      </c>
      <c r="AK16" s="13">
        <f t="shared" si="7"/>
        <v>112.46</v>
      </c>
    </row>
    <row r="17" spans="1:38" ht="15.75" customHeight="1" x14ac:dyDescent="0.4">
      <c r="A17" s="15">
        <v>2</v>
      </c>
      <c r="B17" s="16" t="s">
        <v>57</v>
      </c>
      <c r="C17" s="186" t="s">
        <v>98</v>
      </c>
      <c r="D17" s="17">
        <f>VLOOKUP(C17,'[1]PREÇO ATUAL'!$A:$D,4,0)</f>
        <v>35.9</v>
      </c>
      <c r="E17" s="18">
        <v>1</v>
      </c>
      <c r="F17" s="18">
        <v>1</v>
      </c>
      <c r="G17" s="18">
        <v>1</v>
      </c>
      <c r="H17" s="18">
        <v>1</v>
      </c>
      <c r="I17" s="19">
        <v>1</v>
      </c>
      <c r="J17" s="19">
        <v>1</v>
      </c>
      <c r="K17" s="19">
        <v>1</v>
      </c>
      <c r="L17" s="19">
        <v>1</v>
      </c>
      <c r="M17" s="19">
        <v>1</v>
      </c>
      <c r="N17" s="19">
        <v>1</v>
      </c>
      <c r="O17" s="19">
        <v>1</v>
      </c>
      <c r="P17" s="19">
        <v>1</v>
      </c>
      <c r="Q17" s="19">
        <v>1</v>
      </c>
      <c r="R17" s="19">
        <v>1</v>
      </c>
      <c r="S17" s="19">
        <v>1</v>
      </c>
      <c r="T17" s="19"/>
      <c r="U17" s="19"/>
      <c r="V17" s="19"/>
      <c r="W17" s="21">
        <f t="shared" si="7"/>
        <v>35.9</v>
      </c>
      <c r="X17" s="21">
        <f t="shared" si="7"/>
        <v>35.9</v>
      </c>
      <c r="Y17" s="21">
        <f t="shared" si="7"/>
        <v>35.9</v>
      </c>
      <c r="Z17" s="21">
        <f t="shared" si="7"/>
        <v>35.9</v>
      </c>
      <c r="AA17" s="21">
        <f t="shared" si="7"/>
        <v>35.9</v>
      </c>
      <c r="AB17" s="21">
        <f t="shared" si="7"/>
        <v>35.9</v>
      </c>
      <c r="AC17" s="21">
        <f t="shared" si="7"/>
        <v>35.9</v>
      </c>
      <c r="AD17" s="21">
        <f t="shared" si="7"/>
        <v>35.9</v>
      </c>
      <c r="AE17" s="21">
        <f t="shared" si="7"/>
        <v>35.9</v>
      </c>
      <c r="AF17" s="21">
        <f t="shared" si="7"/>
        <v>35.9</v>
      </c>
      <c r="AG17" s="21">
        <f t="shared" si="7"/>
        <v>35.9</v>
      </c>
      <c r="AH17" s="21">
        <f t="shared" si="7"/>
        <v>35.9</v>
      </c>
      <c r="AI17" s="21">
        <f t="shared" si="7"/>
        <v>35.9</v>
      </c>
      <c r="AJ17" s="21">
        <f t="shared" si="7"/>
        <v>35.9</v>
      </c>
      <c r="AK17" s="21">
        <f t="shared" si="7"/>
        <v>35.9</v>
      </c>
    </row>
    <row r="18" spans="1:38" ht="15.75" customHeight="1" x14ac:dyDescent="0.4">
      <c r="A18" s="7">
        <v>3</v>
      </c>
      <c r="B18" s="8" t="s">
        <v>181</v>
      </c>
      <c r="C18" s="185" t="s">
        <v>135</v>
      </c>
      <c r="D18" s="9">
        <f>VLOOKUP(C18,'[1]PREÇO ATUAL'!$A:$D,4,0)</f>
        <v>114.17</v>
      </c>
      <c r="E18" s="10"/>
      <c r="F18" s="10">
        <v>1</v>
      </c>
      <c r="G18" s="10"/>
      <c r="H18" s="10">
        <v>1</v>
      </c>
      <c r="I18" s="11"/>
      <c r="J18" s="11">
        <v>1</v>
      </c>
      <c r="K18" s="11"/>
      <c r="L18" s="11">
        <v>1</v>
      </c>
      <c r="M18" s="11"/>
      <c r="N18" s="11">
        <v>1</v>
      </c>
      <c r="O18" s="11"/>
      <c r="P18" s="11">
        <v>1</v>
      </c>
      <c r="Q18" s="11"/>
      <c r="R18" s="11">
        <v>1</v>
      </c>
      <c r="S18" s="11"/>
      <c r="T18" s="11"/>
      <c r="U18" s="11"/>
      <c r="V18" s="11"/>
      <c r="W18" s="13">
        <f t="shared" si="7"/>
        <v>0</v>
      </c>
      <c r="X18" s="13">
        <f t="shared" si="7"/>
        <v>114.17</v>
      </c>
      <c r="Y18" s="13">
        <f t="shared" si="7"/>
        <v>0</v>
      </c>
      <c r="Z18" s="13">
        <f t="shared" si="7"/>
        <v>114.17</v>
      </c>
      <c r="AA18" s="13">
        <f t="shared" si="7"/>
        <v>0</v>
      </c>
      <c r="AB18" s="13">
        <f t="shared" si="7"/>
        <v>114.17</v>
      </c>
      <c r="AC18" s="13">
        <f t="shared" si="7"/>
        <v>0</v>
      </c>
      <c r="AD18" s="13">
        <f t="shared" si="7"/>
        <v>114.17</v>
      </c>
      <c r="AE18" s="13">
        <f t="shared" si="7"/>
        <v>0</v>
      </c>
      <c r="AF18" s="13">
        <f t="shared" si="7"/>
        <v>114.17</v>
      </c>
      <c r="AG18" s="13">
        <f t="shared" si="7"/>
        <v>0</v>
      </c>
      <c r="AH18" s="13">
        <f t="shared" si="7"/>
        <v>114.17</v>
      </c>
      <c r="AI18" s="13">
        <f t="shared" si="7"/>
        <v>0</v>
      </c>
      <c r="AJ18" s="13">
        <f t="shared" si="7"/>
        <v>114.17</v>
      </c>
      <c r="AK18" s="13">
        <f t="shared" si="7"/>
        <v>0</v>
      </c>
    </row>
    <row r="19" spans="1:38" ht="15.75" customHeight="1" x14ac:dyDescent="0.4">
      <c r="A19" s="86">
        <v>4</v>
      </c>
      <c r="B19" s="87" t="s">
        <v>43</v>
      </c>
      <c r="C19" s="189" t="s">
        <v>184</v>
      </c>
      <c r="D19" s="88">
        <f>VLOOKUP(C19,'[1]PREÇO ATUAL'!$A:$D,4,0)</f>
        <v>217.923</v>
      </c>
      <c r="E19" s="98">
        <v>1</v>
      </c>
      <c r="F19" s="98">
        <v>1</v>
      </c>
      <c r="G19" s="98">
        <v>1</v>
      </c>
      <c r="H19" s="98">
        <v>1</v>
      </c>
      <c r="I19" s="99">
        <v>1</v>
      </c>
      <c r="J19" s="99">
        <v>1</v>
      </c>
      <c r="K19" s="99">
        <v>1</v>
      </c>
      <c r="L19" s="99">
        <v>1</v>
      </c>
      <c r="M19" s="99">
        <v>1</v>
      </c>
      <c r="N19" s="99">
        <v>1</v>
      </c>
      <c r="O19" s="99">
        <v>1</v>
      </c>
      <c r="P19" s="99">
        <v>1</v>
      </c>
      <c r="Q19" s="99">
        <v>1</v>
      </c>
      <c r="R19" s="99">
        <v>1</v>
      </c>
      <c r="S19" s="99">
        <v>1</v>
      </c>
      <c r="T19" s="19"/>
      <c r="U19" s="19"/>
      <c r="V19" s="19"/>
      <c r="W19" s="90">
        <f t="shared" si="7"/>
        <v>217.923</v>
      </c>
      <c r="X19" s="90">
        <f t="shared" si="7"/>
        <v>217.923</v>
      </c>
      <c r="Y19" s="90">
        <f t="shared" si="7"/>
        <v>217.923</v>
      </c>
      <c r="Z19" s="90">
        <f t="shared" si="7"/>
        <v>217.923</v>
      </c>
      <c r="AA19" s="90">
        <f t="shared" si="7"/>
        <v>217.923</v>
      </c>
      <c r="AB19" s="90">
        <f t="shared" si="7"/>
        <v>217.923</v>
      </c>
      <c r="AC19" s="90">
        <f t="shared" si="7"/>
        <v>217.923</v>
      </c>
      <c r="AD19" s="90">
        <f t="shared" si="7"/>
        <v>217.923</v>
      </c>
      <c r="AE19" s="90">
        <f t="shared" si="7"/>
        <v>217.923</v>
      </c>
      <c r="AF19" s="90">
        <f t="shared" si="7"/>
        <v>217.923</v>
      </c>
      <c r="AG19" s="90">
        <f t="shared" si="7"/>
        <v>217.923</v>
      </c>
      <c r="AH19" s="90">
        <f t="shared" si="7"/>
        <v>217.923</v>
      </c>
      <c r="AI19" s="90">
        <f t="shared" si="7"/>
        <v>217.923</v>
      </c>
      <c r="AJ19" s="90">
        <f t="shared" si="7"/>
        <v>217.923</v>
      </c>
      <c r="AK19" s="90">
        <f t="shared" si="7"/>
        <v>217.923</v>
      </c>
    </row>
    <row r="20" spans="1:38" ht="15.75" customHeight="1" x14ac:dyDescent="0.4">
      <c r="A20" s="75">
        <v>5</v>
      </c>
      <c r="B20" s="76" t="s">
        <v>59</v>
      </c>
      <c r="C20" s="188" t="s">
        <v>100</v>
      </c>
      <c r="D20" s="77">
        <f>VLOOKUP(C20,'[1]PREÇO ATUAL'!$A:$D,4,0)</f>
        <v>169.9</v>
      </c>
      <c r="E20" s="79"/>
      <c r="F20" s="79"/>
      <c r="G20" s="79"/>
      <c r="H20" s="79"/>
      <c r="I20" s="81"/>
      <c r="J20" s="81">
        <v>4</v>
      </c>
      <c r="K20" s="81"/>
      <c r="L20" s="81"/>
      <c r="M20" s="81"/>
      <c r="N20" s="81"/>
      <c r="O20" s="81"/>
      <c r="P20" s="81">
        <v>4</v>
      </c>
      <c r="Q20" s="81"/>
      <c r="R20" s="81"/>
      <c r="S20" s="81"/>
      <c r="T20" s="11"/>
      <c r="U20" s="11"/>
      <c r="V20" s="11"/>
      <c r="W20" s="83">
        <f t="shared" si="7"/>
        <v>0</v>
      </c>
      <c r="X20" s="83">
        <f t="shared" si="7"/>
        <v>0</v>
      </c>
      <c r="Y20" s="83">
        <f t="shared" si="7"/>
        <v>0</v>
      </c>
      <c r="Z20" s="83">
        <f t="shared" si="7"/>
        <v>0</v>
      </c>
      <c r="AA20" s="83">
        <f t="shared" si="7"/>
        <v>0</v>
      </c>
      <c r="AB20" s="83">
        <f t="shared" si="7"/>
        <v>679.6</v>
      </c>
      <c r="AC20" s="83">
        <f t="shared" si="7"/>
        <v>0</v>
      </c>
      <c r="AD20" s="83">
        <f t="shared" si="7"/>
        <v>0</v>
      </c>
      <c r="AE20" s="83">
        <f t="shared" si="7"/>
        <v>0</v>
      </c>
      <c r="AF20" s="83">
        <f t="shared" si="7"/>
        <v>0</v>
      </c>
      <c r="AG20" s="83">
        <f t="shared" si="7"/>
        <v>0</v>
      </c>
      <c r="AH20" s="83">
        <f t="shared" si="7"/>
        <v>679.6</v>
      </c>
      <c r="AI20" s="83">
        <f t="shared" si="7"/>
        <v>0</v>
      </c>
      <c r="AJ20" s="83">
        <f t="shared" si="7"/>
        <v>0</v>
      </c>
      <c r="AK20" s="83">
        <f t="shared" si="7"/>
        <v>0</v>
      </c>
    </row>
    <row r="21" spans="1:38" ht="14.6" x14ac:dyDescent="0.4">
      <c r="A21" s="86">
        <v>6</v>
      </c>
      <c r="B21" s="87" t="s">
        <v>182</v>
      </c>
      <c r="C21" s="189" t="s">
        <v>140</v>
      </c>
      <c r="D21" s="88">
        <f>VLOOKUP(C21,'[1]PREÇO ATUAL'!$A:$D,4,0)</f>
        <v>88.64</v>
      </c>
      <c r="E21" s="98"/>
      <c r="F21" s="98"/>
      <c r="G21" s="98"/>
      <c r="H21" s="98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19"/>
      <c r="U21" s="19"/>
      <c r="V21" s="19"/>
      <c r="W21" s="90">
        <f t="shared" si="7"/>
        <v>0</v>
      </c>
      <c r="X21" s="90">
        <f t="shared" si="7"/>
        <v>0</v>
      </c>
      <c r="Y21" s="90">
        <f t="shared" si="7"/>
        <v>0</v>
      </c>
      <c r="Z21" s="90">
        <f t="shared" si="7"/>
        <v>0</v>
      </c>
      <c r="AA21" s="90">
        <f t="shared" si="7"/>
        <v>0</v>
      </c>
      <c r="AB21" s="90">
        <f t="shared" si="7"/>
        <v>0</v>
      </c>
      <c r="AC21" s="90">
        <f t="shared" si="7"/>
        <v>0</v>
      </c>
      <c r="AD21" s="90">
        <f t="shared" si="7"/>
        <v>0</v>
      </c>
      <c r="AE21" s="90">
        <f t="shared" si="7"/>
        <v>0</v>
      </c>
      <c r="AF21" s="90">
        <f t="shared" si="7"/>
        <v>0</v>
      </c>
      <c r="AG21" s="90">
        <f t="shared" si="7"/>
        <v>0</v>
      </c>
      <c r="AH21" s="90">
        <f t="shared" si="7"/>
        <v>0</v>
      </c>
      <c r="AI21" s="90">
        <f t="shared" si="7"/>
        <v>0</v>
      </c>
      <c r="AJ21" s="90">
        <f t="shared" si="7"/>
        <v>0</v>
      </c>
      <c r="AK21" s="90">
        <f t="shared" si="7"/>
        <v>0</v>
      </c>
    </row>
    <row r="22" spans="1:38" ht="15.75" customHeight="1" x14ac:dyDescent="0.4">
      <c r="A22" s="75">
        <v>7</v>
      </c>
      <c r="B22" s="76" t="s">
        <v>160</v>
      </c>
      <c r="C22" s="188" t="s">
        <v>161</v>
      </c>
      <c r="D22" s="77">
        <f>VLOOKUP(C22,'[1]PREÇO ATUAL'!$A:$D,4,0)</f>
        <v>45.09</v>
      </c>
      <c r="E22" s="79"/>
      <c r="F22" s="79"/>
      <c r="G22" s="79"/>
      <c r="H22" s="79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48"/>
      <c r="U22" s="48"/>
      <c r="V22" s="48"/>
      <c r="W22" s="83">
        <f t="shared" si="7"/>
        <v>0</v>
      </c>
      <c r="X22" s="83">
        <f t="shared" si="7"/>
        <v>0</v>
      </c>
      <c r="Y22" s="83">
        <f t="shared" si="7"/>
        <v>0</v>
      </c>
      <c r="Z22" s="83">
        <f t="shared" si="7"/>
        <v>0</v>
      </c>
      <c r="AA22" s="83">
        <f t="shared" si="7"/>
        <v>0</v>
      </c>
      <c r="AB22" s="83">
        <f t="shared" si="7"/>
        <v>0</v>
      </c>
      <c r="AC22" s="83">
        <f t="shared" si="7"/>
        <v>0</v>
      </c>
      <c r="AD22" s="83">
        <f t="shared" si="7"/>
        <v>0</v>
      </c>
      <c r="AE22" s="83">
        <f t="shared" si="7"/>
        <v>0</v>
      </c>
      <c r="AF22" s="83">
        <f t="shared" si="7"/>
        <v>0</v>
      </c>
      <c r="AG22" s="83">
        <f t="shared" si="7"/>
        <v>0</v>
      </c>
      <c r="AH22" s="83">
        <f t="shared" si="7"/>
        <v>0</v>
      </c>
      <c r="AI22" s="83">
        <f t="shared" si="7"/>
        <v>0</v>
      </c>
      <c r="AJ22" s="83">
        <f t="shared" si="7"/>
        <v>0</v>
      </c>
      <c r="AK22" s="83">
        <f t="shared" si="7"/>
        <v>0</v>
      </c>
    </row>
    <row r="23" spans="1:38" ht="15.75" customHeight="1" x14ac:dyDescent="0.4">
      <c r="A23" s="86">
        <v>8</v>
      </c>
      <c r="B23" s="87" t="s">
        <v>101</v>
      </c>
      <c r="C23" s="189" t="s">
        <v>102</v>
      </c>
      <c r="D23" s="88">
        <f>VLOOKUP(C23,'[1]PREÇO ATUAL'!$A:$D,4,0)</f>
        <v>107.0915531472088</v>
      </c>
      <c r="E23" s="120">
        <v>4.8</v>
      </c>
      <c r="F23" s="120">
        <v>4.8</v>
      </c>
      <c r="G23" s="120">
        <v>4.8</v>
      </c>
      <c r="H23" s="120">
        <v>4.8</v>
      </c>
      <c r="I23" s="120">
        <v>4.8</v>
      </c>
      <c r="J23" s="120">
        <v>4.8</v>
      </c>
      <c r="K23" s="120">
        <v>4.8</v>
      </c>
      <c r="L23" s="120">
        <v>4.8</v>
      </c>
      <c r="M23" s="120">
        <v>4.8</v>
      </c>
      <c r="N23" s="120">
        <v>4.8</v>
      </c>
      <c r="O23" s="120">
        <v>4.8</v>
      </c>
      <c r="P23" s="120">
        <v>4.8</v>
      </c>
      <c r="Q23" s="120">
        <v>4.8</v>
      </c>
      <c r="R23" s="120">
        <v>4.8</v>
      </c>
      <c r="S23" s="120">
        <v>4.8</v>
      </c>
      <c r="T23" s="17"/>
      <c r="U23" s="17"/>
      <c r="V23" s="17"/>
      <c r="W23" s="90">
        <f t="shared" si="7"/>
        <v>514.03945510660219</v>
      </c>
      <c r="X23" s="90">
        <f t="shared" si="7"/>
        <v>514.03945510660219</v>
      </c>
      <c r="Y23" s="90">
        <f t="shared" si="7"/>
        <v>514.03945510660219</v>
      </c>
      <c r="Z23" s="90">
        <f t="shared" si="7"/>
        <v>514.03945510660219</v>
      </c>
      <c r="AA23" s="90">
        <f t="shared" si="7"/>
        <v>514.03945510660219</v>
      </c>
      <c r="AB23" s="90">
        <f t="shared" si="7"/>
        <v>514.03945510660219</v>
      </c>
      <c r="AC23" s="90">
        <f t="shared" si="7"/>
        <v>514.03945510660219</v>
      </c>
      <c r="AD23" s="90">
        <f t="shared" si="7"/>
        <v>514.03945510660219</v>
      </c>
      <c r="AE23" s="90">
        <f t="shared" si="7"/>
        <v>514.03945510660219</v>
      </c>
      <c r="AF23" s="90">
        <f t="shared" si="7"/>
        <v>514.03945510660219</v>
      </c>
      <c r="AG23" s="90">
        <f t="shared" si="7"/>
        <v>514.03945510660219</v>
      </c>
      <c r="AH23" s="90">
        <f t="shared" si="7"/>
        <v>514.03945510660219</v>
      </c>
      <c r="AI23" s="90">
        <f t="shared" si="7"/>
        <v>514.03945510660219</v>
      </c>
      <c r="AJ23" s="90">
        <f t="shared" si="7"/>
        <v>514.03945510660219</v>
      </c>
      <c r="AK23" s="90">
        <f t="shared" si="7"/>
        <v>514.03945510660219</v>
      </c>
    </row>
    <row r="24" spans="1:38" ht="15.75" customHeight="1" x14ac:dyDescent="0.4">
      <c r="A24" s="75">
        <v>9</v>
      </c>
      <c r="B24" s="76" t="s">
        <v>38</v>
      </c>
      <c r="C24" s="188" t="s">
        <v>39</v>
      </c>
      <c r="D24" s="77">
        <f>VLOOKUP(C24,'[1]PREÇO ATUAL'!$A:$D,4,0)</f>
        <v>342</v>
      </c>
      <c r="E24" s="119">
        <v>1.05</v>
      </c>
      <c r="F24" s="119">
        <v>1.1000000000000001</v>
      </c>
      <c r="G24" s="119">
        <v>1.05</v>
      </c>
      <c r="H24" s="119">
        <v>0.74999999999999989</v>
      </c>
      <c r="I24" s="77">
        <v>1.1499999999999999</v>
      </c>
      <c r="J24" s="77">
        <v>1.6</v>
      </c>
      <c r="K24" s="77">
        <v>1.05</v>
      </c>
      <c r="L24" s="77">
        <v>0.74999999999999989</v>
      </c>
      <c r="M24" s="77">
        <v>1.05</v>
      </c>
      <c r="N24" s="77">
        <v>1.2</v>
      </c>
      <c r="O24" s="77">
        <v>1.05</v>
      </c>
      <c r="P24" s="77">
        <v>1.9500000000000002</v>
      </c>
      <c r="Q24" s="77">
        <v>1.05</v>
      </c>
      <c r="R24" s="77">
        <v>1.1000000000000001</v>
      </c>
      <c r="S24" s="77">
        <v>1.1499999999999999</v>
      </c>
      <c r="T24" s="48"/>
      <c r="U24" s="48"/>
      <c r="V24" s="48"/>
      <c r="W24" s="83">
        <f>D24*E24</f>
        <v>359.1</v>
      </c>
      <c r="X24" s="83">
        <f t="shared" ref="X24:AK24" si="8">$D24*F24</f>
        <v>376.20000000000005</v>
      </c>
      <c r="Y24" s="83">
        <f t="shared" si="8"/>
        <v>359.1</v>
      </c>
      <c r="Z24" s="83">
        <f t="shared" si="8"/>
        <v>256.49999999999994</v>
      </c>
      <c r="AA24" s="83">
        <f t="shared" si="8"/>
        <v>393.29999999999995</v>
      </c>
      <c r="AB24" s="83">
        <f t="shared" si="8"/>
        <v>547.20000000000005</v>
      </c>
      <c r="AC24" s="83">
        <f t="shared" si="8"/>
        <v>359.1</v>
      </c>
      <c r="AD24" s="83">
        <f t="shared" si="8"/>
        <v>256.49999999999994</v>
      </c>
      <c r="AE24" s="83">
        <f t="shared" si="8"/>
        <v>359.1</v>
      </c>
      <c r="AF24" s="83">
        <f t="shared" si="8"/>
        <v>410.4</v>
      </c>
      <c r="AG24" s="83">
        <f t="shared" si="8"/>
        <v>359.1</v>
      </c>
      <c r="AH24" s="83">
        <f t="shared" si="8"/>
        <v>666.90000000000009</v>
      </c>
      <c r="AI24" s="83">
        <f t="shared" si="8"/>
        <v>359.1</v>
      </c>
      <c r="AJ24" s="83">
        <f t="shared" si="8"/>
        <v>376.20000000000005</v>
      </c>
      <c r="AK24" s="83">
        <f t="shared" si="8"/>
        <v>393.29999999999995</v>
      </c>
    </row>
    <row r="25" spans="1:38" ht="15.75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38" ht="15.75" customHeight="1" x14ac:dyDescent="0.4">
      <c r="A26" s="201" t="s">
        <v>185</v>
      </c>
      <c r="B26" s="202"/>
      <c r="C26" s="202"/>
      <c r="D26" s="203"/>
      <c r="E26" s="112" t="s">
        <v>3</v>
      </c>
      <c r="F26" s="112"/>
      <c r="G26" s="113"/>
      <c r="H26" s="113"/>
      <c r="I26" s="113"/>
      <c r="J26" s="113"/>
      <c r="K26" s="113"/>
      <c r="L26" s="113"/>
      <c r="M26" s="113"/>
      <c r="N26" s="113"/>
      <c r="O26" s="114"/>
      <c r="P26" s="113"/>
      <c r="Q26" s="113"/>
      <c r="R26" s="113"/>
      <c r="S26" s="113"/>
      <c r="T26" s="113" t="s">
        <v>4</v>
      </c>
      <c r="U26" s="114"/>
      <c r="V26" s="114"/>
      <c r="W26" s="199"/>
      <c r="X26" s="111"/>
      <c r="Y26" s="111"/>
      <c r="Z26" s="111"/>
      <c r="AA26" s="111"/>
      <c r="AB26" s="111"/>
      <c r="AC26" s="111"/>
      <c r="AD26" s="111"/>
      <c r="AE26" s="111"/>
      <c r="AF26" s="111"/>
      <c r="AG26" s="182"/>
      <c r="AH26" s="182"/>
      <c r="AI26" s="182"/>
      <c r="AJ26" s="182"/>
      <c r="AK26" s="182"/>
    </row>
    <row r="27" spans="1:38" ht="15" customHeight="1" x14ac:dyDescent="0.4">
      <c r="A27" s="196"/>
      <c r="B27" s="197"/>
      <c r="C27" s="197"/>
      <c r="D27" s="198"/>
      <c r="E27" s="115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82"/>
      <c r="T27" s="182"/>
      <c r="U27" s="182"/>
      <c r="V27" s="182"/>
      <c r="W27" s="127">
        <f>MROUND(SUM(W29:W39),1)</f>
        <v>1603</v>
      </c>
      <c r="X27" s="127">
        <f t="shared" ref="X27:AK27" si="9">MROUND(SUM(X29:X39),1)</f>
        <v>1735</v>
      </c>
      <c r="Y27" s="127">
        <f t="shared" si="9"/>
        <v>1603</v>
      </c>
      <c r="Z27" s="127">
        <f t="shared" si="9"/>
        <v>1752</v>
      </c>
      <c r="AA27" s="127">
        <f>MROUND(SUM(AA29:AA39),1)</f>
        <v>1637</v>
      </c>
      <c r="AB27" s="127">
        <f t="shared" si="9"/>
        <v>2585</v>
      </c>
      <c r="AC27" s="127">
        <f t="shared" si="9"/>
        <v>1603</v>
      </c>
      <c r="AD27" s="127">
        <f>MROUND(SUM(AD29:AD39),1)</f>
        <v>1752</v>
      </c>
      <c r="AE27" s="127">
        <f t="shared" si="9"/>
        <v>1603</v>
      </c>
      <c r="AF27" s="127">
        <f t="shared" si="9"/>
        <v>1769</v>
      </c>
      <c r="AG27" s="127">
        <f t="shared" si="9"/>
        <v>1603</v>
      </c>
      <c r="AH27" s="127">
        <f t="shared" si="9"/>
        <v>2705</v>
      </c>
      <c r="AI27" s="127">
        <f t="shared" si="9"/>
        <v>1603</v>
      </c>
      <c r="AJ27" s="127">
        <f t="shared" si="9"/>
        <v>1735</v>
      </c>
      <c r="AK27" s="127">
        <f t="shared" si="9"/>
        <v>1637</v>
      </c>
      <c r="AL27" s="124"/>
    </row>
    <row r="28" spans="1:38" ht="15.75" customHeight="1" x14ac:dyDescent="0.4">
      <c r="A28" s="3" t="s">
        <v>6</v>
      </c>
      <c r="B28" s="3" t="s">
        <v>7</v>
      </c>
      <c r="C28" s="184" t="s">
        <v>8</v>
      </c>
      <c r="D28" s="4" t="s">
        <v>9</v>
      </c>
      <c r="E28" s="5" t="s">
        <v>167</v>
      </c>
      <c r="F28" s="5" t="s">
        <v>168</v>
      </c>
      <c r="G28" s="5" t="s">
        <v>169</v>
      </c>
      <c r="H28" s="5" t="s">
        <v>170</v>
      </c>
      <c r="I28" s="5" t="s">
        <v>171</v>
      </c>
      <c r="J28" s="5" t="s">
        <v>172</v>
      </c>
      <c r="K28" s="5" t="s">
        <v>173</v>
      </c>
      <c r="L28" s="5" t="s">
        <v>174</v>
      </c>
      <c r="M28" s="5" t="s">
        <v>175</v>
      </c>
      <c r="N28" s="5" t="s">
        <v>176</v>
      </c>
      <c r="O28" s="5" t="s">
        <v>116</v>
      </c>
      <c r="P28" s="5" t="s">
        <v>117</v>
      </c>
      <c r="Q28" s="5" t="s">
        <v>118</v>
      </c>
      <c r="R28" s="5" t="s">
        <v>119</v>
      </c>
      <c r="S28" s="5" t="s">
        <v>120</v>
      </c>
      <c r="T28" s="5" t="s">
        <v>177</v>
      </c>
      <c r="U28" s="5" t="s">
        <v>178</v>
      </c>
      <c r="V28" s="5" t="s">
        <v>179</v>
      </c>
      <c r="W28" s="36">
        <v>10000</v>
      </c>
      <c r="X28" s="36">
        <v>20000</v>
      </c>
      <c r="Y28" s="36">
        <v>30000</v>
      </c>
      <c r="Z28" s="36">
        <v>40000</v>
      </c>
      <c r="AA28" s="36">
        <v>50000</v>
      </c>
      <c r="AB28" s="36">
        <v>60000</v>
      </c>
      <c r="AC28" s="36">
        <v>70000</v>
      </c>
      <c r="AD28" s="36">
        <v>80000</v>
      </c>
      <c r="AE28" s="36">
        <v>90000</v>
      </c>
      <c r="AF28" s="36">
        <f>AE28+10000</f>
        <v>100000</v>
      </c>
      <c r="AG28" s="36">
        <f t="shared" ref="AG28" si="10">AF28+10000</f>
        <v>110000</v>
      </c>
      <c r="AH28" s="36">
        <f t="shared" ref="AH28" si="11">AG28+10000</f>
        <v>120000</v>
      </c>
      <c r="AI28" s="36">
        <f t="shared" ref="AI28" si="12">AH28+10000</f>
        <v>130000</v>
      </c>
      <c r="AJ28" s="36">
        <f t="shared" ref="AJ28" si="13">AI28+10000</f>
        <v>140000</v>
      </c>
      <c r="AK28" s="36">
        <f t="shared" ref="AK28" si="14">AJ28+10000</f>
        <v>150000</v>
      </c>
    </row>
    <row r="29" spans="1:38" ht="15.75" customHeight="1" x14ac:dyDescent="0.4">
      <c r="A29" s="7">
        <v>1</v>
      </c>
      <c r="B29" s="142" t="s">
        <v>41</v>
      </c>
      <c r="C29" s="185" t="s">
        <v>97</v>
      </c>
      <c r="D29" s="9">
        <f>VLOOKUP(C29,'[1]PREÇO ATUAL'!$A:$D,4,0)</f>
        <v>112.46</v>
      </c>
      <c r="E29" s="10">
        <v>1</v>
      </c>
      <c r="F29" s="10">
        <v>1</v>
      </c>
      <c r="G29" s="10">
        <v>1</v>
      </c>
      <c r="H29" s="10">
        <v>1</v>
      </c>
      <c r="I29" s="10">
        <v>1</v>
      </c>
      <c r="J29" s="10">
        <v>1</v>
      </c>
      <c r="K29" s="10">
        <v>1</v>
      </c>
      <c r="L29" s="10">
        <v>1</v>
      </c>
      <c r="M29" s="10">
        <v>1</v>
      </c>
      <c r="N29" s="10">
        <v>1</v>
      </c>
      <c r="O29" s="10">
        <v>1</v>
      </c>
      <c r="P29" s="10">
        <v>1</v>
      </c>
      <c r="Q29" s="10">
        <v>1</v>
      </c>
      <c r="R29" s="10">
        <v>1</v>
      </c>
      <c r="S29" s="10">
        <v>1</v>
      </c>
      <c r="T29" s="10"/>
      <c r="U29" s="10"/>
      <c r="V29" s="10"/>
      <c r="W29" s="13">
        <f t="shared" ref="W29:AK36" si="15">$D29*E29</f>
        <v>112.46</v>
      </c>
      <c r="X29" s="13">
        <f t="shared" si="15"/>
        <v>112.46</v>
      </c>
      <c r="Y29" s="13">
        <f t="shared" si="15"/>
        <v>112.46</v>
      </c>
      <c r="Z29" s="13">
        <f t="shared" si="15"/>
        <v>112.46</v>
      </c>
      <c r="AA29" s="13">
        <f t="shared" si="15"/>
        <v>112.46</v>
      </c>
      <c r="AB29" s="13">
        <f t="shared" si="15"/>
        <v>112.46</v>
      </c>
      <c r="AC29" s="13">
        <f t="shared" si="15"/>
        <v>112.46</v>
      </c>
      <c r="AD29" s="13">
        <f t="shared" si="15"/>
        <v>112.46</v>
      </c>
      <c r="AE29" s="13">
        <f t="shared" si="15"/>
        <v>112.46</v>
      </c>
      <c r="AF29" s="13">
        <f t="shared" si="15"/>
        <v>112.46</v>
      </c>
      <c r="AG29" s="13">
        <f t="shared" si="15"/>
        <v>112.46</v>
      </c>
      <c r="AH29" s="13">
        <f t="shared" si="15"/>
        <v>112.46</v>
      </c>
      <c r="AI29" s="13">
        <f t="shared" si="15"/>
        <v>112.46</v>
      </c>
      <c r="AJ29" s="13">
        <f t="shared" si="15"/>
        <v>112.46</v>
      </c>
      <c r="AK29" s="13">
        <f t="shared" si="15"/>
        <v>112.46</v>
      </c>
    </row>
    <row r="30" spans="1:38" ht="15.75" customHeight="1" x14ac:dyDescent="0.4">
      <c r="A30" s="15">
        <v>2</v>
      </c>
      <c r="B30" s="143" t="s">
        <v>186</v>
      </c>
      <c r="C30" s="186" t="s">
        <v>98</v>
      </c>
      <c r="D30" s="17">
        <f>VLOOKUP(C30,'[1]PREÇO ATUAL'!$A:$D,4,0)</f>
        <v>35.9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/>
      <c r="U30" s="18"/>
      <c r="V30" s="18"/>
      <c r="W30" s="21">
        <f t="shared" si="15"/>
        <v>35.9</v>
      </c>
      <c r="X30" s="21">
        <f t="shared" si="15"/>
        <v>35.9</v>
      </c>
      <c r="Y30" s="21">
        <f t="shared" si="15"/>
        <v>35.9</v>
      </c>
      <c r="Z30" s="21">
        <f t="shared" si="15"/>
        <v>35.9</v>
      </c>
      <c r="AA30" s="21">
        <f t="shared" si="15"/>
        <v>35.9</v>
      </c>
      <c r="AB30" s="21">
        <f t="shared" si="15"/>
        <v>35.9</v>
      </c>
      <c r="AC30" s="21">
        <f t="shared" si="15"/>
        <v>35.9</v>
      </c>
      <c r="AD30" s="21">
        <f t="shared" si="15"/>
        <v>35.9</v>
      </c>
      <c r="AE30" s="21">
        <f t="shared" si="15"/>
        <v>35.9</v>
      </c>
      <c r="AF30" s="21">
        <f t="shared" si="15"/>
        <v>35.9</v>
      </c>
      <c r="AG30" s="21">
        <f t="shared" si="15"/>
        <v>35.9</v>
      </c>
      <c r="AH30" s="21">
        <f t="shared" si="15"/>
        <v>35.9</v>
      </c>
      <c r="AI30" s="21">
        <f t="shared" si="15"/>
        <v>35.9</v>
      </c>
      <c r="AJ30" s="21">
        <f t="shared" si="15"/>
        <v>35.9</v>
      </c>
      <c r="AK30" s="21">
        <f t="shared" si="15"/>
        <v>35.9</v>
      </c>
    </row>
    <row r="31" spans="1:38" ht="15.75" customHeight="1" x14ac:dyDescent="0.4">
      <c r="A31" s="7">
        <v>3</v>
      </c>
      <c r="B31" s="142" t="s">
        <v>42</v>
      </c>
      <c r="C31" s="185" t="s">
        <v>135</v>
      </c>
      <c r="D31" s="9">
        <f>VLOOKUP(C31,'[1]PREÇO ATUAL'!$A:$D,4,0)</f>
        <v>114.17</v>
      </c>
      <c r="E31" s="10"/>
      <c r="F31" s="10">
        <v>1</v>
      </c>
      <c r="G31" s="10"/>
      <c r="H31" s="10">
        <v>1</v>
      </c>
      <c r="I31" s="11"/>
      <c r="J31" s="11">
        <v>1</v>
      </c>
      <c r="K31" s="11"/>
      <c r="L31" s="11">
        <v>1</v>
      </c>
      <c r="M31" s="11"/>
      <c r="N31" s="11">
        <v>1</v>
      </c>
      <c r="O31" s="11"/>
      <c r="P31" s="11">
        <v>1</v>
      </c>
      <c r="Q31" s="11"/>
      <c r="R31" s="11">
        <v>1</v>
      </c>
      <c r="S31" s="11"/>
      <c r="T31" s="11"/>
      <c r="U31" s="11"/>
      <c r="V31" s="11"/>
      <c r="W31" s="13">
        <f t="shared" si="15"/>
        <v>0</v>
      </c>
      <c r="X31" s="13">
        <f t="shared" si="15"/>
        <v>114.17</v>
      </c>
      <c r="Y31" s="13">
        <f t="shared" si="15"/>
        <v>0</v>
      </c>
      <c r="Z31" s="13">
        <f t="shared" si="15"/>
        <v>114.17</v>
      </c>
      <c r="AA31" s="13">
        <f t="shared" si="15"/>
        <v>0</v>
      </c>
      <c r="AB31" s="13">
        <f t="shared" si="15"/>
        <v>114.17</v>
      </c>
      <c r="AC31" s="13">
        <f t="shared" si="15"/>
        <v>0</v>
      </c>
      <c r="AD31" s="13">
        <f t="shared" si="15"/>
        <v>114.17</v>
      </c>
      <c r="AE31" s="13">
        <f t="shared" si="15"/>
        <v>0</v>
      </c>
      <c r="AF31" s="13">
        <f t="shared" si="15"/>
        <v>114.17</v>
      </c>
      <c r="AG31" s="13">
        <f t="shared" si="15"/>
        <v>0</v>
      </c>
      <c r="AH31" s="13">
        <f t="shared" si="15"/>
        <v>114.17</v>
      </c>
      <c r="AI31" s="13">
        <f t="shared" si="15"/>
        <v>0</v>
      </c>
      <c r="AJ31" s="13">
        <f t="shared" si="15"/>
        <v>114.17</v>
      </c>
      <c r="AK31" s="13">
        <f t="shared" si="15"/>
        <v>0</v>
      </c>
    </row>
    <row r="32" spans="1:38" ht="15.75" customHeight="1" x14ac:dyDescent="0.4">
      <c r="A32" s="86">
        <v>4</v>
      </c>
      <c r="B32" s="144" t="s">
        <v>43</v>
      </c>
      <c r="C32" s="189" t="s">
        <v>184</v>
      </c>
      <c r="D32" s="88">
        <f>VLOOKUP(C32,'[1]PREÇO ATUAL'!$A:$D,4,0)</f>
        <v>217.923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9"/>
      <c r="U32" s="19"/>
      <c r="V32" s="19"/>
      <c r="W32" s="90">
        <f t="shared" si="15"/>
        <v>217.923</v>
      </c>
      <c r="X32" s="90">
        <f t="shared" si="15"/>
        <v>217.923</v>
      </c>
      <c r="Y32" s="90">
        <f t="shared" si="15"/>
        <v>217.923</v>
      </c>
      <c r="Z32" s="90">
        <f t="shared" si="15"/>
        <v>217.923</v>
      </c>
      <c r="AA32" s="90">
        <f t="shared" si="15"/>
        <v>217.923</v>
      </c>
      <c r="AB32" s="90">
        <f t="shared" si="15"/>
        <v>217.923</v>
      </c>
      <c r="AC32" s="90">
        <f t="shared" si="15"/>
        <v>217.923</v>
      </c>
      <c r="AD32" s="90">
        <f t="shared" si="15"/>
        <v>217.923</v>
      </c>
      <c r="AE32" s="90">
        <f t="shared" si="15"/>
        <v>217.923</v>
      </c>
      <c r="AF32" s="90">
        <f t="shared" si="15"/>
        <v>217.923</v>
      </c>
      <c r="AG32" s="90">
        <f t="shared" si="15"/>
        <v>217.923</v>
      </c>
      <c r="AH32" s="90">
        <f t="shared" si="15"/>
        <v>217.923</v>
      </c>
      <c r="AI32" s="90">
        <f t="shared" si="15"/>
        <v>217.923</v>
      </c>
      <c r="AJ32" s="90">
        <f t="shared" si="15"/>
        <v>217.923</v>
      </c>
      <c r="AK32" s="90">
        <f t="shared" si="15"/>
        <v>217.923</v>
      </c>
    </row>
    <row r="33" spans="1:38" ht="24.9" x14ac:dyDescent="0.4">
      <c r="A33" s="75">
        <v>5</v>
      </c>
      <c r="B33" s="200" t="s">
        <v>187</v>
      </c>
      <c r="C33" s="188" t="s">
        <v>100</v>
      </c>
      <c r="D33" s="77">
        <f>VLOOKUP(C33,'[1]PREÇO ATUAL'!$A:$D,4,0)</f>
        <v>169.9</v>
      </c>
      <c r="E33" s="79"/>
      <c r="F33" s="79"/>
      <c r="G33" s="79"/>
      <c r="H33" s="79"/>
      <c r="I33" s="81"/>
      <c r="J33" s="81">
        <v>4</v>
      </c>
      <c r="K33" s="81"/>
      <c r="L33" s="81"/>
      <c r="M33" s="81"/>
      <c r="N33" s="81"/>
      <c r="O33" s="81"/>
      <c r="P33" s="81">
        <v>4</v>
      </c>
      <c r="Q33" s="81"/>
      <c r="R33" s="81"/>
      <c r="S33" s="81"/>
      <c r="T33" s="11"/>
      <c r="U33" s="11"/>
      <c r="V33" s="11"/>
      <c r="W33" s="83">
        <f t="shared" si="15"/>
        <v>0</v>
      </c>
      <c r="X33" s="83">
        <f t="shared" si="15"/>
        <v>0</v>
      </c>
      <c r="Y33" s="83">
        <f t="shared" si="15"/>
        <v>0</v>
      </c>
      <c r="Z33" s="83">
        <f t="shared" si="15"/>
        <v>0</v>
      </c>
      <c r="AA33" s="83">
        <f t="shared" si="15"/>
        <v>0</v>
      </c>
      <c r="AB33" s="83">
        <f t="shared" si="15"/>
        <v>679.6</v>
      </c>
      <c r="AC33" s="83">
        <f t="shared" si="15"/>
        <v>0</v>
      </c>
      <c r="AD33" s="83">
        <f t="shared" si="15"/>
        <v>0</v>
      </c>
      <c r="AE33" s="83">
        <f t="shared" si="15"/>
        <v>0</v>
      </c>
      <c r="AF33" s="83">
        <f t="shared" si="15"/>
        <v>0</v>
      </c>
      <c r="AG33" s="83">
        <f t="shared" si="15"/>
        <v>0</v>
      </c>
      <c r="AH33" s="83">
        <f t="shared" si="15"/>
        <v>679.6</v>
      </c>
      <c r="AI33" s="83">
        <f t="shared" si="15"/>
        <v>0</v>
      </c>
      <c r="AJ33" s="83">
        <f t="shared" si="15"/>
        <v>0</v>
      </c>
      <c r="AK33" s="83">
        <f t="shared" si="15"/>
        <v>0</v>
      </c>
    </row>
    <row r="34" spans="1:38" ht="24.9" x14ac:dyDescent="0.4">
      <c r="A34" s="86">
        <v>6</v>
      </c>
      <c r="B34" s="144" t="s">
        <v>188</v>
      </c>
      <c r="C34" s="189" t="s">
        <v>189</v>
      </c>
      <c r="D34" s="88">
        <f>VLOOKUP(C34,'[1]PREÇO ATUAL'!$A:$D,4,0)</f>
        <v>124.45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9"/>
      <c r="U34" s="19"/>
      <c r="V34" s="19"/>
      <c r="W34" s="90">
        <f t="shared" si="15"/>
        <v>124.45</v>
      </c>
      <c r="X34" s="90">
        <f t="shared" si="15"/>
        <v>124.45</v>
      </c>
      <c r="Y34" s="90">
        <f t="shared" si="15"/>
        <v>124.45</v>
      </c>
      <c r="Z34" s="90">
        <f t="shared" si="15"/>
        <v>124.45</v>
      </c>
      <c r="AA34" s="90">
        <f t="shared" si="15"/>
        <v>124.45</v>
      </c>
      <c r="AB34" s="90">
        <f t="shared" si="15"/>
        <v>124.45</v>
      </c>
      <c r="AC34" s="90">
        <f t="shared" si="15"/>
        <v>124.45</v>
      </c>
      <c r="AD34" s="90">
        <f t="shared" si="15"/>
        <v>124.45</v>
      </c>
      <c r="AE34" s="90">
        <f t="shared" si="15"/>
        <v>124.45</v>
      </c>
      <c r="AF34" s="90">
        <f t="shared" si="15"/>
        <v>124.45</v>
      </c>
      <c r="AG34" s="90">
        <f t="shared" si="15"/>
        <v>124.45</v>
      </c>
      <c r="AH34" s="90">
        <f t="shared" si="15"/>
        <v>124.45</v>
      </c>
      <c r="AI34" s="90">
        <f t="shared" si="15"/>
        <v>124.45</v>
      </c>
      <c r="AJ34" s="90">
        <f t="shared" si="15"/>
        <v>124.45</v>
      </c>
      <c r="AK34" s="90">
        <f t="shared" si="15"/>
        <v>124.45</v>
      </c>
    </row>
    <row r="35" spans="1:38" ht="24.9" x14ac:dyDescent="0.4">
      <c r="A35" s="75">
        <v>7</v>
      </c>
      <c r="B35" s="200" t="s">
        <v>190</v>
      </c>
      <c r="C35" s="188" t="s">
        <v>191</v>
      </c>
      <c r="D35" s="77">
        <f>VLOOKUP(C35,'[1]PREÇO ATUAL'!$A:$D,4,0)</f>
        <v>53.549808391520813</v>
      </c>
      <c r="E35" s="79"/>
      <c r="F35" s="79"/>
      <c r="G35" s="79"/>
      <c r="H35" s="79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48"/>
      <c r="U35" s="48"/>
      <c r="V35" s="48"/>
      <c r="W35" s="83">
        <f t="shared" si="15"/>
        <v>0</v>
      </c>
      <c r="X35" s="83">
        <f t="shared" si="15"/>
        <v>0</v>
      </c>
      <c r="Y35" s="83">
        <f t="shared" si="15"/>
        <v>0</v>
      </c>
      <c r="Z35" s="83">
        <f t="shared" si="15"/>
        <v>0</v>
      </c>
      <c r="AA35" s="83">
        <f t="shared" si="15"/>
        <v>0</v>
      </c>
      <c r="AB35" s="83">
        <f t="shared" si="15"/>
        <v>0</v>
      </c>
      <c r="AC35" s="83">
        <f t="shared" si="15"/>
        <v>0</v>
      </c>
      <c r="AD35" s="83">
        <f t="shared" si="15"/>
        <v>0</v>
      </c>
      <c r="AE35" s="83">
        <f t="shared" si="15"/>
        <v>0</v>
      </c>
      <c r="AF35" s="83">
        <f t="shared" si="15"/>
        <v>0</v>
      </c>
      <c r="AG35" s="83">
        <f t="shared" si="15"/>
        <v>0</v>
      </c>
      <c r="AH35" s="83">
        <f t="shared" si="15"/>
        <v>0</v>
      </c>
      <c r="AI35" s="83">
        <f t="shared" si="15"/>
        <v>0</v>
      </c>
      <c r="AJ35" s="83">
        <f t="shared" si="15"/>
        <v>0</v>
      </c>
      <c r="AK35" s="83">
        <f t="shared" si="15"/>
        <v>0</v>
      </c>
    </row>
    <row r="36" spans="1:38" ht="24.9" x14ac:dyDescent="0.4">
      <c r="A36" s="86">
        <v>8</v>
      </c>
      <c r="B36" s="144" t="s">
        <v>137</v>
      </c>
      <c r="C36" s="189" t="s">
        <v>140</v>
      </c>
      <c r="D36" s="88">
        <f>VLOOKUP(C36,'[1]PREÇO ATUAL'!$A:$D,4,0)</f>
        <v>88.64</v>
      </c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7"/>
      <c r="U36" s="17"/>
      <c r="V36" s="17"/>
      <c r="W36" s="90">
        <f t="shared" si="15"/>
        <v>0</v>
      </c>
      <c r="X36" s="90">
        <f t="shared" si="15"/>
        <v>0</v>
      </c>
      <c r="Y36" s="90">
        <f t="shared" si="15"/>
        <v>0</v>
      </c>
      <c r="Z36" s="90">
        <f t="shared" si="15"/>
        <v>0</v>
      </c>
      <c r="AA36" s="90">
        <f t="shared" si="15"/>
        <v>0</v>
      </c>
      <c r="AB36" s="90">
        <f t="shared" si="15"/>
        <v>0</v>
      </c>
      <c r="AC36" s="90">
        <f t="shared" si="15"/>
        <v>0</v>
      </c>
      <c r="AD36" s="90">
        <f t="shared" si="15"/>
        <v>0</v>
      </c>
      <c r="AE36" s="90">
        <f t="shared" si="15"/>
        <v>0</v>
      </c>
      <c r="AF36" s="90">
        <f t="shared" si="15"/>
        <v>0</v>
      </c>
      <c r="AG36" s="90">
        <f t="shared" si="15"/>
        <v>0</v>
      </c>
      <c r="AH36" s="90">
        <f t="shared" si="15"/>
        <v>0</v>
      </c>
      <c r="AI36" s="90">
        <f t="shared" si="15"/>
        <v>0</v>
      </c>
      <c r="AJ36" s="90">
        <f t="shared" si="15"/>
        <v>0</v>
      </c>
      <c r="AK36" s="90">
        <f t="shared" si="15"/>
        <v>0</v>
      </c>
    </row>
    <row r="37" spans="1:38" ht="24.9" x14ac:dyDescent="0.4">
      <c r="A37" s="75">
        <v>9</v>
      </c>
      <c r="B37" s="200" t="s">
        <v>192</v>
      </c>
      <c r="C37" s="188" t="s">
        <v>193</v>
      </c>
      <c r="D37" s="77">
        <f>VLOOKUP(C37,'[1]PREÇO ATUAL'!$A:$D,4,0)</f>
        <v>36.591999999999999</v>
      </c>
      <c r="E37" s="119"/>
      <c r="F37" s="119"/>
      <c r="G37" s="119"/>
      <c r="H37" s="119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48"/>
      <c r="U37" s="48"/>
      <c r="V37" s="48"/>
      <c r="W37" s="83">
        <f>D37*E37</f>
        <v>0</v>
      </c>
      <c r="X37" s="83">
        <f t="shared" ref="X37:AK39" si="16">$D37*F37</f>
        <v>0</v>
      </c>
      <c r="Y37" s="83">
        <f t="shared" si="16"/>
        <v>0</v>
      </c>
      <c r="Z37" s="83">
        <f t="shared" si="16"/>
        <v>0</v>
      </c>
      <c r="AA37" s="83">
        <f t="shared" si="16"/>
        <v>0</v>
      </c>
      <c r="AB37" s="83">
        <f t="shared" si="16"/>
        <v>0</v>
      </c>
      <c r="AC37" s="83">
        <f t="shared" si="16"/>
        <v>0</v>
      </c>
      <c r="AD37" s="83">
        <f t="shared" si="16"/>
        <v>0</v>
      </c>
      <c r="AE37" s="83">
        <f t="shared" si="16"/>
        <v>0</v>
      </c>
      <c r="AF37" s="83">
        <f t="shared" si="16"/>
        <v>0</v>
      </c>
      <c r="AG37" s="83">
        <f t="shared" si="16"/>
        <v>0</v>
      </c>
      <c r="AH37" s="83">
        <f t="shared" si="16"/>
        <v>0</v>
      </c>
      <c r="AI37" s="83">
        <f t="shared" si="16"/>
        <v>0</v>
      </c>
      <c r="AJ37" s="83">
        <f t="shared" si="16"/>
        <v>0</v>
      </c>
      <c r="AK37" s="83">
        <f t="shared" si="16"/>
        <v>0</v>
      </c>
    </row>
    <row r="38" spans="1:38" ht="14.6" x14ac:dyDescent="0.4">
      <c r="A38" s="86">
        <v>10</v>
      </c>
      <c r="B38" s="144" t="s">
        <v>194</v>
      </c>
      <c r="C38" s="189" t="s">
        <v>102</v>
      </c>
      <c r="D38" s="88">
        <f>VLOOKUP(C38,'[1]PREÇO ATUAL'!$A:$D,4,0)</f>
        <v>107.0915531472088</v>
      </c>
      <c r="E38" s="108">
        <v>4.8</v>
      </c>
      <c r="F38" s="108">
        <v>4.8</v>
      </c>
      <c r="G38" s="108">
        <v>4.8</v>
      </c>
      <c r="H38" s="108">
        <v>4.8</v>
      </c>
      <c r="I38" s="108">
        <v>4.8</v>
      </c>
      <c r="J38" s="108">
        <v>4.8</v>
      </c>
      <c r="K38" s="108">
        <v>4.8</v>
      </c>
      <c r="L38" s="108">
        <v>4.8</v>
      </c>
      <c r="M38" s="108">
        <v>4.8</v>
      </c>
      <c r="N38" s="108">
        <v>4.8</v>
      </c>
      <c r="O38" s="108">
        <v>4.8</v>
      </c>
      <c r="P38" s="108">
        <v>4.8</v>
      </c>
      <c r="Q38" s="108">
        <v>4.8</v>
      </c>
      <c r="R38" s="108">
        <v>4.8</v>
      </c>
      <c r="S38" s="108">
        <v>4.8</v>
      </c>
      <c r="T38" s="19"/>
      <c r="U38" s="19"/>
      <c r="V38" s="19"/>
      <c r="W38" s="90">
        <f>$D38*E38</f>
        <v>514.03945510660219</v>
      </c>
      <c r="X38" s="90">
        <f t="shared" si="16"/>
        <v>514.03945510660219</v>
      </c>
      <c r="Y38" s="90">
        <f t="shared" si="16"/>
        <v>514.03945510660219</v>
      </c>
      <c r="Z38" s="90">
        <f t="shared" si="16"/>
        <v>514.03945510660219</v>
      </c>
      <c r="AA38" s="90">
        <f t="shared" si="16"/>
        <v>514.03945510660219</v>
      </c>
      <c r="AB38" s="90">
        <f t="shared" si="16"/>
        <v>514.03945510660219</v>
      </c>
      <c r="AC38" s="90">
        <f t="shared" si="16"/>
        <v>514.03945510660219</v>
      </c>
      <c r="AD38" s="90">
        <f t="shared" si="16"/>
        <v>514.03945510660219</v>
      </c>
      <c r="AE38" s="90">
        <f t="shared" si="16"/>
        <v>514.03945510660219</v>
      </c>
      <c r="AF38" s="90">
        <f t="shared" si="16"/>
        <v>514.03945510660219</v>
      </c>
      <c r="AG38" s="90">
        <f t="shared" si="16"/>
        <v>514.03945510660219</v>
      </c>
      <c r="AH38" s="90">
        <f t="shared" si="16"/>
        <v>514.03945510660219</v>
      </c>
      <c r="AI38" s="90">
        <f t="shared" si="16"/>
        <v>514.03945510660219</v>
      </c>
      <c r="AJ38" s="90">
        <f t="shared" si="16"/>
        <v>514.03945510660219</v>
      </c>
      <c r="AK38" s="90">
        <f t="shared" si="16"/>
        <v>514.03945510660219</v>
      </c>
    </row>
    <row r="39" spans="1:38" ht="15.75" customHeight="1" x14ac:dyDescent="0.4">
      <c r="A39" s="75">
        <v>11</v>
      </c>
      <c r="B39" s="76" t="s">
        <v>38</v>
      </c>
      <c r="C39" s="188" t="s">
        <v>39</v>
      </c>
      <c r="D39" s="77">
        <f>VLOOKUP(C39,'[1]PREÇO ATUAL'!$A:$D,4,0)</f>
        <v>342</v>
      </c>
      <c r="E39" s="119">
        <v>1.75</v>
      </c>
      <c r="F39" s="119">
        <v>1.8</v>
      </c>
      <c r="G39" s="119">
        <v>1.75</v>
      </c>
      <c r="H39" s="119">
        <v>1.85</v>
      </c>
      <c r="I39" s="77">
        <v>1.85</v>
      </c>
      <c r="J39" s="77">
        <v>2.2999999999999998</v>
      </c>
      <c r="K39" s="77">
        <v>1.75</v>
      </c>
      <c r="L39" s="77">
        <v>1.85</v>
      </c>
      <c r="M39" s="77">
        <v>1.75</v>
      </c>
      <c r="N39" s="77">
        <v>1.9</v>
      </c>
      <c r="O39" s="77">
        <v>1.75</v>
      </c>
      <c r="P39" s="77">
        <v>2.65</v>
      </c>
      <c r="Q39" s="77">
        <v>1.75</v>
      </c>
      <c r="R39" s="77">
        <v>1.8</v>
      </c>
      <c r="S39" s="77">
        <v>1.85</v>
      </c>
      <c r="T39" s="48"/>
      <c r="U39" s="48"/>
      <c r="V39" s="48"/>
      <c r="W39" s="83">
        <f>$D39*E39</f>
        <v>598.5</v>
      </c>
      <c r="X39" s="83">
        <f t="shared" si="16"/>
        <v>615.6</v>
      </c>
      <c r="Y39" s="83">
        <f t="shared" si="16"/>
        <v>598.5</v>
      </c>
      <c r="Z39" s="83">
        <f t="shared" si="16"/>
        <v>632.70000000000005</v>
      </c>
      <c r="AA39" s="83">
        <f t="shared" si="16"/>
        <v>632.70000000000005</v>
      </c>
      <c r="AB39" s="83">
        <f t="shared" si="16"/>
        <v>786.59999999999991</v>
      </c>
      <c r="AC39" s="83">
        <f t="shared" si="16"/>
        <v>598.5</v>
      </c>
      <c r="AD39" s="83">
        <f t="shared" si="16"/>
        <v>632.70000000000005</v>
      </c>
      <c r="AE39" s="83">
        <f t="shared" si="16"/>
        <v>598.5</v>
      </c>
      <c r="AF39" s="83">
        <f t="shared" si="16"/>
        <v>649.79999999999995</v>
      </c>
      <c r="AG39" s="83">
        <f t="shared" si="16"/>
        <v>598.5</v>
      </c>
      <c r="AH39" s="83">
        <f t="shared" si="16"/>
        <v>906.3</v>
      </c>
      <c r="AI39" s="83">
        <f t="shared" si="16"/>
        <v>598.5</v>
      </c>
      <c r="AJ39" s="83">
        <f t="shared" si="16"/>
        <v>615.6</v>
      </c>
      <c r="AK39" s="83">
        <f t="shared" si="16"/>
        <v>632.70000000000005</v>
      </c>
    </row>
    <row r="40" spans="1:38" ht="15.75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38" ht="15.75" customHeight="1" x14ac:dyDescent="0.4">
      <c r="A41" s="201" t="s">
        <v>195</v>
      </c>
      <c r="B41" s="202"/>
      <c r="C41" s="202"/>
      <c r="D41" s="203"/>
      <c r="E41" s="112" t="s">
        <v>3</v>
      </c>
      <c r="F41" s="112"/>
      <c r="G41" s="113"/>
      <c r="H41" s="113"/>
      <c r="I41" s="113"/>
      <c r="J41" s="113"/>
      <c r="K41" s="113"/>
      <c r="L41" s="113"/>
      <c r="M41" s="113"/>
      <c r="N41" s="113"/>
      <c r="O41" s="114"/>
      <c r="P41" s="113"/>
      <c r="Q41" s="113"/>
      <c r="R41" s="113"/>
      <c r="S41" s="113"/>
      <c r="T41" s="113" t="s">
        <v>4</v>
      </c>
      <c r="U41" s="114"/>
      <c r="V41" s="114"/>
      <c r="W41" s="199"/>
      <c r="X41" s="111"/>
      <c r="Y41" s="111"/>
      <c r="Z41" s="111"/>
      <c r="AA41" s="111"/>
      <c r="AB41" s="111"/>
      <c r="AC41" s="111"/>
      <c r="AD41" s="111"/>
      <c r="AE41" s="111"/>
      <c r="AF41" s="111"/>
      <c r="AG41" s="182"/>
      <c r="AH41" s="182"/>
      <c r="AI41" s="182"/>
      <c r="AJ41" s="182"/>
      <c r="AK41" s="182"/>
    </row>
    <row r="42" spans="1:38" ht="15" customHeight="1" x14ac:dyDescent="0.4">
      <c r="A42" s="196"/>
      <c r="B42" s="197"/>
      <c r="C42" s="197"/>
      <c r="D42" s="198"/>
      <c r="E42" s="115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82"/>
      <c r="T42" s="182"/>
      <c r="U42" s="182"/>
      <c r="V42" s="182"/>
      <c r="W42" s="127">
        <f>MROUND(SUM(W44:W54),1)</f>
        <v>1603</v>
      </c>
      <c r="X42" s="127">
        <f t="shared" ref="X42:AK42" si="17">MROUND(SUM(X44:X54),1)</f>
        <v>1735</v>
      </c>
      <c r="Y42" s="127">
        <f t="shared" si="17"/>
        <v>1603</v>
      </c>
      <c r="Z42" s="127">
        <f t="shared" si="17"/>
        <v>1752</v>
      </c>
      <c r="AA42" s="127">
        <f>MROUND(SUM(AA44:AA54),1)</f>
        <v>1637</v>
      </c>
      <c r="AB42" s="127">
        <f t="shared" si="17"/>
        <v>2585</v>
      </c>
      <c r="AC42" s="127">
        <f>MROUND(SUM(AC44:AC54),1)</f>
        <v>1603</v>
      </c>
      <c r="AD42" s="127">
        <f t="shared" si="17"/>
        <v>1752</v>
      </c>
      <c r="AE42" s="127">
        <f t="shared" si="17"/>
        <v>1603</v>
      </c>
      <c r="AF42" s="127">
        <f t="shared" si="17"/>
        <v>1769</v>
      </c>
      <c r="AG42" s="127">
        <f t="shared" si="17"/>
        <v>1603</v>
      </c>
      <c r="AH42" s="127">
        <f t="shared" si="17"/>
        <v>2705</v>
      </c>
      <c r="AI42" s="127">
        <f t="shared" si="17"/>
        <v>1603</v>
      </c>
      <c r="AJ42" s="127">
        <f t="shared" si="17"/>
        <v>1735</v>
      </c>
      <c r="AK42" s="127">
        <f t="shared" si="17"/>
        <v>1637</v>
      </c>
      <c r="AL42" s="124"/>
    </row>
    <row r="43" spans="1:38" ht="15.75" customHeight="1" x14ac:dyDescent="0.4">
      <c r="A43" s="3" t="s">
        <v>6</v>
      </c>
      <c r="B43" s="3" t="s">
        <v>7</v>
      </c>
      <c r="C43" s="184" t="s">
        <v>8</v>
      </c>
      <c r="D43" s="4" t="s">
        <v>9</v>
      </c>
      <c r="E43" s="5" t="s">
        <v>167</v>
      </c>
      <c r="F43" s="5" t="s">
        <v>168</v>
      </c>
      <c r="G43" s="5" t="s">
        <v>169</v>
      </c>
      <c r="H43" s="5" t="s">
        <v>170</v>
      </c>
      <c r="I43" s="5" t="s">
        <v>171</v>
      </c>
      <c r="J43" s="5" t="s">
        <v>172</v>
      </c>
      <c r="K43" s="5" t="s">
        <v>173</v>
      </c>
      <c r="L43" s="5" t="s">
        <v>174</v>
      </c>
      <c r="M43" s="5" t="s">
        <v>175</v>
      </c>
      <c r="N43" s="5" t="s">
        <v>176</v>
      </c>
      <c r="O43" s="5" t="s">
        <v>116</v>
      </c>
      <c r="P43" s="5" t="s">
        <v>117</v>
      </c>
      <c r="Q43" s="5" t="s">
        <v>118</v>
      </c>
      <c r="R43" s="5" t="s">
        <v>119</v>
      </c>
      <c r="S43" s="5" t="s">
        <v>120</v>
      </c>
      <c r="T43" s="5" t="s">
        <v>177</v>
      </c>
      <c r="U43" s="5" t="s">
        <v>178</v>
      </c>
      <c r="V43" s="5" t="s">
        <v>179</v>
      </c>
      <c r="W43" s="36">
        <v>10000</v>
      </c>
      <c r="X43" s="36">
        <v>20000</v>
      </c>
      <c r="Y43" s="36">
        <v>30000</v>
      </c>
      <c r="Z43" s="36">
        <v>40000</v>
      </c>
      <c r="AA43" s="36">
        <v>50000</v>
      </c>
      <c r="AB43" s="36">
        <v>60000</v>
      </c>
      <c r="AC43" s="36">
        <v>70000</v>
      </c>
      <c r="AD43" s="36">
        <v>80000</v>
      </c>
      <c r="AE43" s="36">
        <v>90000</v>
      </c>
      <c r="AF43" s="36">
        <f>AE43+10000</f>
        <v>100000</v>
      </c>
      <c r="AG43" s="36">
        <f t="shared" ref="AG43" si="18">AF43+10000</f>
        <v>110000</v>
      </c>
      <c r="AH43" s="36">
        <f t="shared" ref="AH43" si="19">AG43+10000</f>
        <v>120000</v>
      </c>
      <c r="AI43" s="36">
        <f t="shared" ref="AI43" si="20">AH43+10000</f>
        <v>130000</v>
      </c>
      <c r="AJ43" s="36">
        <f t="shared" ref="AJ43" si="21">AI43+10000</f>
        <v>140000</v>
      </c>
      <c r="AK43" s="36">
        <f t="shared" ref="AK43" si="22">AJ43+10000</f>
        <v>150000</v>
      </c>
    </row>
    <row r="44" spans="1:38" ht="15.75" customHeight="1" x14ac:dyDescent="0.4">
      <c r="A44" s="7">
        <v>1</v>
      </c>
      <c r="B44" s="142" t="s">
        <v>41</v>
      </c>
      <c r="C44" s="185" t="s">
        <v>97</v>
      </c>
      <c r="D44" s="9">
        <f>VLOOKUP(C44,'[1]PREÇO ATUAL'!$A:$D,4,0)</f>
        <v>112.46</v>
      </c>
      <c r="E44" s="10">
        <v>1</v>
      </c>
      <c r="F44" s="10">
        <v>1</v>
      </c>
      <c r="G44" s="10">
        <v>1</v>
      </c>
      <c r="H44" s="10">
        <v>1</v>
      </c>
      <c r="I44" s="10">
        <v>1</v>
      </c>
      <c r="J44" s="10">
        <v>1</v>
      </c>
      <c r="K44" s="10">
        <v>1</v>
      </c>
      <c r="L44" s="10">
        <v>1</v>
      </c>
      <c r="M44" s="10">
        <v>1</v>
      </c>
      <c r="N44" s="10">
        <v>1</v>
      </c>
      <c r="O44" s="10">
        <v>1</v>
      </c>
      <c r="P44" s="10">
        <v>1</v>
      </c>
      <c r="Q44" s="10">
        <v>1</v>
      </c>
      <c r="R44" s="10">
        <v>1</v>
      </c>
      <c r="S44" s="10">
        <v>1</v>
      </c>
      <c r="T44" s="10"/>
      <c r="U44" s="10"/>
      <c r="V44" s="10"/>
      <c r="W44" s="13">
        <f t="shared" ref="W44:AK51" si="23">$D44*E44</f>
        <v>112.46</v>
      </c>
      <c r="X44" s="13">
        <f t="shared" si="23"/>
        <v>112.46</v>
      </c>
      <c r="Y44" s="13">
        <f t="shared" si="23"/>
        <v>112.46</v>
      </c>
      <c r="Z44" s="13">
        <f t="shared" si="23"/>
        <v>112.46</v>
      </c>
      <c r="AA44" s="13">
        <f t="shared" si="23"/>
        <v>112.46</v>
      </c>
      <c r="AB44" s="13">
        <f t="shared" si="23"/>
        <v>112.46</v>
      </c>
      <c r="AC44" s="13">
        <f t="shared" si="23"/>
        <v>112.46</v>
      </c>
      <c r="AD44" s="13">
        <f t="shared" si="23"/>
        <v>112.46</v>
      </c>
      <c r="AE44" s="13">
        <f t="shared" si="23"/>
        <v>112.46</v>
      </c>
      <c r="AF44" s="13">
        <f t="shared" si="23"/>
        <v>112.46</v>
      </c>
      <c r="AG44" s="13">
        <f t="shared" si="23"/>
        <v>112.46</v>
      </c>
      <c r="AH44" s="13">
        <f t="shared" si="23"/>
        <v>112.46</v>
      </c>
      <c r="AI44" s="13">
        <f t="shared" si="23"/>
        <v>112.46</v>
      </c>
      <c r="AJ44" s="13">
        <f t="shared" si="23"/>
        <v>112.46</v>
      </c>
      <c r="AK44" s="13">
        <f t="shared" si="23"/>
        <v>112.46</v>
      </c>
    </row>
    <row r="45" spans="1:38" ht="15.75" customHeight="1" x14ac:dyDescent="0.4">
      <c r="A45" s="15">
        <v>2</v>
      </c>
      <c r="B45" s="143" t="s">
        <v>186</v>
      </c>
      <c r="C45" s="186" t="s">
        <v>98</v>
      </c>
      <c r="D45" s="17">
        <f>VLOOKUP(C45,'[1]PREÇO ATUAL'!$A:$D,4,0)</f>
        <v>35.9</v>
      </c>
      <c r="E45" s="18">
        <v>1</v>
      </c>
      <c r="F45" s="18">
        <v>1</v>
      </c>
      <c r="G45" s="18">
        <v>1</v>
      </c>
      <c r="H45" s="18">
        <v>1</v>
      </c>
      <c r="I45" s="18">
        <v>1</v>
      </c>
      <c r="J45" s="18">
        <v>1</v>
      </c>
      <c r="K45" s="18">
        <v>1</v>
      </c>
      <c r="L45" s="18">
        <v>1</v>
      </c>
      <c r="M45" s="18">
        <v>1</v>
      </c>
      <c r="N45" s="18">
        <v>1</v>
      </c>
      <c r="O45" s="18">
        <v>1</v>
      </c>
      <c r="P45" s="18">
        <v>1</v>
      </c>
      <c r="Q45" s="18">
        <v>1</v>
      </c>
      <c r="R45" s="18">
        <v>1</v>
      </c>
      <c r="S45" s="18">
        <v>1</v>
      </c>
      <c r="T45" s="18"/>
      <c r="U45" s="18"/>
      <c r="V45" s="18"/>
      <c r="W45" s="21">
        <f t="shared" si="23"/>
        <v>35.9</v>
      </c>
      <c r="X45" s="21">
        <f t="shared" si="23"/>
        <v>35.9</v>
      </c>
      <c r="Y45" s="21">
        <f t="shared" si="23"/>
        <v>35.9</v>
      </c>
      <c r="Z45" s="21">
        <f t="shared" si="23"/>
        <v>35.9</v>
      </c>
      <c r="AA45" s="21">
        <f t="shared" si="23"/>
        <v>35.9</v>
      </c>
      <c r="AB45" s="21">
        <f t="shared" si="23"/>
        <v>35.9</v>
      </c>
      <c r="AC45" s="21">
        <f t="shared" si="23"/>
        <v>35.9</v>
      </c>
      <c r="AD45" s="21">
        <f t="shared" si="23"/>
        <v>35.9</v>
      </c>
      <c r="AE45" s="21">
        <f t="shared" si="23"/>
        <v>35.9</v>
      </c>
      <c r="AF45" s="21">
        <f t="shared" si="23"/>
        <v>35.9</v>
      </c>
      <c r="AG45" s="21">
        <f t="shared" si="23"/>
        <v>35.9</v>
      </c>
      <c r="AH45" s="21">
        <f t="shared" si="23"/>
        <v>35.9</v>
      </c>
      <c r="AI45" s="21">
        <f t="shared" si="23"/>
        <v>35.9</v>
      </c>
      <c r="AJ45" s="21">
        <f t="shared" si="23"/>
        <v>35.9</v>
      </c>
      <c r="AK45" s="21">
        <f t="shared" si="23"/>
        <v>35.9</v>
      </c>
    </row>
    <row r="46" spans="1:38" ht="15.75" customHeight="1" x14ac:dyDescent="0.4">
      <c r="A46" s="7">
        <v>3</v>
      </c>
      <c r="B46" s="142" t="s">
        <v>42</v>
      </c>
      <c r="C46" s="185" t="s">
        <v>135</v>
      </c>
      <c r="D46" s="9">
        <f>VLOOKUP(C46,'[1]PREÇO ATUAL'!$A:$D,4,0)</f>
        <v>114.17</v>
      </c>
      <c r="E46" s="10"/>
      <c r="F46" s="10">
        <v>1</v>
      </c>
      <c r="G46" s="10"/>
      <c r="H46" s="10">
        <v>1</v>
      </c>
      <c r="I46" s="11"/>
      <c r="J46" s="11">
        <v>1</v>
      </c>
      <c r="K46" s="11"/>
      <c r="L46" s="11">
        <v>1</v>
      </c>
      <c r="M46" s="11"/>
      <c r="N46" s="11">
        <v>1</v>
      </c>
      <c r="O46" s="11"/>
      <c r="P46" s="11">
        <v>1</v>
      </c>
      <c r="Q46" s="11"/>
      <c r="R46" s="11">
        <v>1</v>
      </c>
      <c r="S46" s="11"/>
      <c r="T46" s="11"/>
      <c r="U46" s="11"/>
      <c r="V46" s="11"/>
      <c r="W46" s="13">
        <f t="shared" si="23"/>
        <v>0</v>
      </c>
      <c r="X46" s="13">
        <f t="shared" si="23"/>
        <v>114.17</v>
      </c>
      <c r="Y46" s="13">
        <f t="shared" si="23"/>
        <v>0</v>
      </c>
      <c r="Z46" s="13">
        <f t="shared" si="23"/>
        <v>114.17</v>
      </c>
      <c r="AA46" s="13">
        <f t="shared" si="23"/>
        <v>0</v>
      </c>
      <c r="AB46" s="13">
        <f t="shared" si="23"/>
        <v>114.17</v>
      </c>
      <c r="AC46" s="13">
        <f t="shared" si="23"/>
        <v>0</v>
      </c>
      <c r="AD46" s="13">
        <f t="shared" si="23"/>
        <v>114.17</v>
      </c>
      <c r="AE46" s="13">
        <f t="shared" si="23"/>
        <v>0</v>
      </c>
      <c r="AF46" s="13">
        <f t="shared" si="23"/>
        <v>114.17</v>
      </c>
      <c r="AG46" s="13">
        <f t="shared" si="23"/>
        <v>0</v>
      </c>
      <c r="AH46" s="13">
        <f t="shared" si="23"/>
        <v>114.17</v>
      </c>
      <c r="AI46" s="13">
        <f t="shared" si="23"/>
        <v>0</v>
      </c>
      <c r="AJ46" s="13">
        <f t="shared" si="23"/>
        <v>114.17</v>
      </c>
      <c r="AK46" s="13">
        <f t="shared" si="23"/>
        <v>0</v>
      </c>
    </row>
    <row r="47" spans="1:38" ht="15.75" customHeight="1" x14ac:dyDescent="0.4">
      <c r="A47" s="86">
        <v>4</v>
      </c>
      <c r="B47" s="144" t="s">
        <v>43</v>
      </c>
      <c r="C47" s="189" t="s">
        <v>184</v>
      </c>
      <c r="D47" s="88">
        <f>VLOOKUP(C47,'[1]PREÇO ATUAL'!$A:$D,4,0)</f>
        <v>217.923</v>
      </c>
      <c r="E47" s="18">
        <v>1</v>
      </c>
      <c r="F47" s="18">
        <v>1</v>
      </c>
      <c r="G47" s="18">
        <v>1</v>
      </c>
      <c r="H47" s="18">
        <v>1</v>
      </c>
      <c r="I47" s="18">
        <v>1</v>
      </c>
      <c r="J47" s="18">
        <v>1</v>
      </c>
      <c r="K47" s="18">
        <v>1</v>
      </c>
      <c r="L47" s="18">
        <v>1</v>
      </c>
      <c r="M47" s="18">
        <v>1</v>
      </c>
      <c r="N47" s="18">
        <v>1</v>
      </c>
      <c r="O47" s="18">
        <v>1</v>
      </c>
      <c r="P47" s="18">
        <v>1</v>
      </c>
      <c r="Q47" s="18">
        <v>1</v>
      </c>
      <c r="R47" s="18">
        <v>1</v>
      </c>
      <c r="S47" s="18">
        <v>1</v>
      </c>
      <c r="T47" s="19"/>
      <c r="U47" s="19"/>
      <c r="V47" s="19"/>
      <c r="W47" s="90">
        <f t="shared" si="23"/>
        <v>217.923</v>
      </c>
      <c r="X47" s="90">
        <f t="shared" si="23"/>
        <v>217.923</v>
      </c>
      <c r="Y47" s="90">
        <f t="shared" si="23"/>
        <v>217.923</v>
      </c>
      <c r="Z47" s="90">
        <f t="shared" si="23"/>
        <v>217.923</v>
      </c>
      <c r="AA47" s="90">
        <f t="shared" si="23"/>
        <v>217.923</v>
      </c>
      <c r="AB47" s="90">
        <f t="shared" si="23"/>
        <v>217.923</v>
      </c>
      <c r="AC47" s="90">
        <f t="shared" si="23"/>
        <v>217.923</v>
      </c>
      <c r="AD47" s="90">
        <f t="shared" si="23"/>
        <v>217.923</v>
      </c>
      <c r="AE47" s="90">
        <f t="shared" si="23"/>
        <v>217.923</v>
      </c>
      <c r="AF47" s="90">
        <f t="shared" si="23"/>
        <v>217.923</v>
      </c>
      <c r="AG47" s="90">
        <f t="shared" si="23"/>
        <v>217.923</v>
      </c>
      <c r="AH47" s="90">
        <f t="shared" si="23"/>
        <v>217.923</v>
      </c>
      <c r="AI47" s="90">
        <f t="shared" si="23"/>
        <v>217.923</v>
      </c>
      <c r="AJ47" s="90">
        <f t="shared" si="23"/>
        <v>217.923</v>
      </c>
      <c r="AK47" s="90">
        <f t="shared" si="23"/>
        <v>217.923</v>
      </c>
    </row>
    <row r="48" spans="1:38" ht="24.9" x14ac:dyDescent="0.4">
      <c r="A48" s="75">
        <v>5</v>
      </c>
      <c r="B48" s="200" t="s">
        <v>187</v>
      </c>
      <c r="C48" s="188" t="s">
        <v>100</v>
      </c>
      <c r="D48" s="77">
        <f>VLOOKUP(C48,'[1]PREÇO ATUAL'!$A:$D,4,0)</f>
        <v>169.9</v>
      </c>
      <c r="E48" s="79"/>
      <c r="F48" s="79"/>
      <c r="G48" s="79"/>
      <c r="H48" s="79"/>
      <c r="I48" s="81"/>
      <c r="J48" s="81">
        <v>4</v>
      </c>
      <c r="K48" s="81"/>
      <c r="L48" s="81"/>
      <c r="M48" s="81"/>
      <c r="N48" s="81"/>
      <c r="O48" s="81"/>
      <c r="P48" s="81">
        <v>4</v>
      </c>
      <c r="Q48" s="81"/>
      <c r="R48" s="81"/>
      <c r="S48" s="81"/>
      <c r="T48" s="11"/>
      <c r="U48" s="11"/>
      <c r="V48" s="11"/>
      <c r="W48" s="83">
        <f t="shared" si="23"/>
        <v>0</v>
      </c>
      <c r="X48" s="83">
        <f t="shared" si="23"/>
        <v>0</v>
      </c>
      <c r="Y48" s="83">
        <f t="shared" si="23"/>
        <v>0</v>
      </c>
      <c r="Z48" s="83">
        <f t="shared" si="23"/>
        <v>0</v>
      </c>
      <c r="AA48" s="83">
        <f t="shared" si="23"/>
        <v>0</v>
      </c>
      <c r="AB48" s="83">
        <f t="shared" si="23"/>
        <v>679.6</v>
      </c>
      <c r="AC48" s="83">
        <f t="shared" si="23"/>
        <v>0</v>
      </c>
      <c r="AD48" s="83">
        <f t="shared" si="23"/>
        <v>0</v>
      </c>
      <c r="AE48" s="83">
        <f t="shared" si="23"/>
        <v>0</v>
      </c>
      <c r="AF48" s="83">
        <f t="shared" si="23"/>
        <v>0</v>
      </c>
      <c r="AG48" s="83">
        <f t="shared" si="23"/>
        <v>0</v>
      </c>
      <c r="AH48" s="83">
        <f t="shared" si="23"/>
        <v>679.6</v>
      </c>
      <c r="AI48" s="83">
        <f t="shared" si="23"/>
        <v>0</v>
      </c>
      <c r="AJ48" s="83">
        <f t="shared" si="23"/>
        <v>0</v>
      </c>
      <c r="AK48" s="83">
        <f t="shared" si="23"/>
        <v>0</v>
      </c>
    </row>
    <row r="49" spans="1:37" ht="24.9" x14ac:dyDescent="0.4">
      <c r="A49" s="86">
        <v>6</v>
      </c>
      <c r="B49" s="144" t="s">
        <v>188</v>
      </c>
      <c r="C49" s="189" t="s">
        <v>189</v>
      </c>
      <c r="D49" s="88">
        <f>VLOOKUP(C49,'[1]PREÇO ATUAL'!$A:$D,4,0)</f>
        <v>124.45</v>
      </c>
      <c r="E49" s="18">
        <v>1</v>
      </c>
      <c r="F49" s="18">
        <v>1</v>
      </c>
      <c r="G49" s="18">
        <v>1</v>
      </c>
      <c r="H49" s="18">
        <v>1</v>
      </c>
      <c r="I49" s="18">
        <v>1</v>
      </c>
      <c r="J49" s="18">
        <v>1</v>
      </c>
      <c r="K49" s="18">
        <v>1</v>
      </c>
      <c r="L49" s="18">
        <v>1</v>
      </c>
      <c r="M49" s="18">
        <v>1</v>
      </c>
      <c r="N49" s="18">
        <v>1</v>
      </c>
      <c r="O49" s="18">
        <v>1</v>
      </c>
      <c r="P49" s="18">
        <v>1</v>
      </c>
      <c r="Q49" s="18">
        <v>1</v>
      </c>
      <c r="R49" s="18">
        <v>1</v>
      </c>
      <c r="S49" s="18">
        <v>1</v>
      </c>
      <c r="T49" s="19"/>
      <c r="U49" s="19"/>
      <c r="V49" s="19"/>
      <c r="W49" s="90">
        <f t="shared" si="23"/>
        <v>124.45</v>
      </c>
      <c r="X49" s="90">
        <f t="shared" si="23"/>
        <v>124.45</v>
      </c>
      <c r="Y49" s="90">
        <f t="shared" si="23"/>
        <v>124.45</v>
      </c>
      <c r="Z49" s="90">
        <f>$D49*H49</f>
        <v>124.45</v>
      </c>
      <c r="AA49" s="90">
        <f t="shared" si="23"/>
        <v>124.45</v>
      </c>
      <c r="AB49" s="90">
        <f t="shared" si="23"/>
        <v>124.45</v>
      </c>
      <c r="AC49" s="90">
        <f t="shared" si="23"/>
        <v>124.45</v>
      </c>
      <c r="AD49" s="90">
        <f t="shared" si="23"/>
        <v>124.45</v>
      </c>
      <c r="AE49" s="90">
        <f t="shared" si="23"/>
        <v>124.45</v>
      </c>
      <c r="AF49" s="90">
        <f t="shared" si="23"/>
        <v>124.45</v>
      </c>
      <c r="AG49" s="90">
        <f t="shared" si="23"/>
        <v>124.45</v>
      </c>
      <c r="AH49" s="90">
        <f t="shared" si="23"/>
        <v>124.45</v>
      </c>
      <c r="AI49" s="90">
        <f t="shared" si="23"/>
        <v>124.45</v>
      </c>
      <c r="AJ49" s="90">
        <f t="shared" si="23"/>
        <v>124.45</v>
      </c>
      <c r="AK49" s="90">
        <f t="shared" si="23"/>
        <v>124.45</v>
      </c>
    </row>
    <row r="50" spans="1:37" ht="24.9" x14ac:dyDescent="0.4">
      <c r="A50" s="75">
        <v>7</v>
      </c>
      <c r="B50" s="200" t="s">
        <v>190</v>
      </c>
      <c r="C50" s="188" t="s">
        <v>191</v>
      </c>
      <c r="D50" s="77">
        <f>VLOOKUP(C50,'[1]PREÇO ATUAL'!$A:$D,4,0)</f>
        <v>53.549808391520813</v>
      </c>
      <c r="E50" s="79"/>
      <c r="F50" s="79"/>
      <c r="G50" s="79"/>
      <c r="H50" s="79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48"/>
      <c r="U50" s="48"/>
      <c r="V50" s="48"/>
      <c r="W50" s="83">
        <f t="shared" si="23"/>
        <v>0</v>
      </c>
      <c r="X50" s="83">
        <f t="shared" si="23"/>
        <v>0</v>
      </c>
      <c r="Y50" s="83">
        <f t="shared" si="23"/>
        <v>0</v>
      </c>
      <c r="Z50" s="83">
        <f t="shared" si="23"/>
        <v>0</v>
      </c>
      <c r="AA50" s="83">
        <f t="shared" si="23"/>
        <v>0</v>
      </c>
      <c r="AB50" s="83">
        <f t="shared" si="23"/>
        <v>0</v>
      </c>
      <c r="AC50" s="83">
        <f t="shared" si="23"/>
        <v>0</v>
      </c>
      <c r="AD50" s="83">
        <f t="shared" si="23"/>
        <v>0</v>
      </c>
      <c r="AE50" s="83">
        <f t="shared" si="23"/>
        <v>0</v>
      </c>
      <c r="AF50" s="83">
        <f t="shared" si="23"/>
        <v>0</v>
      </c>
      <c r="AG50" s="83">
        <f t="shared" si="23"/>
        <v>0</v>
      </c>
      <c r="AH50" s="83">
        <f t="shared" si="23"/>
        <v>0</v>
      </c>
      <c r="AI50" s="83">
        <f t="shared" si="23"/>
        <v>0</v>
      </c>
      <c r="AJ50" s="83">
        <f t="shared" si="23"/>
        <v>0</v>
      </c>
      <c r="AK50" s="83">
        <f t="shared" si="23"/>
        <v>0</v>
      </c>
    </row>
    <row r="51" spans="1:37" ht="24.9" x14ac:dyDescent="0.4">
      <c r="A51" s="86">
        <v>8</v>
      </c>
      <c r="B51" s="144" t="s">
        <v>137</v>
      </c>
      <c r="C51" s="189" t="s">
        <v>196</v>
      </c>
      <c r="D51" s="88">
        <f>VLOOKUP(C51,'[1]PREÇO ATUAL'!$A:$D,4,0)</f>
        <v>215</v>
      </c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7"/>
      <c r="U51" s="17"/>
      <c r="V51" s="17"/>
      <c r="W51" s="90">
        <f t="shared" si="23"/>
        <v>0</v>
      </c>
      <c r="X51" s="90">
        <f t="shared" si="23"/>
        <v>0</v>
      </c>
      <c r="Y51" s="90">
        <f t="shared" si="23"/>
        <v>0</v>
      </c>
      <c r="Z51" s="90">
        <f t="shared" si="23"/>
        <v>0</v>
      </c>
      <c r="AA51" s="90">
        <f t="shared" si="23"/>
        <v>0</v>
      </c>
      <c r="AB51" s="90">
        <f t="shared" si="23"/>
        <v>0</v>
      </c>
      <c r="AC51" s="90">
        <f t="shared" si="23"/>
        <v>0</v>
      </c>
      <c r="AD51" s="90">
        <f t="shared" si="23"/>
        <v>0</v>
      </c>
      <c r="AE51" s="90">
        <f t="shared" si="23"/>
        <v>0</v>
      </c>
      <c r="AF51" s="90">
        <f t="shared" si="23"/>
        <v>0</v>
      </c>
      <c r="AG51" s="90">
        <f t="shared" si="23"/>
        <v>0</v>
      </c>
      <c r="AH51" s="90">
        <f t="shared" si="23"/>
        <v>0</v>
      </c>
      <c r="AI51" s="90">
        <f t="shared" si="23"/>
        <v>0</v>
      </c>
      <c r="AJ51" s="90">
        <f t="shared" si="23"/>
        <v>0</v>
      </c>
      <c r="AK51" s="90">
        <f t="shared" si="23"/>
        <v>0</v>
      </c>
    </row>
    <row r="52" spans="1:37" ht="24.9" x14ac:dyDescent="0.4">
      <c r="A52" s="75">
        <v>9</v>
      </c>
      <c r="B52" s="200" t="s">
        <v>192</v>
      </c>
      <c r="C52" s="188" t="s">
        <v>193</v>
      </c>
      <c r="D52" s="77">
        <f>VLOOKUP(C52,'[1]PREÇO ATUAL'!$A:$D,4,0)</f>
        <v>36.591999999999999</v>
      </c>
      <c r="E52" s="119"/>
      <c r="F52" s="119"/>
      <c r="G52" s="119"/>
      <c r="H52" s="119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48"/>
      <c r="U52" s="48"/>
      <c r="V52" s="48"/>
      <c r="W52" s="83">
        <f>D52*E52</f>
        <v>0</v>
      </c>
      <c r="X52" s="83">
        <f t="shared" ref="X52:AK54" si="24">$D52*F52</f>
        <v>0</v>
      </c>
      <c r="Y52" s="83">
        <f t="shared" si="24"/>
        <v>0</v>
      </c>
      <c r="Z52" s="83">
        <f t="shared" si="24"/>
        <v>0</v>
      </c>
      <c r="AA52" s="83">
        <f t="shared" si="24"/>
        <v>0</v>
      </c>
      <c r="AB52" s="83">
        <f t="shared" si="24"/>
        <v>0</v>
      </c>
      <c r="AC52" s="83">
        <f t="shared" si="24"/>
        <v>0</v>
      </c>
      <c r="AD52" s="83">
        <f t="shared" si="24"/>
        <v>0</v>
      </c>
      <c r="AE52" s="83">
        <f t="shared" si="24"/>
        <v>0</v>
      </c>
      <c r="AF52" s="83">
        <f t="shared" si="24"/>
        <v>0</v>
      </c>
      <c r="AG52" s="83">
        <f t="shared" si="24"/>
        <v>0</v>
      </c>
      <c r="AH52" s="83">
        <f t="shared" si="24"/>
        <v>0</v>
      </c>
      <c r="AI52" s="83">
        <f t="shared" si="24"/>
        <v>0</v>
      </c>
      <c r="AJ52" s="83">
        <f t="shared" si="24"/>
        <v>0</v>
      </c>
      <c r="AK52" s="83">
        <f t="shared" si="24"/>
        <v>0</v>
      </c>
    </row>
    <row r="53" spans="1:37" ht="14.6" x14ac:dyDescent="0.4">
      <c r="A53" s="86">
        <v>10</v>
      </c>
      <c r="B53" s="144" t="s">
        <v>194</v>
      </c>
      <c r="C53" s="189" t="s">
        <v>102</v>
      </c>
      <c r="D53" s="88">
        <f>VLOOKUP(C53,'[1]PREÇO ATUAL'!$A:$D,4,0)</f>
        <v>107.0915531472088</v>
      </c>
      <c r="E53" s="108">
        <v>4.8</v>
      </c>
      <c r="F53" s="108">
        <v>4.8</v>
      </c>
      <c r="G53" s="108">
        <v>4.8</v>
      </c>
      <c r="H53" s="108">
        <v>4.8</v>
      </c>
      <c r="I53" s="108">
        <v>4.8</v>
      </c>
      <c r="J53" s="108">
        <v>4.8</v>
      </c>
      <c r="K53" s="108">
        <v>4.8</v>
      </c>
      <c r="L53" s="108">
        <v>4.8</v>
      </c>
      <c r="M53" s="108">
        <v>4.8</v>
      </c>
      <c r="N53" s="108">
        <v>4.8</v>
      </c>
      <c r="O53" s="108">
        <v>4.8</v>
      </c>
      <c r="P53" s="108">
        <v>4.8</v>
      </c>
      <c r="Q53" s="108">
        <v>4.8</v>
      </c>
      <c r="R53" s="108">
        <v>4.8</v>
      </c>
      <c r="S53" s="108">
        <v>4.8</v>
      </c>
      <c r="T53" s="19"/>
      <c r="U53" s="19"/>
      <c r="V53" s="19"/>
      <c r="W53" s="90">
        <f>$D53*E53</f>
        <v>514.03945510660219</v>
      </c>
      <c r="X53" s="90">
        <f t="shared" si="24"/>
        <v>514.03945510660219</v>
      </c>
      <c r="Y53" s="90">
        <f t="shared" si="24"/>
        <v>514.03945510660219</v>
      </c>
      <c r="Z53" s="90">
        <f t="shared" si="24"/>
        <v>514.03945510660219</v>
      </c>
      <c r="AA53" s="90">
        <f t="shared" si="24"/>
        <v>514.03945510660219</v>
      </c>
      <c r="AB53" s="90">
        <f t="shared" si="24"/>
        <v>514.03945510660219</v>
      </c>
      <c r="AC53" s="90">
        <f t="shared" si="24"/>
        <v>514.03945510660219</v>
      </c>
      <c r="AD53" s="90">
        <f t="shared" si="24"/>
        <v>514.03945510660219</v>
      </c>
      <c r="AE53" s="90">
        <f t="shared" si="24"/>
        <v>514.03945510660219</v>
      </c>
      <c r="AF53" s="90">
        <f t="shared" si="24"/>
        <v>514.03945510660219</v>
      </c>
      <c r="AG53" s="90">
        <f t="shared" si="24"/>
        <v>514.03945510660219</v>
      </c>
      <c r="AH53" s="90">
        <f t="shared" si="24"/>
        <v>514.03945510660219</v>
      </c>
      <c r="AI53" s="90">
        <f t="shared" si="24"/>
        <v>514.03945510660219</v>
      </c>
      <c r="AJ53" s="90">
        <f t="shared" si="24"/>
        <v>514.03945510660219</v>
      </c>
      <c r="AK53" s="90">
        <f t="shared" si="24"/>
        <v>514.03945510660219</v>
      </c>
    </row>
    <row r="54" spans="1:37" ht="15.75" customHeight="1" x14ac:dyDescent="0.4">
      <c r="A54" s="75">
        <v>11</v>
      </c>
      <c r="B54" s="76" t="s">
        <v>38</v>
      </c>
      <c r="C54" s="188" t="s">
        <v>39</v>
      </c>
      <c r="D54" s="77">
        <f>VLOOKUP(C54,'[1]PREÇO ATUAL'!$A:$D,4,0)</f>
        <v>342</v>
      </c>
      <c r="E54" s="119">
        <v>1.75</v>
      </c>
      <c r="F54" s="119">
        <v>1.8</v>
      </c>
      <c r="G54" s="119">
        <v>1.75</v>
      </c>
      <c r="H54" s="119">
        <v>1.85</v>
      </c>
      <c r="I54" s="77">
        <v>1.85</v>
      </c>
      <c r="J54" s="77">
        <v>2.2999999999999998</v>
      </c>
      <c r="K54" s="77">
        <v>1.75</v>
      </c>
      <c r="L54" s="77">
        <v>1.85</v>
      </c>
      <c r="M54" s="77">
        <v>1.75</v>
      </c>
      <c r="N54" s="77">
        <v>1.9</v>
      </c>
      <c r="O54" s="77">
        <v>1.75</v>
      </c>
      <c r="P54" s="77">
        <v>2.65</v>
      </c>
      <c r="Q54" s="77">
        <v>1.75</v>
      </c>
      <c r="R54" s="77">
        <v>1.8</v>
      </c>
      <c r="S54" s="77">
        <v>1.85</v>
      </c>
      <c r="T54" s="48"/>
      <c r="U54" s="48"/>
      <c r="V54" s="48"/>
      <c r="W54" s="83">
        <f>$D54*E54</f>
        <v>598.5</v>
      </c>
      <c r="X54" s="83">
        <f t="shared" si="24"/>
        <v>615.6</v>
      </c>
      <c r="Y54" s="83">
        <f t="shared" si="24"/>
        <v>598.5</v>
      </c>
      <c r="Z54" s="83">
        <f t="shared" si="24"/>
        <v>632.70000000000005</v>
      </c>
      <c r="AA54" s="83">
        <f t="shared" si="24"/>
        <v>632.70000000000005</v>
      </c>
      <c r="AB54" s="83">
        <f t="shared" si="24"/>
        <v>786.59999999999991</v>
      </c>
      <c r="AC54" s="83">
        <f t="shared" si="24"/>
        <v>598.5</v>
      </c>
      <c r="AD54" s="83">
        <f t="shared" si="24"/>
        <v>632.70000000000005</v>
      </c>
      <c r="AE54" s="83">
        <f t="shared" si="24"/>
        <v>598.5</v>
      </c>
      <c r="AF54" s="83">
        <f t="shared" si="24"/>
        <v>649.79999999999995</v>
      </c>
      <c r="AG54" s="83">
        <f t="shared" si="24"/>
        <v>598.5</v>
      </c>
      <c r="AH54" s="83">
        <f t="shared" si="24"/>
        <v>906.3</v>
      </c>
      <c r="AI54" s="83">
        <f t="shared" si="24"/>
        <v>598.5</v>
      </c>
      <c r="AJ54" s="83">
        <f t="shared" si="24"/>
        <v>615.6</v>
      </c>
      <c r="AK54" s="83">
        <f t="shared" si="24"/>
        <v>632.70000000000005</v>
      </c>
    </row>
    <row r="55" spans="1:37" ht="15.75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37" ht="15.75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37" ht="15.75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37" ht="15.75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37" ht="15.75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37" ht="15.75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37" ht="15.75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37" ht="15.75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37" ht="15.75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37" ht="15.75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</sheetData>
  <pageMargins left="0.511811024" right="0.511811024" top="0.78740157499999996" bottom="0.78740157499999996" header="0" footer="0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Planilha31">
    <tabColor rgb="FF00FF00"/>
  </sheetPr>
  <dimension ref="A1:AH951"/>
  <sheetViews>
    <sheetView showGridLines="0" topLeftCell="A15" workbookViewId="0">
      <pane xSplit="4" topLeftCell="E1" activePane="topRight" state="frozen"/>
      <selection activeCell="B23" sqref="B23"/>
      <selection pane="topRight" activeCell="C8" sqref="C8"/>
    </sheetView>
  </sheetViews>
  <sheetFormatPr defaultColWidth="14.3828125" defaultRowHeight="15" customHeight="1" x14ac:dyDescent="0.4"/>
  <cols>
    <col min="1" max="1" width="3.3046875" customWidth="1"/>
    <col min="2" max="2" width="67" customWidth="1"/>
    <col min="3" max="3" width="16" bestFit="1" customWidth="1"/>
    <col min="4" max="4" width="8.69140625" customWidth="1"/>
    <col min="5" max="19" width="5.15234375" customWidth="1"/>
    <col min="20" max="34" width="15.69140625" bestFit="1" customWidth="1"/>
  </cols>
  <sheetData>
    <row r="1" spans="1:34" ht="15.75" customHeight="1" x14ac:dyDescent="0.4">
      <c r="A1" s="206" t="s">
        <v>197</v>
      </c>
      <c r="B1" s="129"/>
      <c r="C1" s="129"/>
      <c r="D1" s="129"/>
      <c r="E1" s="226" t="s">
        <v>3</v>
      </c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32"/>
      <c r="T1" s="125" t="s">
        <v>4</v>
      </c>
      <c r="U1" s="125"/>
      <c r="V1" s="125"/>
      <c r="W1" s="125"/>
      <c r="X1" s="125"/>
      <c r="Y1" s="125"/>
      <c r="Z1" s="125"/>
      <c r="AA1" s="125"/>
      <c r="AB1" s="125"/>
      <c r="AC1" s="125"/>
    </row>
    <row r="2" spans="1:34" ht="15" customHeight="1" x14ac:dyDescent="0.4">
      <c r="A2" s="129"/>
      <c r="B2" s="140"/>
      <c r="C2" s="140"/>
      <c r="D2" s="140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33"/>
      <c r="T2" s="2">
        <f>MROUND(SUM(T4:T11),1)</f>
        <v>1544</v>
      </c>
      <c r="U2" s="2">
        <f t="shared" ref="U2:AC2" si="0">MROUND(SUM(U4:U11),1)</f>
        <v>1767</v>
      </c>
      <c r="V2" s="2">
        <f t="shared" si="0"/>
        <v>2063</v>
      </c>
      <c r="W2" s="2">
        <f t="shared" si="0"/>
        <v>2451</v>
      </c>
      <c r="X2" s="2">
        <f t="shared" si="0"/>
        <v>1596</v>
      </c>
      <c r="Y2" s="2">
        <f t="shared" si="0"/>
        <v>2012</v>
      </c>
      <c r="Z2" s="2">
        <f t="shared" si="0"/>
        <v>1784</v>
      </c>
      <c r="AA2" s="2">
        <f t="shared" si="0"/>
        <v>2502</v>
      </c>
      <c r="AB2" s="2">
        <f t="shared" si="0"/>
        <v>1823</v>
      </c>
      <c r="AC2" s="2">
        <f t="shared" si="0"/>
        <v>1749</v>
      </c>
    </row>
    <row r="3" spans="1:34" ht="14.6" x14ac:dyDescent="0.4">
      <c r="A3" s="3" t="s">
        <v>6</v>
      </c>
      <c r="B3" s="204" t="s">
        <v>7</v>
      </c>
      <c r="C3" s="207" t="s">
        <v>8</v>
      </c>
      <c r="D3" s="205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18</v>
      </c>
      <c r="N3" s="170" t="s">
        <v>19</v>
      </c>
      <c r="O3" s="5"/>
      <c r="P3" s="5"/>
      <c r="Q3" s="5"/>
      <c r="R3" s="5"/>
      <c r="S3" s="5"/>
      <c r="T3" s="36">
        <v>20000</v>
      </c>
      <c r="U3" s="36">
        <v>40000</v>
      </c>
      <c r="V3" s="36">
        <v>60000</v>
      </c>
      <c r="W3" s="36">
        <v>80000</v>
      </c>
      <c r="X3" s="36">
        <v>100000</v>
      </c>
      <c r="Y3" s="36">
        <v>120000</v>
      </c>
      <c r="Z3" s="36">
        <v>140000</v>
      </c>
      <c r="AA3" s="36">
        <v>160000</v>
      </c>
      <c r="AB3" s="36">
        <v>180000</v>
      </c>
      <c r="AC3" s="36">
        <v>200000</v>
      </c>
    </row>
    <row r="4" spans="1:34" ht="14.6" x14ac:dyDescent="0.4">
      <c r="A4" s="7">
        <v>1</v>
      </c>
      <c r="B4" s="8" t="s">
        <v>155</v>
      </c>
      <c r="C4" s="185" t="s">
        <v>198</v>
      </c>
      <c r="D4" s="9">
        <f>VLOOKUP(C4,'[1]PREÇO ATUAL'!$A:$D,4,0)</f>
        <v>89.9</v>
      </c>
      <c r="E4" s="10">
        <v>1</v>
      </c>
      <c r="F4" s="10">
        <v>1</v>
      </c>
      <c r="G4" s="10">
        <v>1</v>
      </c>
      <c r="H4" s="10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1">
        <v>1</v>
      </c>
      <c r="O4" s="11"/>
      <c r="P4" s="11"/>
      <c r="Q4" s="11"/>
      <c r="R4" s="11"/>
      <c r="S4" s="11"/>
      <c r="T4" s="13">
        <f t="shared" ref="T4:AB10" si="1">$D4*E4</f>
        <v>89.9</v>
      </c>
      <c r="U4" s="13">
        <f t="shared" si="1"/>
        <v>89.9</v>
      </c>
      <c r="V4" s="13">
        <f t="shared" si="1"/>
        <v>89.9</v>
      </c>
      <c r="W4" s="13">
        <f t="shared" si="1"/>
        <v>89.9</v>
      </c>
      <c r="X4" s="13">
        <f t="shared" si="1"/>
        <v>89.9</v>
      </c>
      <c r="Y4" s="13">
        <f t="shared" si="1"/>
        <v>89.9</v>
      </c>
      <c r="Z4" s="13">
        <f t="shared" si="1"/>
        <v>89.9</v>
      </c>
      <c r="AA4" s="13">
        <f t="shared" si="1"/>
        <v>89.9</v>
      </c>
      <c r="AB4" s="13">
        <f t="shared" si="1"/>
        <v>89.9</v>
      </c>
      <c r="AC4" s="13">
        <f t="shared" ref="AC4" si="2">$D4*N4</f>
        <v>89.9</v>
      </c>
    </row>
    <row r="5" spans="1:34" ht="14.6" x14ac:dyDescent="0.4">
      <c r="A5" s="15">
        <v>2</v>
      </c>
      <c r="B5" s="16" t="s">
        <v>72</v>
      </c>
      <c r="C5" s="186" t="s">
        <v>199</v>
      </c>
      <c r="D5" s="17">
        <f>VLOOKUP(C5,'[1]PREÇO ATUAL'!$A:$D,4,0)</f>
        <v>379</v>
      </c>
      <c r="E5" s="18">
        <v>1</v>
      </c>
      <c r="F5" s="18">
        <v>1</v>
      </c>
      <c r="G5" s="18">
        <v>1</v>
      </c>
      <c r="H5" s="18">
        <v>1</v>
      </c>
      <c r="I5" s="19">
        <v>1</v>
      </c>
      <c r="J5" s="19">
        <v>1</v>
      </c>
      <c r="K5" s="19">
        <v>1</v>
      </c>
      <c r="L5" s="19">
        <v>1</v>
      </c>
      <c r="M5" s="19">
        <v>1</v>
      </c>
      <c r="N5" s="19">
        <v>1</v>
      </c>
      <c r="O5" s="19"/>
      <c r="P5" s="19"/>
      <c r="Q5" s="19"/>
      <c r="R5" s="19"/>
      <c r="S5" s="19"/>
      <c r="T5" s="21">
        <f t="shared" si="1"/>
        <v>379</v>
      </c>
      <c r="U5" s="21">
        <f t="shared" si="1"/>
        <v>379</v>
      </c>
      <c r="V5" s="21">
        <f t="shared" si="1"/>
        <v>379</v>
      </c>
      <c r="W5" s="21">
        <f t="shared" si="1"/>
        <v>379</v>
      </c>
      <c r="X5" s="21">
        <f t="shared" si="1"/>
        <v>379</v>
      </c>
      <c r="Y5" s="21">
        <f t="shared" si="1"/>
        <v>379</v>
      </c>
      <c r="Z5" s="21">
        <f t="shared" si="1"/>
        <v>379</v>
      </c>
      <c r="AA5" s="21">
        <f t="shared" si="1"/>
        <v>379</v>
      </c>
      <c r="AB5" s="21">
        <f t="shared" si="1"/>
        <v>379</v>
      </c>
      <c r="AC5" s="21">
        <f t="shared" ref="AC5" si="3">$D5*N5</f>
        <v>379</v>
      </c>
    </row>
    <row r="6" spans="1:34" ht="14.6" x14ac:dyDescent="0.4">
      <c r="A6" s="7">
        <v>3</v>
      </c>
      <c r="B6" s="8" t="s">
        <v>156</v>
      </c>
      <c r="C6" s="185" t="s">
        <v>157</v>
      </c>
      <c r="D6" s="9">
        <f>VLOOKUP(C6,'[1]PREÇO ATUAL'!$A:$D,4,0)</f>
        <v>101.54</v>
      </c>
      <c r="E6" s="10">
        <v>1</v>
      </c>
      <c r="F6" s="10">
        <v>1</v>
      </c>
      <c r="G6" s="10">
        <v>1</v>
      </c>
      <c r="H6" s="10">
        <v>1</v>
      </c>
      <c r="I6" s="11">
        <v>1</v>
      </c>
      <c r="J6" s="11">
        <v>1</v>
      </c>
      <c r="K6" s="11">
        <v>1</v>
      </c>
      <c r="L6" s="11">
        <v>1</v>
      </c>
      <c r="M6" s="11">
        <v>1</v>
      </c>
      <c r="N6" s="11">
        <v>1</v>
      </c>
      <c r="O6" s="11"/>
      <c r="P6" s="11"/>
      <c r="Q6" s="11"/>
      <c r="R6" s="11"/>
      <c r="S6" s="11"/>
      <c r="T6" s="13">
        <f t="shared" si="1"/>
        <v>101.54</v>
      </c>
      <c r="U6" s="13">
        <f t="shared" si="1"/>
        <v>101.54</v>
      </c>
      <c r="V6" s="13">
        <f t="shared" si="1"/>
        <v>101.54</v>
      </c>
      <c r="W6" s="13">
        <f t="shared" si="1"/>
        <v>101.54</v>
      </c>
      <c r="X6" s="13">
        <f t="shared" si="1"/>
        <v>101.54</v>
      </c>
      <c r="Y6" s="13">
        <f t="shared" si="1"/>
        <v>101.54</v>
      </c>
      <c r="Z6" s="13">
        <f t="shared" si="1"/>
        <v>101.54</v>
      </c>
      <c r="AA6" s="13">
        <f t="shared" si="1"/>
        <v>101.54</v>
      </c>
      <c r="AB6" s="13">
        <f t="shared" si="1"/>
        <v>101.54</v>
      </c>
      <c r="AC6" s="13">
        <f t="shared" ref="AC6" si="4">$D6*N6</f>
        <v>101.54</v>
      </c>
    </row>
    <row r="7" spans="1:34" ht="14.6" x14ac:dyDescent="0.4">
      <c r="A7" s="15">
        <v>4</v>
      </c>
      <c r="B7" s="16" t="s">
        <v>159</v>
      </c>
      <c r="C7" s="186" t="s">
        <v>200</v>
      </c>
      <c r="D7" s="17">
        <f>VLOOKUP(C7,'[1]PREÇO ATUAL'!$A:$D,4,0)</f>
        <v>296.29000000000002</v>
      </c>
      <c r="E7" s="18"/>
      <c r="F7" s="18"/>
      <c r="G7" s="18">
        <v>1</v>
      </c>
      <c r="H7" s="18"/>
      <c r="I7" s="19"/>
      <c r="J7" s="19">
        <v>1</v>
      </c>
      <c r="K7" s="19"/>
      <c r="L7" s="19"/>
      <c r="M7" s="19">
        <v>1</v>
      </c>
      <c r="N7" s="19"/>
      <c r="O7" s="19"/>
      <c r="P7" s="19"/>
      <c r="Q7" s="19"/>
      <c r="R7" s="19"/>
      <c r="S7" s="19"/>
      <c r="T7" s="21">
        <f t="shared" si="1"/>
        <v>0</v>
      </c>
      <c r="U7" s="21">
        <f t="shared" si="1"/>
        <v>0</v>
      </c>
      <c r="V7" s="21">
        <f t="shared" si="1"/>
        <v>296.29000000000002</v>
      </c>
      <c r="W7" s="21">
        <f t="shared" si="1"/>
        <v>0</v>
      </c>
      <c r="X7" s="21">
        <f t="shared" si="1"/>
        <v>0</v>
      </c>
      <c r="Y7" s="21">
        <f t="shared" si="1"/>
        <v>296.29000000000002</v>
      </c>
      <c r="Z7" s="21">
        <f t="shared" si="1"/>
        <v>0</v>
      </c>
      <c r="AA7" s="21">
        <f t="shared" si="1"/>
        <v>0</v>
      </c>
      <c r="AB7" s="21">
        <f t="shared" si="1"/>
        <v>296.29000000000002</v>
      </c>
      <c r="AC7" s="21">
        <f t="shared" ref="AC7" si="5">$D7*N7</f>
        <v>0</v>
      </c>
    </row>
    <row r="8" spans="1:34" ht="15.75" customHeight="1" x14ac:dyDescent="0.4">
      <c r="A8" s="7">
        <v>5</v>
      </c>
      <c r="B8" s="8" t="s">
        <v>201</v>
      </c>
      <c r="C8" s="185" t="s">
        <v>202</v>
      </c>
      <c r="D8" s="9">
        <f>VLOOKUP(C8,'[1]PREÇO ATUAL'!$A:$D,4,0)</f>
        <v>0</v>
      </c>
      <c r="E8" s="10"/>
      <c r="F8" s="10"/>
      <c r="G8" s="10"/>
      <c r="H8" s="10">
        <v>1</v>
      </c>
      <c r="I8" s="11"/>
      <c r="J8" s="11"/>
      <c r="K8" s="11"/>
      <c r="L8" s="11">
        <v>1</v>
      </c>
      <c r="M8" s="11"/>
      <c r="N8" s="11"/>
      <c r="O8" s="11"/>
      <c r="P8" s="11"/>
      <c r="Q8" s="11"/>
      <c r="R8" s="11"/>
      <c r="S8" s="11"/>
      <c r="T8" s="13">
        <f t="shared" si="1"/>
        <v>0</v>
      </c>
      <c r="U8" s="13">
        <f t="shared" si="1"/>
        <v>0</v>
      </c>
      <c r="V8" s="13">
        <f>$D8*G8</f>
        <v>0</v>
      </c>
      <c r="W8" s="13">
        <f>$D8*H8</f>
        <v>0</v>
      </c>
      <c r="X8" s="13">
        <f t="shared" si="1"/>
        <v>0</v>
      </c>
      <c r="Y8" s="13">
        <f t="shared" si="1"/>
        <v>0</v>
      </c>
      <c r="Z8" s="13">
        <f t="shared" si="1"/>
        <v>0</v>
      </c>
      <c r="AA8" s="13">
        <f t="shared" si="1"/>
        <v>0</v>
      </c>
      <c r="AB8" s="13">
        <f t="shared" si="1"/>
        <v>0</v>
      </c>
      <c r="AC8" s="13">
        <f t="shared" ref="AC8" si="6">$D8*N8</f>
        <v>0</v>
      </c>
    </row>
    <row r="9" spans="1:34" ht="15.75" customHeight="1" x14ac:dyDescent="0.4">
      <c r="A9" s="15">
        <v>6</v>
      </c>
      <c r="B9" s="16" t="s">
        <v>160</v>
      </c>
      <c r="C9" s="186" t="s">
        <v>161</v>
      </c>
      <c r="D9" s="17">
        <f>VLOOKUP(C9,'[1]PREÇO ATUAL'!$A:$D,4,0)</f>
        <v>45.09</v>
      </c>
      <c r="E9" s="18"/>
      <c r="F9" s="18"/>
      <c r="G9" s="18"/>
      <c r="H9" s="18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21">
        <f t="shared" si="1"/>
        <v>0</v>
      </c>
      <c r="U9" s="21">
        <f t="shared" si="1"/>
        <v>0</v>
      </c>
      <c r="V9" s="21">
        <f t="shared" si="1"/>
        <v>0</v>
      </c>
      <c r="W9" s="21">
        <f t="shared" si="1"/>
        <v>0</v>
      </c>
      <c r="X9" s="21">
        <f t="shared" si="1"/>
        <v>0</v>
      </c>
      <c r="Y9" s="21">
        <f t="shared" si="1"/>
        <v>0</v>
      </c>
      <c r="Z9" s="21">
        <f t="shared" si="1"/>
        <v>0</v>
      </c>
      <c r="AA9" s="21">
        <f t="shared" si="1"/>
        <v>0</v>
      </c>
      <c r="AB9" s="21">
        <f t="shared" si="1"/>
        <v>0</v>
      </c>
      <c r="AC9" s="21">
        <f t="shared" ref="AC9" si="7">$D9*N9</f>
        <v>0</v>
      </c>
    </row>
    <row r="10" spans="1:34" ht="15.75" customHeight="1" x14ac:dyDescent="0.4">
      <c r="A10" s="7">
        <v>7</v>
      </c>
      <c r="B10" s="8" t="s">
        <v>203</v>
      </c>
      <c r="C10" s="185" t="s">
        <v>204</v>
      </c>
      <c r="D10" s="9">
        <f>VLOOKUP(C10,'[1]PREÇO ATUAL'!$A:$D,4,0)</f>
        <v>110.2557468128982</v>
      </c>
      <c r="E10" s="48">
        <v>4.8</v>
      </c>
      <c r="F10" s="48">
        <v>4.8</v>
      </c>
      <c r="G10" s="48">
        <v>4.8</v>
      </c>
      <c r="H10" s="48">
        <v>4.8</v>
      </c>
      <c r="I10" s="48">
        <v>4.8</v>
      </c>
      <c r="J10" s="48">
        <v>4.8</v>
      </c>
      <c r="K10" s="48">
        <v>4.8</v>
      </c>
      <c r="L10" s="48">
        <v>4.8</v>
      </c>
      <c r="M10" s="48">
        <v>4.8</v>
      </c>
      <c r="N10" s="49">
        <v>4.8</v>
      </c>
      <c r="O10" s="48"/>
      <c r="P10" s="48"/>
      <c r="Q10" s="48"/>
      <c r="R10" s="48"/>
      <c r="S10" s="48"/>
      <c r="T10" s="13">
        <f t="shared" si="1"/>
        <v>529.22758470191127</v>
      </c>
      <c r="U10" s="13">
        <f t="shared" si="1"/>
        <v>529.22758470191127</v>
      </c>
      <c r="V10" s="13">
        <f t="shared" si="1"/>
        <v>529.22758470191127</v>
      </c>
      <c r="W10" s="13">
        <f t="shared" si="1"/>
        <v>529.22758470191127</v>
      </c>
      <c r="X10" s="13">
        <f t="shared" si="1"/>
        <v>529.22758470191127</v>
      </c>
      <c r="Y10" s="13">
        <f t="shared" si="1"/>
        <v>529.22758470191127</v>
      </c>
      <c r="Z10" s="13">
        <f t="shared" si="1"/>
        <v>529.22758470191127</v>
      </c>
      <c r="AA10" s="13">
        <f t="shared" si="1"/>
        <v>529.22758470191127</v>
      </c>
      <c r="AB10" s="13">
        <f t="shared" si="1"/>
        <v>529.22758470191127</v>
      </c>
      <c r="AC10" s="13">
        <f t="shared" ref="AC10" si="8">$D10*N10</f>
        <v>529.22758470191127</v>
      </c>
    </row>
    <row r="11" spans="1:34" ht="15.75" customHeight="1" x14ac:dyDescent="0.4">
      <c r="A11" s="15">
        <v>8</v>
      </c>
      <c r="B11" s="16" t="s">
        <v>38</v>
      </c>
      <c r="C11" s="186" t="s">
        <v>39</v>
      </c>
      <c r="D11" s="17">
        <f>VLOOKUP(C11,'[1]PREÇO ATUAL'!$A:$D,4,0)</f>
        <v>342</v>
      </c>
      <c r="E11" s="24">
        <v>1.3</v>
      </c>
      <c r="F11" s="24">
        <v>1.95</v>
      </c>
      <c r="G11" s="24">
        <v>1.95</v>
      </c>
      <c r="H11" s="24">
        <v>3.95</v>
      </c>
      <c r="I11" s="17">
        <v>1.45</v>
      </c>
      <c r="J11" s="17">
        <v>1.8</v>
      </c>
      <c r="K11" s="17">
        <v>2</v>
      </c>
      <c r="L11" s="17">
        <v>4.0999999999999996</v>
      </c>
      <c r="M11" s="17">
        <v>1.25</v>
      </c>
      <c r="N11" s="17">
        <v>1.9</v>
      </c>
      <c r="O11" s="17"/>
      <c r="P11" s="17"/>
      <c r="Q11" s="17"/>
      <c r="R11" s="17"/>
      <c r="S11" s="17"/>
      <c r="T11" s="21">
        <f>D11*E11</f>
        <v>444.6</v>
      </c>
      <c r="U11" s="21">
        <f t="shared" ref="U11:AB11" si="9">$D11*F11</f>
        <v>666.9</v>
      </c>
      <c r="V11" s="21">
        <f t="shared" si="9"/>
        <v>666.9</v>
      </c>
      <c r="W11" s="21">
        <f t="shared" si="9"/>
        <v>1350.9</v>
      </c>
      <c r="X11" s="21">
        <f t="shared" si="9"/>
        <v>495.9</v>
      </c>
      <c r="Y11" s="21">
        <f t="shared" si="9"/>
        <v>615.6</v>
      </c>
      <c r="Z11" s="21">
        <f t="shared" si="9"/>
        <v>684</v>
      </c>
      <c r="AA11" s="21">
        <f t="shared" si="9"/>
        <v>1402.1999999999998</v>
      </c>
      <c r="AB11" s="21">
        <f t="shared" si="9"/>
        <v>427.5</v>
      </c>
      <c r="AC11" s="21">
        <f t="shared" ref="AC11" si="10">$D11*N11</f>
        <v>649.79999999999995</v>
      </c>
    </row>
    <row r="12" spans="1:34" ht="15.75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34" ht="15.75" customHeight="1" x14ac:dyDescent="0.4">
      <c r="A13" s="206" t="s">
        <v>205</v>
      </c>
      <c r="B13" s="129"/>
      <c r="C13" s="129"/>
      <c r="D13" s="129"/>
      <c r="E13" s="126" t="s">
        <v>3</v>
      </c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5" t="s">
        <v>4</v>
      </c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</row>
    <row r="14" spans="1:34" ht="15" customHeight="1" x14ac:dyDescent="0.4">
      <c r="A14" s="129"/>
      <c r="B14" s="140"/>
      <c r="C14" s="140"/>
      <c r="D14" s="140"/>
      <c r="E14" s="141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2">
        <f t="shared" ref="T14:AC14" si="11">MROUND(SUM(T16:T24),1)</f>
        <v>1807</v>
      </c>
      <c r="U14" s="2">
        <f t="shared" si="11"/>
        <v>2026</v>
      </c>
      <c r="V14" s="2">
        <f t="shared" si="11"/>
        <v>1961</v>
      </c>
      <c r="W14" s="2">
        <f t="shared" si="11"/>
        <v>2009</v>
      </c>
      <c r="X14" s="2">
        <f t="shared" si="11"/>
        <v>1824</v>
      </c>
      <c r="Y14" s="2">
        <f t="shared" si="11"/>
        <v>2095</v>
      </c>
      <c r="Z14" s="2">
        <f t="shared" si="11"/>
        <v>1961</v>
      </c>
      <c r="AA14" s="2">
        <f t="shared" si="11"/>
        <v>2026</v>
      </c>
      <c r="AB14" s="2">
        <f t="shared" si="11"/>
        <v>1807</v>
      </c>
      <c r="AC14" s="2">
        <f t="shared" si="11"/>
        <v>2009</v>
      </c>
      <c r="AD14" s="2">
        <f t="shared" ref="AD14:AG14" si="12">MROUND(SUM(AD16:AD24),1)</f>
        <v>1978</v>
      </c>
      <c r="AE14" s="2">
        <f t="shared" si="12"/>
        <v>2984</v>
      </c>
      <c r="AF14" s="2">
        <f>MROUND(SUM(AF16:AF24),1)</f>
        <v>1807</v>
      </c>
      <c r="AG14" s="2">
        <f t="shared" si="12"/>
        <v>2026</v>
      </c>
      <c r="AH14" s="2">
        <f>MROUND(SUM(AH16:AH24),1)</f>
        <v>1961</v>
      </c>
    </row>
    <row r="15" spans="1:34" ht="14.6" x14ac:dyDescent="0.4">
      <c r="A15" s="3" t="s">
        <v>6</v>
      </c>
      <c r="B15" s="3" t="s">
        <v>7</v>
      </c>
      <c r="C15" s="184" t="s">
        <v>8</v>
      </c>
      <c r="D15" s="4" t="s">
        <v>9</v>
      </c>
      <c r="E15" s="5" t="s">
        <v>10</v>
      </c>
      <c r="F15" s="5" t="s">
        <v>11</v>
      </c>
      <c r="G15" s="5" t="s">
        <v>12</v>
      </c>
      <c r="H15" s="5" t="s">
        <v>13</v>
      </c>
      <c r="I15" s="5" t="s">
        <v>14</v>
      </c>
      <c r="J15" s="5" t="s">
        <v>15</v>
      </c>
      <c r="K15" s="5" t="s">
        <v>16</v>
      </c>
      <c r="L15" s="5" t="s">
        <v>17</v>
      </c>
      <c r="M15" s="5" t="s">
        <v>18</v>
      </c>
      <c r="N15" s="5" t="s">
        <v>19</v>
      </c>
      <c r="O15" s="5" t="s">
        <v>116</v>
      </c>
      <c r="P15" s="5" t="s">
        <v>117</v>
      </c>
      <c r="Q15" s="5" t="s">
        <v>118</v>
      </c>
      <c r="R15" s="5" t="s">
        <v>119</v>
      </c>
      <c r="S15" s="5" t="s">
        <v>120</v>
      </c>
      <c r="T15" s="36">
        <v>20000</v>
      </c>
      <c r="U15" s="36">
        <v>40000</v>
      </c>
      <c r="V15" s="36">
        <v>60000</v>
      </c>
      <c r="W15" s="36">
        <v>80000</v>
      </c>
      <c r="X15" s="36">
        <v>100000</v>
      </c>
      <c r="Y15" s="36">
        <v>120000</v>
      </c>
      <c r="Z15" s="36">
        <v>140000</v>
      </c>
      <c r="AA15" s="36">
        <v>160000</v>
      </c>
      <c r="AB15" s="36">
        <v>180000</v>
      </c>
      <c r="AC15" s="36">
        <v>200000</v>
      </c>
      <c r="AD15" s="36">
        <f>AC15+20000</f>
        <v>220000</v>
      </c>
      <c r="AE15" s="36">
        <f t="shared" ref="AE15:AH15" si="13">AD15+20000</f>
        <v>240000</v>
      </c>
      <c r="AF15" s="36">
        <f t="shared" si="13"/>
        <v>260000</v>
      </c>
      <c r="AG15" s="36">
        <f t="shared" si="13"/>
        <v>280000</v>
      </c>
      <c r="AH15" s="36">
        <f t="shared" si="13"/>
        <v>300000</v>
      </c>
    </row>
    <row r="16" spans="1:34" ht="14.6" x14ac:dyDescent="0.4">
      <c r="A16" s="7">
        <v>1</v>
      </c>
      <c r="B16" s="8" t="s">
        <v>206</v>
      </c>
      <c r="C16" s="185" t="s">
        <v>207</v>
      </c>
      <c r="D16" s="9">
        <f>VLOOKUP(C16,'[1]PREÇO ATUAL'!$A:$D,4,0)</f>
        <v>123</v>
      </c>
      <c r="E16" s="10">
        <v>1</v>
      </c>
      <c r="F16" s="10">
        <v>1</v>
      </c>
      <c r="G16" s="10">
        <v>1</v>
      </c>
      <c r="H16" s="10">
        <v>1</v>
      </c>
      <c r="I16" s="11">
        <v>1</v>
      </c>
      <c r="J16" s="11">
        <v>1</v>
      </c>
      <c r="K16" s="11">
        <v>1</v>
      </c>
      <c r="L16" s="11">
        <v>1</v>
      </c>
      <c r="M16" s="11">
        <v>1</v>
      </c>
      <c r="N16" s="10">
        <v>1</v>
      </c>
      <c r="O16" s="10">
        <v>1</v>
      </c>
      <c r="P16" s="10">
        <v>1</v>
      </c>
      <c r="Q16" s="10">
        <v>1</v>
      </c>
      <c r="R16" s="10">
        <v>1</v>
      </c>
      <c r="S16" s="10">
        <v>1</v>
      </c>
      <c r="T16" s="13">
        <f t="shared" ref="T16:AB23" si="14">$D16*E16</f>
        <v>123</v>
      </c>
      <c r="U16" s="13">
        <f t="shared" si="14"/>
        <v>123</v>
      </c>
      <c r="V16" s="13">
        <f t="shared" si="14"/>
        <v>123</v>
      </c>
      <c r="W16" s="13">
        <f t="shared" si="14"/>
        <v>123</v>
      </c>
      <c r="X16" s="13">
        <f t="shared" si="14"/>
        <v>123</v>
      </c>
      <c r="Y16" s="13">
        <f t="shared" si="14"/>
        <v>123</v>
      </c>
      <c r="Z16" s="13">
        <f t="shared" si="14"/>
        <v>123</v>
      </c>
      <c r="AA16" s="13">
        <f t="shared" si="14"/>
        <v>123</v>
      </c>
      <c r="AB16" s="13">
        <f t="shared" si="14"/>
        <v>123</v>
      </c>
      <c r="AC16" s="13">
        <f t="shared" ref="AC16:AC24" si="15">$D16*N16</f>
        <v>123</v>
      </c>
      <c r="AD16" s="13">
        <f t="shared" ref="AD16:AD24" si="16">$D16*O16</f>
        <v>123</v>
      </c>
      <c r="AE16" s="13">
        <f t="shared" ref="AE16:AE24" si="17">$D16*P16</f>
        <v>123</v>
      </c>
      <c r="AF16" s="13">
        <f t="shared" ref="AF16:AF24" si="18">$D16*Q16</f>
        <v>123</v>
      </c>
      <c r="AG16" s="13">
        <f t="shared" ref="AG16:AG24" si="19">$D16*R16</f>
        <v>123</v>
      </c>
      <c r="AH16" s="13">
        <f t="shared" ref="AH16:AH24" si="20">$D16*S16</f>
        <v>123</v>
      </c>
    </row>
    <row r="17" spans="1:34" ht="14.6" x14ac:dyDescent="0.4">
      <c r="A17" s="15">
        <v>2</v>
      </c>
      <c r="B17" s="16" t="s">
        <v>24</v>
      </c>
      <c r="C17" s="186" t="s">
        <v>199</v>
      </c>
      <c r="D17" s="17">
        <f>VLOOKUP(C17,'[1]PREÇO ATUAL'!$A:$D,4,0)</f>
        <v>379</v>
      </c>
      <c r="E17" s="18">
        <v>1</v>
      </c>
      <c r="F17" s="18">
        <v>1</v>
      </c>
      <c r="G17" s="18">
        <v>1</v>
      </c>
      <c r="H17" s="18">
        <v>1</v>
      </c>
      <c r="I17" s="19">
        <v>1</v>
      </c>
      <c r="J17" s="19">
        <v>1</v>
      </c>
      <c r="K17" s="19">
        <v>1</v>
      </c>
      <c r="L17" s="19">
        <v>1</v>
      </c>
      <c r="M17" s="19">
        <v>1</v>
      </c>
      <c r="N17" s="18">
        <v>1</v>
      </c>
      <c r="O17" s="18">
        <v>1</v>
      </c>
      <c r="P17" s="18">
        <v>1</v>
      </c>
      <c r="Q17" s="18">
        <v>1</v>
      </c>
      <c r="R17" s="18">
        <v>1</v>
      </c>
      <c r="S17" s="18">
        <v>1</v>
      </c>
      <c r="T17" s="21">
        <f t="shared" si="14"/>
        <v>379</v>
      </c>
      <c r="U17" s="21">
        <f t="shared" si="14"/>
        <v>379</v>
      </c>
      <c r="V17" s="21">
        <f t="shared" si="14"/>
        <v>379</v>
      </c>
      <c r="W17" s="21">
        <f t="shared" si="14"/>
        <v>379</v>
      </c>
      <c r="X17" s="21">
        <f t="shared" si="14"/>
        <v>379</v>
      </c>
      <c r="Y17" s="21">
        <f t="shared" si="14"/>
        <v>379</v>
      </c>
      <c r="Z17" s="21">
        <f t="shared" si="14"/>
        <v>379</v>
      </c>
      <c r="AA17" s="21">
        <f t="shared" si="14"/>
        <v>379</v>
      </c>
      <c r="AB17" s="21">
        <f t="shared" si="14"/>
        <v>379</v>
      </c>
      <c r="AC17" s="21">
        <f t="shared" si="15"/>
        <v>379</v>
      </c>
      <c r="AD17" s="21">
        <f t="shared" si="16"/>
        <v>379</v>
      </c>
      <c r="AE17" s="21">
        <f t="shared" si="17"/>
        <v>379</v>
      </c>
      <c r="AF17" s="21">
        <f t="shared" si="18"/>
        <v>379</v>
      </c>
      <c r="AG17" s="21">
        <f t="shared" si="19"/>
        <v>379</v>
      </c>
      <c r="AH17" s="21">
        <f t="shared" si="20"/>
        <v>379</v>
      </c>
    </row>
    <row r="18" spans="1:34" ht="14.6" x14ac:dyDescent="0.4">
      <c r="A18" s="7">
        <v>3</v>
      </c>
      <c r="B18" s="8" t="s">
        <v>90</v>
      </c>
      <c r="C18" s="185" t="s">
        <v>208</v>
      </c>
      <c r="D18" s="9">
        <f>VLOOKUP(C18,'[1]PREÇO ATUAL'!$A:$D,4,0)</f>
        <v>181.5</v>
      </c>
      <c r="E18" s="10">
        <v>1</v>
      </c>
      <c r="F18" s="10">
        <v>1</v>
      </c>
      <c r="G18" s="10">
        <v>1</v>
      </c>
      <c r="H18" s="10">
        <v>1</v>
      </c>
      <c r="I18" s="11">
        <v>1</v>
      </c>
      <c r="J18" s="11">
        <v>1</v>
      </c>
      <c r="K18" s="11">
        <v>1</v>
      </c>
      <c r="L18" s="11">
        <v>1</v>
      </c>
      <c r="M18" s="11">
        <v>1</v>
      </c>
      <c r="N18" s="10">
        <v>1</v>
      </c>
      <c r="O18" s="10">
        <v>1</v>
      </c>
      <c r="P18" s="10">
        <v>1</v>
      </c>
      <c r="Q18" s="10">
        <v>1</v>
      </c>
      <c r="R18" s="10">
        <v>1</v>
      </c>
      <c r="S18" s="10">
        <v>1</v>
      </c>
      <c r="T18" s="13">
        <f t="shared" si="14"/>
        <v>181.5</v>
      </c>
      <c r="U18" s="13">
        <f t="shared" si="14"/>
        <v>181.5</v>
      </c>
      <c r="V18" s="13">
        <f t="shared" si="14"/>
        <v>181.5</v>
      </c>
      <c r="W18" s="13">
        <f t="shared" si="14"/>
        <v>181.5</v>
      </c>
      <c r="X18" s="13">
        <f t="shared" si="14"/>
        <v>181.5</v>
      </c>
      <c r="Y18" s="13">
        <f t="shared" si="14"/>
        <v>181.5</v>
      </c>
      <c r="Z18" s="13">
        <f t="shared" si="14"/>
        <v>181.5</v>
      </c>
      <c r="AA18" s="13">
        <f t="shared" si="14"/>
        <v>181.5</v>
      </c>
      <c r="AB18" s="13">
        <f t="shared" si="14"/>
        <v>181.5</v>
      </c>
      <c r="AC18" s="13">
        <f t="shared" si="15"/>
        <v>181.5</v>
      </c>
      <c r="AD18" s="13">
        <f t="shared" si="16"/>
        <v>181.5</v>
      </c>
      <c r="AE18" s="13">
        <f t="shared" si="17"/>
        <v>181.5</v>
      </c>
      <c r="AF18" s="13">
        <f t="shared" si="18"/>
        <v>181.5</v>
      </c>
      <c r="AG18" s="13">
        <f t="shared" si="19"/>
        <v>181.5</v>
      </c>
      <c r="AH18" s="13">
        <f t="shared" si="20"/>
        <v>181.5</v>
      </c>
    </row>
    <row r="19" spans="1:34" ht="24.9" x14ac:dyDescent="0.4">
      <c r="A19" s="15">
        <v>4</v>
      </c>
      <c r="B19" s="143" t="s">
        <v>209</v>
      </c>
      <c r="C19" s="186" t="s">
        <v>161</v>
      </c>
      <c r="D19" s="17">
        <f>VLOOKUP(C19,'[1]PREÇO ATUAL'!$A:$D,4,0)</f>
        <v>45.09</v>
      </c>
      <c r="E19" s="24"/>
      <c r="F19" s="24">
        <v>0.7</v>
      </c>
      <c r="G19" s="24"/>
      <c r="H19" s="24">
        <v>0.7</v>
      </c>
      <c r="I19" s="17"/>
      <c r="J19" s="17">
        <v>0.7</v>
      </c>
      <c r="K19" s="17"/>
      <c r="L19" s="17">
        <v>0.7</v>
      </c>
      <c r="M19" s="17"/>
      <c r="N19" s="24">
        <v>0.7</v>
      </c>
      <c r="O19" s="156"/>
      <c r="P19" s="17">
        <v>0.7</v>
      </c>
      <c r="Q19" s="17"/>
      <c r="R19" s="17">
        <v>0.7</v>
      </c>
      <c r="S19" s="17"/>
      <c r="T19" s="21">
        <f t="shared" si="14"/>
        <v>0</v>
      </c>
      <c r="U19" s="21">
        <f t="shared" si="14"/>
        <v>31.562999999999999</v>
      </c>
      <c r="V19" s="21">
        <f t="shared" si="14"/>
        <v>0</v>
      </c>
      <c r="W19" s="21">
        <f t="shared" si="14"/>
        <v>31.562999999999999</v>
      </c>
      <c r="X19" s="21">
        <f t="shared" si="14"/>
        <v>0</v>
      </c>
      <c r="Y19" s="21">
        <f t="shared" si="14"/>
        <v>31.562999999999999</v>
      </c>
      <c r="Z19" s="21">
        <f t="shared" si="14"/>
        <v>0</v>
      </c>
      <c r="AA19" s="21">
        <f t="shared" si="14"/>
        <v>31.562999999999999</v>
      </c>
      <c r="AB19" s="21">
        <f t="shared" si="14"/>
        <v>0</v>
      </c>
      <c r="AC19" s="21">
        <f t="shared" ref="AC19" si="21">$D19*N19</f>
        <v>31.562999999999999</v>
      </c>
      <c r="AD19" s="21">
        <f t="shared" si="16"/>
        <v>0</v>
      </c>
      <c r="AE19" s="21">
        <f t="shared" si="17"/>
        <v>31.562999999999999</v>
      </c>
      <c r="AF19" s="21">
        <f t="shared" si="18"/>
        <v>0</v>
      </c>
      <c r="AG19" s="21">
        <f t="shared" si="19"/>
        <v>31.562999999999999</v>
      </c>
      <c r="AH19" s="21">
        <f t="shared" si="20"/>
        <v>0</v>
      </c>
    </row>
    <row r="20" spans="1:34" ht="24.9" x14ac:dyDescent="0.4">
      <c r="A20" s="7">
        <v>5</v>
      </c>
      <c r="B20" s="142" t="s">
        <v>210</v>
      </c>
      <c r="C20" s="185" t="s">
        <v>211</v>
      </c>
      <c r="D20" s="9">
        <f>VLOOKUP(C20,'[1]PREÇO ATUAL'!$A:$D,4,0)</f>
        <v>289.35000000000002</v>
      </c>
      <c r="E20" s="10"/>
      <c r="F20" s="10"/>
      <c r="G20" s="10"/>
      <c r="H20" s="10"/>
      <c r="I20" s="11"/>
      <c r="J20" s="11"/>
      <c r="K20" s="11"/>
      <c r="L20" s="11"/>
      <c r="M20" s="11"/>
      <c r="N20" s="10"/>
      <c r="O20" s="10"/>
      <c r="P20" s="10"/>
      <c r="Q20" s="10"/>
      <c r="R20" s="10"/>
      <c r="S20" s="10"/>
      <c r="T20" s="13">
        <f t="shared" si="14"/>
        <v>0</v>
      </c>
      <c r="U20" s="13">
        <f t="shared" si="14"/>
        <v>0</v>
      </c>
      <c r="V20" s="13">
        <f t="shared" si="14"/>
        <v>0</v>
      </c>
      <c r="W20" s="13">
        <f t="shared" si="14"/>
        <v>0</v>
      </c>
      <c r="X20" s="13">
        <f t="shared" si="14"/>
        <v>0</v>
      </c>
      <c r="Y20" s="13">
        <f t="shared" si="14"/>
        <v>0</v>
      </c>
      <c r="Z20" s="13">
        <f t="shared" si="14"/>
        <v>0</v>
      </c>
      <c r="AA20" s="13">
        <f t="shared" si="14"/>
        <v>0</v>
      </c>
      <c r="AB20" s="13">
        <f t="shared" si="14"/>
        <v>0</v>
      </c>
      <c r="AC20" s="13">
        <f t="shared" si="15"/>
        <v>0</v>
      </c>
      <c r="AD20" s="13">
        <f t="shared" si="16"/>
        <v>0</v>
      </c>
      <c r="AE20" s="13">
        <f t="shared" si="17"/>
        <v>0</v>
      </c>
      <c r="AF20" s="13">
        <f t="shared" si="18"/>
        <v>0</v>
      </c>
      <c r="AG20" s="13">
        <f t="shared" si="19"/>
        <v>0</v>
      </c>
      <c r="AH20" s="13">
        <f t="shared" si="20"/>
        <v>0</v>
      </c>
    </row>
    <row r="21" spans="1:34" ht="14.6" x14ac:dyDescent="0.4">
      <c r="A21" s="15">
        <v>6</v>
      </c>
      <c r="B21" s="16" t="s">
        <v>212</v>
      </c>
      <c r="C21" s="186" t="s">
        <v>213</v>
      </c>
      <c r="D21" s="17">
        <f>VLOOKUP(C21,'[1]PREÇO ATUAL'!$A:$D,4,0)</f>
        <v>567.54999999999995</v>
      </c>
      <c r="E21" s="18"/>
      <c r="F21" s="18"/>
      <c r="G21" s="18"/>
      <c r="H21" s="18"/>
      <c r="I21" s="19"/>
      <c r="J21" s="19"/>
      <c r="K21" s="19"/>
      <c r="L21" s="19"/>
      <c r="M21" s="19"/>
      <c r="N21" s="18"/>
      <c r="O21" s="18"/>
      <c r="P21" s="18"/>
      <c r="Q21" s="18"/>
      <c r="R21" s="18"/>
      <c r="S21" s="18"/>
      <c r="T21" s="21">
        <f t="shared" si="14"/>
        <v>0</v>
      </c>
      <c r="U21" s="21">
        <f t="shared" si="14"/>
        <v>0</v>
      </c>
      <c r="V21" s="21">
        <f t="shared" si="14"/>
        <v>0</v>
      </c>
      <c r="W21" s="21">
        <f t="shared" si="14"/>
        <v>0</v>
      </c>
      <c r="X21" s="21">
        <f t="shared" si="14"/>
        <v>0</v>
      </c>
      <c r="Y21" s="21">
        <f t="shared" si="14"/>
        <v>0</v>
      </c>
      <c r="Z21" s="21">
        <f t="shared" si="14"/>
        <v>0</v>
      </c>
      <c r="AA21" s="21">
        <f t="shared" si="14"/>
        <v>0</v>
      </c>
      <c r="AB21" s="21">
        <f t="shared" si="14"/>
        <v>0</v>
      </c>
      <c r="AC21" s="21">
        <f t="shared" si="15"/>
        <v>0</v>
      </c>
      <c r="AD21" s="21">
        <f t="shared" si="16"/>
        <v>0</v>
      </c>
      <c r="AE21" s="21">
        <f t="shared" si="17"/>
        <v>0</v>
      </c>
      <c r="AF21" s="21">
        <f t="shared" si="18"/>
        <v>0</v>
      </c>
      <c r="AG21" s="21">
        <f t="shared" si="19"/>
        <v>0</v>
      </c>
      <c r="AH21" s="21">
        <f t="shared" si="20"/>
        <v>0</v>
      </c>
    </row>
    <row r="22" spans="1:34" ht="24.9" x14ac:dyDescent="0.4">
      <c r="A22" s="7">
        <v>7</v>
      </c>
      <c r="B22" s="142" t="s">
        <v>192</v>
      </c>
      <c r="C22" s="185" t="s">
        <v>214</v>
      </c>
      <c r="D22" s="9">
        <f>VLOOKUP(C22,'[1]PREÇO ATUAL'!$A:$D,4,0)</f>
        <v>0</v>
      </c>
      <c r="E22" s="10"/>
      <c r="F22" s="10"/>
      <c r="G22" s="10"/>
      <c r="H22" s="10"/>
      <c r="I22" s="11"/>
      <c r="J22" s="11"/>
      <c r="K22" s="11"/>
      <c r="L22" s="11"/>
      <c r="M22" s="11"/>
      <c r="N22" s="10"/>
      <c r="O22" s="10"/>
      <c r="P22" s="10"/>
      <c r="Q22" s="10"/>
      <c r="R22" s="10"/>
      <c r="S22" s="10"/>
      <c r="T22" s="13">
        <f t="shared" si="14"/>
        <v>0</v>
      </c>
      <c r="U22" s="13">
        <f t="shared" si="14"/>
        <v>0</v>
      </c>
      <c r="V22" s="13">
        <f t="shared" si="14"/>
        <v>0</v>
      </c>
      <c r="W22" s="13">
        <f t="shared" si="14"/>
        <v>0</v>
      </c>
      <c r="X22" s="13">
        <f t="shared" si="14"/>
        <v>0</v>
      </c>
      <c r="Y22" s="13">
        <f t="shared" si="14"/>
        <v>0</v>
      </c>
      <c r="Z22" s="13">
        <f t="shared" si="14"/>
        <v>0</v>
      </c>
      <c r="AA22" s="13">
        <f t="shared" si="14"/>
        <v>0</v>
      </c>
      <c r="AB22" s="13">
        <f t="shared" si="14"/>
        <v>0</v>
      </c>
      <c r="AC22" s="13">
        <f t="shared" si="15"/>
        <v>0</v>
      </c>
      <c r="AD22" s="13">
        <f t="shared" si="16"/>
        <v>0</v>
      </c>
      <c r="AE22" s="13">
        <f t="shared" si="17"/>
        <v>0</v>
      </c>
      <c r="AF22" s="13">
        <f t="shared" si="18"/>
        <v>0</v>
      </c>
      <c r="AG22" s="13">
        <f t="shared" si="19"/>
        <v>0</v>
      </c>
      <c r="AH22" s="13">
        <f t="shared" si="20"/>
        <v>0</v>
      </c>
    </row>
    <row r="23" spans="1:34" ht="14.6" x14ac:dyDescent="0.4">
      <c r="A23" s="15">
        <v>8</v>
      </c>
      <c r="B23" s="16" t="s">
        <v>203</v>
      </c>
      <c r="C23" s="186" t="s">
        <v>204</v>
      </c>
      <c r="D23" s="17">
        <f>VLOOKUP(C23,'[1]PREÇO ATUAL'!$A:$D,4,0)</f>
        <v>110.2557468128982</v>
      </c>
      <c r="E23" s="68">
        <v>6</v>
      </c>
      <c r="F23" s="68">
        <v>6</v>
      </c>
      <c r="G23" s="68">
        <v>6</v>
      </c>
      <c r="H23" s="68">
        <v>6</v>
      </c>
      <c r="I23" s="158">
        <v>6</v>
      </c>
      <c r="J23" s="158">
        <v>6</v>
      </c>
      <c r="K23" s="158">
        <v>6</v>
      </c>
      <c r="L23" s="158">
        <v>6</v>
      </c>
      <c r="M23" s="158">
        <v>6</v>
      </c>
      <c r="N23" s="68">
        <v>6</v>
      </c>
      <c r="O23" s="68">
        <v>6</v>
      </c>
      <c r="P23" s="68">
        <v>6</v>
      </c>
      <c r="Q23" s="68">
        <v>6</v>
      </c>
      <c r="R23" s="68">
        <v>6</v>
      </c>
      <c r="S23" s="68">
        <v>6</v>
      </c>
      <c r="T23" s="21">
        <f t="shared" si="14"/>
        <v>661.53448087738911</v>
      </c>
      <c r="U23" s="21">
        <f t="shared" si="14"/>
        <v>661.53448087738911</v>
      </c>
      <c r="V23" s="21">
        <f t="shared" si="14"/>
        <v>661.53448087738911</v>
      </c>
      <c r="W23" s="21">
        <f t="shared" si="14"/>
        <v>661.53448087738911</v>
      </c>
      <c r="X23" s="21">
        <f t="shared" si="14"/>
        <v>661.53448087738911</v>
      </c>
      <c r="Y23" s="21">
        <f t="shared" si="14"/>
        <v>661.53448087738911</v>
      </c>
      <c r="Z23" s="21">
        <f t="shared" si="14"/>
        <v>661.53448087738911</v>
      </c>
      <c r="AA23" s="21">
        <f t="shared" si="14"/>
        <v>661.53448087738911</v>
      </c>
      <c r="AB23" s="21">
        <f t="shared" si="14"/>
        <v>661.53448087738911</v>
      </c>
      <c r="AC23" s="21">
        <f t="shared" si="15"/>
        <v>661.53448087738911</v>
      </c>
      <c r="AD23" s="21">
        <f t="shared" si="16"/>
        <v>661.53448087738911</v>
      </c>
      <c r="AE23" s="21">
        <f t="shared" si="17"/>
        <v>661.53448087738911</v>
      </c>
      <c r="AF23" s="21">
        <f t="shared" si="18"/>
        <v>661.53448087738911</v>
      </c>
      <c r="AG23" s="21">
        <f t="shared" si="19"/>
        <v>661.53448087738911</v>
      </c>
      <c r="AH23" s="21">
        <f t="shared" si="20"/>
        <v>661.53448087738911</v>
      </c>
    </row>
    <row r="24" spans="1:34" ht="14.6" x14ac:dyDescent="0.4">
      <c r="A24" s="7">
        <v>9</v>
      </c>
      <c r="B24" s="8" t="s">
        <v>38</v>
      </c>
      <c r="C24" s="185" t="s">
        <v>39</v>
      </c>
      <c r="D24" s="9">
        <f>VLOOKUP(C24,'[1]PREÇO ATUAL'!$A:$D,4,0)</f>
        <v>342</v>
      </c>
      <c r="E24" s="45">
        <v>1.35</v>
      </c>
      <c r="F24" s="45">
        <v>1.9</v>
      </c>
      <c r="G24" s="45">
        <v>1.8</v>
      </c>
      <c r="H24" s="45">
        <v>1.85</v>
      </c>
      <c r="I24" s="46">
        <v>1.4</v>
      </c>
      <c r="J24" s="46">
        <v>2.1</v>
      </c>
      <c r="K24" s="46">
        <v>1.8</v>
      </c>
      <c r="L24" s="46">
        <v>1.9</v>
      </c>
      <c r="M24" s="46">
        <v>1.35</v>
      </c>
      <c r="N24" s="45">
        <v>1.85</v>
      </c>
      <c r="O24" s="45">
        <v>1.85</v>
      </c>
      <c r="P24" s="45">
        <v>4.7</v>
      </c>
      <c r="Q24" s="45">
        <v>1.35</v>
      </c>
      <c r="R24" s="45">
        <v>1.9</v>
      </c>
      <c r="S24" s="45">
        <v>1.8</v>
      </c>
      <c r="T24" s="13">
        <f>D24*E24</f>
        <v>461.70000000000005</v>
      </c>
      <c r="U24" s="13">
        <f t="shared" ref="U24:AB24" si="22">$D24*F24</f>
        <v>649.79999999999995</v>
      </c>
      <c r="V24" s="13">
        <f t="shared" si="22"/>
        <v>615.6</v>
      </c>
      <c r="W24" s="13">
        <f t="shared" si="22"/>
        <v>632.70000000000005</v>
      </c>
      <c r="X24" s="13">
        <f t="shared" si="22"/>
        <v>478.79999999999995</v>
      </c>
      <c r="Y24" s="13">
        <f t="shared" si="22"/>
        <v>718.2</v>
      </c>
      <c r="Z24" s="13">
        <f t="shared" si="22"/>
        <v>615.6</v>
      </c>
      <c r="AA24" s="13">
        <f t="shared" si="22"/>
        <v>649.79999999999995</v>
      </c>
      <c r="AB24" s="13">
        <f t="shared" si="22"/>
        <v>461.70000000000005</v>
      </c>
      <c r="AC24" s="13">
        <f t="shared" si="15"/>
        <v>632.70000000000005</v>
      </c>
      <c r="AD24" s="13">
        <f t="shared" si="16"/>
        <v>632.70000000000005</v>
      </c>
      <c r="AE24" s="13">
        <f t="shared" si="17"/>
        <v>1607.4</v>
      </c>
      <c r="AF24" s="13">
        <f t="shared" si="18"/>
        <v>461.70000000000005</v>
      </c>
      <c r="AG24" s="13">
        <f t="shared" si="19"/>
        <v>649.79999999999995</v>
      </c>
      <c r="AH24" s="13">
        <f t="shared" si="20"/>
        <v>615.6</v>
      </c>
    </row>
    <row r="25" spans="1:34" ht="15.75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34" ht="15.75" customHeight="1" x14ac:dyDescent="0.4">
      <c r="A26" s="206" t="s">
        <v>215</v>
      </c>
      <c r="B26" s="129"/>
      <c r="C26" s="129"/>
      <c r="D26" s="129"/>
      <c r="E26" s="126" t="s">
        <v>3</v>
      </c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5" t="s">
        <v>4</v>
      </c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</row>
    <row r="27" spans="1:34" ht="15" customHeight="1" x14ac:dyDescent="0.4">
      <c r="A27" s="140"/>
      <c r="B27" s="140"/>
      <c r="C27" s="140"/>
      <c r="D27" s="140"/>
      <c r="E27" s="141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2">
        <f>MROUND(SUM(T29:T39),1)</f>
        <v>1966</v>
      </c>
      <c r="U27" s="2">
        <f t="shared" ref="U27:AH27" si="23">MROUND(SUM(U29:U39),1)</f>
        <v>2186</v>
      </c>
      <c r="V27" s="2">
        <f t="shared" si="23"/>
        <v>2120</v>
      </c>
      <c r="W27" s="2">
        <f t="shared" si="23"/>
        <v>2169</v>
      </c>
      <c r="X27" s="2">
        <f t="shared" si="23"/>
        <v>1983</v>
      </c>
      <c r="Y27" s="2">
        <f t="shared" si="23"/>
        <v>2254</v>
      </c>
      <c r="Z27" s="2">
        <f t="shared" si="23"/>
        <v>2120</v>
      </c>
      <c r="AA27" s="2">
        <f t="shared" si="23"/>
        <v>2186</v>
      </c>
      <c r="AB27" s="2">
        <f t="shared" si="23"/>
        <v>1966</v>
      </c>
      <c r="AC27" s="2">
        <f t="shared" si="23"/>
        <v>2169</v>
      </c>
      <c r="AD27" s="2">
        <f t="shared" si="23"/>
        <v>2137</v>
      </c>
      <c r="AE27" s="2">
        <f t="shared" si="23"/>
        <v>3143</v>
      </c>
      <c r="AF27" s="2">
        <f t="shared" si="23"/>
        <v>1966</v>
      </c>
      <c r="AG27" s="2">
        <f t="shared" si="23"/>
        <v>2186</v>
      </c>
      <c r="AH27" s="2">
        <f t="shared" si="23"/>
        <v>2120</v>
      </c>
    </row>
    <row r="28" spans="1:34" ht="14.6" x14ac:dyDescent="0.4">
      <c r="A28" s="3" t="s">
        <v>6</v>
      </c>
      <c r="B28" s="3" t="s">
        <v>7</v>
      </c>
      <c r="C28" s="184" t="s">
        <v>8</v>
      </c>
      <c r="D28" s="4" t="s">
        <v>9</v>
      </c>
      <c r="E28" s="5" t="s">
        <v>10</v>
      </c>
      <c r="F28" s="5" t="s">
        <v>11</v>
      </c>
      <c r="G28" s="5" t="s">
        <v>12</v>
      </c>
      <c r="H28" s="5" t="s">
        <v>13</v>
      </c>
      <c r="I28" s="5" t="s">
        <v>14</v>
      </c>
      <c r="J28" s="5" t="s">
        <v>15</v>
      </c>
      <c r="K28" s="5" t="s">
        <v>16</v>
      </c>
      <c r="L28" s="5" t="s">
        <v>17</v>
      </c>
      <c r="M28" s="5" t="s">
        <v>18</v>
      </c>
      <c r="N28" s="5" t="s">
        <v>19</v>
      </c>
      <c r="O28" s="5" t="s">
        <v>116</v>
      </c>
      <c r="P28" s="5" t="s">
        <v>117</v>
      </c>
      <c r="Q28" s="5" t="s">
        <v>118</v>
      </c>
      <c r="R28" s="5" t="s">
        <v>119</v>
      </c>
      <c r="S28" s="5" t="s">
        <v>120</v>
      </c>
      <c r="T28" s="36">
        <v>20000</v>
      </c>
      <c r="U28" s="36">
        <v>40000</v>
      </c>
      <c r="V28" s="36">
        <v>60000</v>
      </c>
      <c r="W28" s="36">
        <v>80000</v>
      </c>
      <c r="X28" s="36">
        <v>100000</v>
      </c>
      <c r="Y28" s="36">
        <v>120000</v>
      </c>
      <c r="Z28" s="36">
        <v>140000</v>
      </c>
      <c r="AA28" s="36">
        <v>160000</v>
      </c>
      <c r="AB28" s="36">
        <v>180000</v>
      </c>
      <c r="AC28" s="36">
        <v>200000</v>
      </c>
      <c r="AD28" s="36">
        <f>AC28+20000</f>
        <v>220000</v>
      </c>
      <c r="AE28" s="36">
        <f t="shared" ref="AE28" si="24">AD28+20000</f>
        <v>240000</v>
      </c>
      <c r="AF28" s="36">
        <f t="shared" ref="AF28" si="25">AE28+20000</f>
        <v>260000</v>
      </c>
      <c r="AG28" s="36">
        <f t="shared" ref="AG28" si="26">AF28+20000</f>
        <v>280000</v>
      </c>
      <c r="AH28" s="36">
        <f t="shared" ref="AH28" si="27">AG28+20000</f>
        <v>300000</v>
      </c>
    </row>
    <row r="29" spans="1:34" ht="14.6" x14ac:dyDescent="0.4">
      <c r="A29" s="7">
        <v>1</v>
      </c>
      <c r="B29" s="142" t="s">
        <v>216</v>
      </c>
      <c r="C29" s="185" t="s">
        <v>207</v>
      </c>
      <c r="D29" s="9">
        <f>VLOOKUP(C29,'[1]PREÇO ATUAL'!$A:$D,4,0)</f>
        <v>123</v>
      </c>
      <c r="E29" s="10">
        <v>1</v>
      </c>
      <c r="F29" s="10">
        <v>1</v>
      </c>
      <c r="G29" s="10">
        <v>1</v>
      </c>
      <c r="H29" s="10">
        <v>1</v>
      </c>
      <c r="I29" s="11">
        <v>1</v>
      </c>
      <c r="J29" s="11">
        <v>1</v>
      </c>
      <c r="K29" s="11">
        <v>1</v>
      </c>
      <c r="L29" s="11">
        <v>1</v>
      </c>
      <c r="M29" s="11">
        <v>1</v>
      </c>
      <c r="N29" s="10">
        <v>1</v>
      </c>
      <c r="O29" s="10">
        <v>1</v>
      </c>
      <c r="P29" s="10">
        <v>1</v>
      </c>
      <c r="Q29" s="10">
        <v>1</v>
      </c>
      <c r="R29" s="10">
        <v>1</v>
      </c>
      <c r="S29" s="10">
        <v>1</v>
      </c>
      <c r="T29" s="13">
        <f t="shared" ref="T29:T35" si="28">$D29*E29</f>
        <v>123</v>
      </c>
      <c r="U29" s="13">
        <f t="shared" ref="U29:U37" si="29">$D29*F29</f>
        <v>123</v>
      </c>
      <c r="V29" s="13">
        <f t="shared" ref="V29:V36" si="30">$D29*G29</f>
        <v>123</v>
      </c>
      <c r="W29" s="13">
        <f t="shared" ref="W29:W37" si="31">$D29*H29</f>
        <v>123</v>
      </c>
      <c r="X29" s="13">
        <f t="shared" ref="X29:X37" si="32">$D29*I29</f>
        <v>123</v>
      </c>
      <c r="Y29" s="13">
        <f t="shared" ref="Y29:Y37" si="33">$D29*J29</f>
        <v>123</v>
      </c>
      <c r="Z29" s="13">
        <f t="shared" ref="Z29:Z37" si="34">$D29*K29</f>
        <v>123</v>
      </c>
      <c r="AA29" s="13">
        <f t="shared" ref="AA29:AA37" si="35">$D29*L29</f>
        <v>123</v>
      </c>
      <c r="AB29" s="13">
        <f t="shared" ref="AB29:AB37" si="36">$D29*M29</f>
        <v>123</v>
      </c>
      <c r="AC29" s="13">
        <f t="shared" ref="AC29:AC37" si="37">$D29*N29</f>
        <v>123</v>
      </c>
      <c r="AD29" s="13">
        <f t="shared" ref="AD29:AD37" si="38">$D29*O29</f>
        <v>123</v>
      </c>
      <c r="AE29" s="13">
        <f t="shared" ref="AE29:AE37" si="39">$D29*P29</f>
        <v>123</v>
      </c>
      <c r="AF29" s="13">
        <f t="shared" ref="AF29:AF37" si="40">$D29*Q29</f>
        <v>123</v>
      </c>
      <c r="AG29" s="13">
        <f t="shared" ref="AG29:AG37" si="41">$D29*R29</f>
        <v>123</v>
      </c>
      <c r="AH29" s="13">
        <f t="shared" ref="AH29:AH37" si="42">$D29*S29</f>
        <v>123</v>
      </c>
    </row>
    <row r="30" spans="1:34" ht="14.6" x14ac:dyDescent="0.4">
      <c r="A30" s="15">
        <v>2</v>
      </c>
      <c r="B30" s="143" t="s">
        <v>217</v>
      </c>
      <c r="C30" s="186" t="s">
        <v>199</v>
      </c>
      <c r="D30" s="17">
        <f>VLOOKUP(C30,'[1]PREÇO ATUAL'!$A:$D,4,0)</f>
        <v>379</v>
      </c>
      <c r="E30" s="18">
        <v>1</v>
      </c>
      <c r="F30" s="18">
        <v>1</v>
      </c>
      <c r="G30" s="18">
        <v>1</v>
      </c>
      <c r="H30" s="18">
        <v>1</v>
      </c>
      <c r="I30" s="19">
        <v>1</v>
      </c>
      <c r="J30" s="19">
        <v>1</v>
      </c>
      <c r="K30" s="19">
        <v>1</v>
      </c>
      <c r="L30" s="19">
        <v>1</v>
      </c>
      <c r="M30" s="19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21">
        <f t="shared" si="28"/>
        <v>379</v>
      </c>
      <c r="U30" s="21">
        <f t="shared" si="29"/>
        <v>379</v>
      </c>
      <c r="V30" s="21">
        <f t="shared" si="30"/>
        <v>379</v>
      </c>
      <c r="W30" s="21">
        <f t="shared" si="31"/>
        <v>379</v>
      </c>
      <c r="X30" s="21">
        <f t="shared" si="32"/>
        <v>379</v>
      </c>
      <c r="Y30" s="21">
        <f t="shared" si="33"/>
        <v>379</v>
      </c>
      <c r="Z30" s="21">
        <f t="shared" si="34"/>
        <v>379</v>
      </c>
      <c r="AA30" s="21">
        <f t="shared" si="35"/>
        <v>379</v>
      </c>
      <c r="AB30" s="21">
        <f t="shared" si="36"/>
        <v>379</v>
      </c>
      <c r="AC30" s="21">
        <f t="shared" si="37"/>
        <v>379</v>
      </c>
      <c r="AD30" s="21">
        <f t="shared" si="38"/>
        <v>379</v>
      </c>
      <c r="AE30" s="21">
        <f t="shared" si="39"/>
        <v>379</v>
      </c>
      <c r="AF30" s="21">
        <f t="shared" si="40"/>
        <v>379</v>
      </c>
      <c r="AG30" s="21">
        <f t="shared" si="41"/>
        <v>379</v>
      </c>
      <c r="AH30" s="21">
        <f t="shared" si="42"/>
        <v>379</v>
      </c>
    </row>
    <row r="31" spans="1:34" ht="14.6" x14ac:dyDescent="0.4">
      <c r="A31" s="7">
        <v>3</v>
      </c>
      <c r="B31" s="142" t="s">
        <v>42</v>
      </c>
      <c r="C31" s="185" t="s">
        <v>208</v>
      </c>
      <c r="D31" s="9">
        <f>VLOOKUP(C31,'[1]PREÇO ATUAL'!$A:$D,4,0)</f>
        <v>181.5</v>
      </c>
      <c r="E31" s="10">
        <v>1</v>
      </c>
      <c r="F31" s="10">
        <v>1</v>
      </c>
      <c r="G31" s="10">
        <v>1</v>
      </c>
      <c r="H31" s="10">
        <v>1</v>
      </c>
      <c r="I31" s="11">
        <v>1</v>
      </c>
      <c r="J31" s="11">
        <v>1</v>
      </c>
      <c r="K31" s="11">
        <v>1</v>
      </c>
      <c r="L31" s="11">
        <v>1</v>
      </c>
      <c r="M31" s="11">
        <v>1</v>
      </c>
      <c r="N31" s="10">
        <v>1</v>
      </c>
      <c r="O31" s="10">
        <v>1</v>
      </c>
      <c r="P31" s="10">
        <v>1</v>
      </c>
      <c r="Q31" s="10">
        <v>1</v>
      </c>
      <c r="R31" s="10">
        <v>1</v>
      </c>
      <c r="S31" s="10">
        <v>1</v>
      </c>
      <c r="T31" s="13">
        <f t="shared" si="28"/>
        <v>181.5</v>
      </c>
      <c r="U31" s="13">
        <f t="shared" si="29"/>
        <v>181.5</v>
      </c>
      <c r="V31" s="13">
        <f t="shared" si="30"/>
        <v>181.5</v>
      </c>
      <c r="W31" s="13">
        <f t="shared" si="31"/>
        <v>181.5</v>
      </c>
      <c r="X31" s="13">
        <f t="shared" si="32"/>
        <v>181.5</v>
      </c>
      <c r="Y31" s="13">
        <f t="shared" si="33"/>
        <v>181.5</v>
      </c>
      <c r="Z31" s="13">
        <f t="shared" si="34"/>
        <v>181.5</v>
      </c>
      <c r="AA31" s="13">
        <f t="shared" si="35"/>
        <v>181.5</v>
      </c>
      <c r="AB31" s="13">
        <f t="shared" si="36"/>
        <v>181.5</v>
      </c>
      <c r="AC31" s="13">
        <f t="shared" si="37"/>
        <v>181.5</v>
      </c>
      <c r="AD31" s="13">
        <f t="shared" si="38"/>
        <v>181.5</v>
      </c>
      <c r="AE31" s="13">
        <f t="shared" si="39"/>
        <v>181.5</v>
      </c>
      <c r="AF31" s="13">
        <f t="shared" si="40"/>
        <v>181.5</v>
      </c>
      <c r="AG31" s="13">
        <f t="shared" si="41"/>
        <v>181.5</v>
      </c>
      <c r="AH31" s="13">
        <f t="shared" si="42"/>
        <v>181.5</v>
      </c>
    </row>
    <row r="32" spans="1:34" ht="24.9" x14ac:dyDescent="0.4">
      <c r="A32" s="15">
        <v>4</v>
      </c>
      <c r="B32" s="143" t="s">
        <v>190</v>
      </c>
      <c r="C32" s="186" t="s">
        <v>161</v>
      </c>
      <c r="D32" s="17">
        <f>VLOOKUP(C32,'[1]PREÇO ATUAL'!$A:$D,4,0)</f>
        <v>45.09</v>
      </c>
      <c r="E32" s="24"/>
      <c r="F32" s="24">
        <v>0.7</v>
      </c>
      <c r="G32" s="24"/>
      <c r="H32" s="24">
        <v>0.7</v>
      </c>
      <c r="I32" s="17"/>
      <c r="J32" s="24">
        <v>0.7</v>
      </c>
      <c r="K32" s="17"/>
      <c r="L32" s="24">
        <v>0.7</v>
      </c>
      <c r="M32" s="17"/>
      <c r="N32" s="24">
        <v>0.7</v>
      </c>
      <c r="O32" s="156"/>
      <c r="P32" s="24">
        <v>0.7</v>
      </c>
      <c r="Q32" s="17"/>
      <c r="R32" s="24">
        <v>0.7</v>
      </c>
      <c r="S32" s="17"/>
      <c r="T32" s="21">
        <f t="shared" ref="T32:AH34" si="43">$D32*E32</f>
        <v>0</v>
      </c>
      <c r="U32" s="21">
        <f t="shared" si="43"/>
        <v>31.562999999999999</v>
      </c>
      <c r="V32" s="21">
        <f t="shared" si="43"/>
        <v>0</v>
      </c>
      <c r="W32" s="21">
        <f t="shared" si="43"/>
        <v>31.562999999999999</v>
      </c>
      <c r="X32" s="21">
        <f t="shared" si="43"/>
        <v>0</v>
      </c>
      <c r="Y32" s="21">
        <f t="shared" si="43"/>
        <v>31.562999999999999</v>
      </c>
      <c r="Z32" s="21">
        <f t="shared" si="43"/>
        <v>0</v>
      </c>
      <c r="AA32" s="21">
        <f t="shared" si="43"/>
        <v>31.562999999999999</v>
      </c>
      <c r="AB32" s="21">
        <f t="shared" si="43"/>
        <v>0</v>
      </c>
      <c r="AC32" s="21">
        <f t="shared" si="43"/>
        <v>31.562999999999999</v>
      </c>
      <c r="AD32" s="21">
        <f t="shared" si="43"/>
        <v>0</v>
      </c>
      <c r="AE32" s="21">
        <f t="shared" si="43"/>
        <v>31.562999999999999</v>
      </c>
      <c r="AF32" s="21">
        <f t="shared" si="43"/>
        <v>0</v>
      </c>
      <c r="AG32" s="21">
        <f t="shared" si="43"/>
        <v>31.562999999999999</v>
      </c>
      <c r="AH32" s="21">
        <f t="shared" si="43"/>
        <v>0</v>
      </c>
    </row>
    <row r="33" spans="1:34" ht="24.9" x14ac:dyDescent="0.4">
      <c r="A33" s="7">
        <v>5</v>
      </c>
      <c r="B33" s="142" t="s">
        <v>218</v>
      </c>
      <c r="C33" s="185" t="s">
        <v>219</v>
      </c>
      <c r="D33" s="9">
        <f>VLOOKUP(C33,'[1]PREÇO ATUAL'!$A:$D,4,0)</f>
        <v>79.962999999999994</v>
      </c>
      <c r="E33" s="10">
        <v>1</v>
      </c>
      <c r="F33" s="10">
        <v>1</v>
      </c>
      <c r="G33" s="10">
        <v>1</v>
      </c>
      <c r="H33" s="10">
        <v>1</v>
      </c>
      <c r="I33" s="11">
        <v>1</v>
      </c>
      <c r="J33" s="11">
        <v>1</v>
      </c>
      <c r="K33" s="11">
        <v>1</v>
      </c>
      <c r="L33" s="11">
        <v>1</v>
      </c>
      <c r="M33" s="11">
        <v>1</v>
      </c>
      <c r="N33" s="10">
        <v>1</v>
      </c>
      <c r="O33" s="10">
        <v>1</v>
      </c>
      <c r="P33" s="10">
        <v>1</v>
      </c>
      <c r="Q33" s="10">
        <v>1</v>
      </c>
      <c r="R33" s="10">
        <v>1</v>
      </c>
      <c r="S33" s="10">
        <v>1</v>
      </c>
      <c r="T33" s="13">
        <f t="shared" si="43"/>
        <v>79.962999999999994</v>
      </c>
      <c r="U33" s="13">
        <f t="shared" si="43"/>
        <v>79.962999999999994</v>
      </c>
      <c r="V33" s="13">
        <f t="shared" si="43"/>
        <v>79.962999999999994</v>
      </c>
      <c r="W33" s="13">
        <f t="shared" si="43"/>
        <v>79.962999999999994</v>
      </c>
      <c r="X33" s="13">
        <f t="shared" si="43"/>
        <v>79.962999999999994</v>
      </c>
      <c r="Y33" s="13">
        <f t="shared" si="43"/>
        <v>79.962999999999994</v>
      </c>
      <c r="Z33" s="13">
        <f t="shared" si="43"/>
        <v>79.962999999999994</v>
      </c>
      <c r="AA33" s="13">
        <f t="shared" si="43"/>
        <v>79.962999999999994</v>
      </c>
      <c r="AB33" s="13">
        <f t="shared" si="43"/>
        <v>79.962999999999994</v>
      </c>
      <c r="AC33" s="13">
        <f t="shared" si="43"/>
        <v>79.962999999999994</v>
      </c>
      <c r="AD33" s="13">
        <f t="shared" si="43"/>
        <v>79.962999999999994</v>
      </c>
      <c r="AE33" s="13">
        <f t="shared" si="43"/>
        <v>79.962999999999994</v>
      </c>
      <c r="AF33" s="13">
        <f t="shared" si="43"/>
        <v>79.962999999999994</v>
      </c>
      <c r="AG33" s="13">
        <f t="shared" si="43"/>
        <v>79.962999999999994</v>
      </c>
      <c r="AH33" s="13">
        <f t="shared" si="43"/>
        <v>79.962999999999994</v>
      </c>
    </row>
    <row r="34" spans="1:34" ht="24.9" x14ac:dyDescent="0.4">
      <c r="A34" s="15">
        <v>6</v>
      </c>
      <c r="B34" s="143" t="s">
        <v>220</v>
      </c>
      <c r="C34" s="186" t="s">
        <v>221</v>
      </c>
      <c r="D34" s="17">
        <f>VLOOKUP(C34,'[1]PREÇO ATUAL'!$A:$D,4,0)</f>
        <v>79.468999999999994</v>
      </c>
      <c r="E34" s="18">
        <v>1</v>
      </c>
      <c r="F34" s="18">
        <v>1</v>
      </c>
      <c r="G34" s="18">
        <v>1</v>
      </c>
      <c r="H34" s="18">
        <v>1</v>
      </c>
      <c r="I34" s="19">
        <v>1</v>
      </c>
      <c r="J34" s="19">
        <v>1</v>
      </c>
      <c r="K34" s="19">
        <v>1</v>
      </c>
      <c r="L34" s="19">
        <v>1</v>
      </c>
      <c r="M34" s="19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21">
        <f t="shared" si="43"/>
        <v>79.468999999999994</v>
      </c>
      <c r="U34" s="21">
        <f t="shared" si="43"/>
        <v>79.468999999999994</v>
      </c>
      <c r="V34" s="21">
        <f t="shared" si="43"/>
        <v>79.468999999999994</v>
      </c>
      <c r="W34" s="21">
        <f t="shared" si="43"/>
        <v>79.468999999999994</v>
      </c>
      <c r="X34" s="21">
        <f t="shared" si="43"/>
        <v>79.468999999999994</v>
      </c>
      <c r="Y34" s="21">
        <f t="shared" si="43"/>
        <v>79.468999999999994</v>
      </c>
      <c r="Z34" s="21">
        <f t="shared" si="43"/>
        <v>79.468999999999994</v>
      </c>
      <c r="AA34" s="21">
        <f t="shared" si="43"/>
        <v>79.468999999999994</v>
      </c>
      <c r="AB34" s="21">
        <f t="shared" si="43"/>
        <v>79.468999999999994</v>
      </c>
      <c r="AC34" s="21">
        <f t="shared" si="43"/>
        <v>79.468999999999994</v>
      </c>
      <c r="AD34" s="21">
        <f t="shared" si="43"/>
        <v>79.468999999999994</v>
      </c>
      <c r="AE34" s="21">
        <f t="shared" si="43"/>
        <v>79.468999999999994</v>
      </c>
      <c r="AF34" s="21">
        <f t="shared" si="43"/>
        <v>79.468999999999994</v>
      </c>
      <c r="AG34" s="21">
        <f t="shared" si="43"/>
        <v>79.468999999999994</v>
      </c>
      <c r="AH34" s="21">
        <f t="shared" si="43"/>
        <v>79.468999999999994</v>
      </c>
    </row>
    <row r="35" spans="1:34" ht="24.9" x14ac:dyDescent="0.4">
      <c r="A35" s="7">
        <v>7</v>
      </c>
      <c r="B35" s="142" t="s">
        <v>46</v>
      </c>
      <c r="C35" s="185" t="s">
        <v>211</v>
      </c>
      <c r="D35" s="9">
        <f>VLOOKUP(C35,'[1]PREÇO ATUAL'!$A:$D,4,0)</f>
        <v>289.35000000000002</v>
      </c>
      <c r="E35" s="10"/>
      <c r="F35" s="10"/>
      <c r="G35" s="10"/>
      <c r="H35" s="10"/>
      <c r="I35" s="11"/>
      <c r="J35" s="11"/>
      <c r="K35" s="11"/>
      <c r="L35" s="11"/>
      <c r="M35" s="11"/>
      <c r="N35" s="10"/>
      <c r="O35" s="10"/>
      <c r="P35" s="10"/>
      <c r="Q35" s="10"/>
      <c r="R35" s="10"/>
      <c r="S35" s="10"/>
      <c r="T35" s="13">
        <f t="shared" si="28"/>
        <v>0</v>
      </c>
      <c r="U35" s="13">
        <f t="shared" si="29"/>
        <v>0</v>
      </c>
      <c r="V35" s="13">
        <f t="shared" si="30"/>
        <v>0</v>
      </c>
      <c r="W35" s="13">
        <f t="shared" si="31"/>
        <v>0</v>
      </c>
      <c r="X35" s="13">
        <f t="shared" si="32"/>
        <v>0</v>
      </c>
      <c r="Y35" s="13">
        <f t="shared" si="33"/>
        <v>0</v>
      </c>
      <c r="Z35" s="13">
        <f t="shared" si="34"/>
        <v>0</v>
      </c>
      <c r="AA35" s="13">
        <f t="shared" si="35"/>
        <v>0</v>
      </c>
      <c r="AB35" s="13">
        <f t="shared" si="36"/>
        <v>0</v>
      </c>
      <c r="AC35" s="13">
        <f t="shared" si="37"/>
        <v>0</v>
      </c>
      <c r="AD35" s="13">
        <f t="shared" si="38"/>
        <v>0</v>
      </c>
      <c r="AE35" s="13">
        <f t="shared" si="39"/>
        <v>0</v>
      </c>
      <c r="AF35" s="13">
        <f t="shared" si="40"/>
        <v>0</v>
      </c>
      <c r="AG35" s="13">
        <f t="shared" si="41"/>
        <v>0</v>
      </c>
      <c r="AH35" s="13">
        <f t="shared" si="42"/>
        <v>0</v>
      </c>
    </row>
    <row r="36" spans="1:34" ht="24.9" x14ac:dyDescent="0.4">
      <c r="A36" s="15">
        <v>8</v>
      </c>
      <c r="B36" s="143" t="s">
        <v>222</v>
      </c>
      <c r="C36" s="186" t="s">
        <v>213</v>
      </c>
      <c r="D36" s="17">
        <f>VLOOKUP(C36,'[1]PREÇO ATUAL'!$A:$D,4,0)</f>
        <v>567.54999999999995</v>
      </c>
      <c r="E36" s="68"/>
      <c r="F36" s="68"/>
      <c r="G36" s="68"/>
      <c r="H36" s="68"/>
      <c r="I36" s="158"/>
      <c r="J36" s="158"/>
      <c r="K36" s="158"/>
      <c r="L36" s="158"/>
      <c r="M36" s="158"/>
      <c r="N36" s="68"/>
      <c r="O36" s="68"/>
      <c r="P36" s="68"/>
      <c r="Q36" s="68"/>
      <c r="R36" s="68"/>
      <c r="S36" s="68"/>
      <c r="T36" s="21">
        <f>$D36*E36</f>
        <v>0</v>
      </c>
      <c r="U36" s="21">
        <f t="shared" si="29"/>
        <v>0</v>
      </c>
      <c r="V36" s="21">
        <f t="shared" si="30"/>
        <v>0</v>
      </c>
      <c r="W36" s="21">
        <f t="shared" si="31"/>
        <v>0</v>
      </c>
      <c r="X36" s="21">
        <f t="shared" si="32"/>
        <v>0</v>
      </c>
      <c r="Y36" s="21">
        <f t="shared" si="33"/>
        <v>0</v>
      </c>
      <c r="Z36" s="21">
        <f t="shared" si="34"/>
        <v>0</v>
      </c>
      <c r="AA36" s="21">
        <f t="shared" si="35"/>
        <v>0</v>
      </c>
      <c r="AB36" s="21">
        <f t="shared" si="36"/>
        <v>0</v>
      </c>
      <c r="AC36" s="21">
        <f t="shared" si="37"/>
        <v>0</v>
      </c>
      <c r="AD36" s="21">
        <f t="shared" si="38"/>
        <v>0</v>
      </c>
      <c r="AE36" s="21">
        <f t="shared" si="39"/>
        <v>0</v>
      </c>
      <c r="AF36" s="21">
        <f t="shared" si="40"/>
        <v>0</v>
      </c>
      <c r="AG36" s="21">
        <f t="shared" si="41"/>
        <v>0</v>
      </c>
      <c r="AH36" s="21">
        <f t="shared" si="42"/>
        <v>0</v>
      </c>
    </row>
    <row r="37" spans="1:34" ht="24.9" x14ac:dyDescent="0.4">
      <c r="A37" s="7">
        <v>9</v>
      </c>
      <c r="B37" s="142" t="s">
        <v>192</v>
      </c>
      <c r="C37" s="185" t="s">
        <v>193</v>
      </c>
      <c r="D37" s="9">
        <f>VLOOKUP(C37,'[1]PREÇO ATUAL'!$A:$D,4,0)</f>
        <v>36.591999999999999</v>
      </c>
      <c r="E37" s="45"/>
      <c r="F37" s="45"/>
      <c r="G37" s="45"/>
      <c r="H37" s="45"/>
      <c r="I37" s="46"/>
      <c r="J37" s="46"/>
      <c r="K37" s="46"/>
      <c r="L37" s="46"/>
      <c r="M37" s="46"/>
      <c r="N37" s="45"/>
      <c r="O37" s="45"/>
      <c r="P37" s="45"/>
      <c r="Q37" s="45"/>
      <c r="R37" s="45"/>
      <c r="S37" s="45"/>
      <c r="T37" s="13">
        <f>$D37*E37</f>
        <v>0</v>
      </c>
      <c r="U37" s="13">
        <f t="shared" si="29"/>
        <v>0</v>
      </c>
      <c r="V37" s="13">
        <f>$D37*G37</f>
        <v>0</v>
      </c>
      <c r="W37" s="13">
        <f t="shared" si="31"/>
        <v>0</v>
      </c>
      <c r="X37" s="13">
        <f t="shared" si="32"/>
        <v>0</v>
      </c>
      <c r="Y37" s="13">
        <f t="shared" si="33"/>
        <v>0</v>
      </c>
      <c r="Z37" s="13">
        <f t="shared" si="34"/>
        <v>0</v>
      </c>
      <c r="AA37" s="13">
        <f t="shared" si="35"/>
        <v>0</v>
      </c>
      <c r="AB37" s="13">
        <f t="shared" si="36"/>
        <v>0</v>
      </c>
      <c r="AC37" s="13">
        <f t="shared" si="37"/>
        <v>0</v>
      </c>
      <c r="AD37" s="13">
        <f t="shared" si="38"/>
        <v>0</v>
      </c>
      <c r="AE37" s="13">
        <f t="shared" si="39"/>
        <v>0</v>
      </c>
      <c r="AF37" s="13">
        <f t="shared" si="40"/>
        <v>0</v>
      </c>
      <c r="AG37" s="13">
        <f t="shared" si="41"/>
        <v>0</v>
      </c>
      <c r="AH37" s="13">
        <f t="shared" si="42"/>
        <v>0</v>
      </c>
    </row>
    <row r="38" spans="1:34" ht="14.6" x14ac:dyDescent="0.4">
      <c r="A38" s="15">
        <v>8</v>
      </c>
      <c r="B38" s="143" t="s">
        <v>223</v>
      </c>
      <c r="C38" s="186" t="s">
        <v>204</v>
      </c>
      <c r="D38" s="17">
        <f>VLOOKUP(C38,'[1]PREÇO ATUAL'!$A:$D,4,0)</f>
        <v>110.2557468128982</v>
      </c>
      <c r="E38" s="68">
        <v>6</v>
      </c>
      <c r="F38" s="68">
        <v>6</v>
      </c>
      <c r="G38" s="68">
        <v>6</v>
      </c>
      <c r="H38" s="68">
        <v>6</v>
      </c>
      <c r="I38" s="68">
        <v>6</v>
      </c>
      <c r="J38" s="68">
        <v>6</v>
      </c>
      <c r="K38" s="68">
        <v>6</v>
      </c>
      <c r="L38" s="68">
        <v>6</v>
      </c>
      <c r="M38" s="68">
        <v>6</v>
      </c>
      <c r="N38" s="68">
        <v>6</v>
      </c>
      <c r="O38" s="68">
        <v>6</v>
      </c>
      <c r="P38" s="68">
        <v>6</v>
      </c>
      <c r="Q38" s="68">
        <v>6</v>
      </c>
      <c r="R38" s="68">
        <v>6</v>
      </c>
      <c r="S38" s="68">
        <v>6</v>
      </c>
      <c r="T38" s="21">
        <f t="shared" ref="T38" si="44">$D38*E38</f>
        <v>661.53448087738911</v>
      </c>
      <c r="U38" s="21">
        <f t="shared" ref="U38:U39" si="45">$D38*F38</f>
        <v>661.53448087738911</v>
      </c>
      <c r="V38" s="21">
        <f t="shared" ref="V38:V39" si="46">$D38*G38</f>
        <v>661.53448087738911</v>
      </c>
      <c r="W38" s="21">
        <f t="shared" ref="W38:W39" si="47">$D38*H38</f>
        <v>661.53448087738911</v>
      </c>
      <c r="X38" s="21">
        <f t="shared" ref="X38:X39" si="48">$D38*I38</f>
        <v>661.53448087738911</v>
      </c>
      <c r="Y38" s="21">
        <f t="shared" ref="Y38:Y39" si="49">$D38*J38</f>
        <v>661.53448087738911</v>
      </c>
      <c r="Z38" s="21">
        <f t="shared" ref="Z38:Z39" si="50">$D38*K38</f>
        <v>661.53448087738911</v>
      </c>
      <c r="AA38" s="21">
        <f t="shared" ref="AA38:AA39" si="51">$D38*L38</f>
        <v>661.53448087738911</v>
      </c>
      <c r="AB38" s="21">
        <f t="shared" ref="AB38:AB39" si="52">$D38*M38</f>
        <v>661.53448087738911</v>
      </c>
      <c r="AC38" s="21">
        <f t="shared" ref="AC38:AC39" si="53">$D38*N38</f>
        <v>661.53448087738911</v>
      </c>
      <c r="AD38" s="21">
        <f t="shared" ref="AD38:AD39" si="54">$D38*O38</f>
        <v>661.53448087738911</v>
      </c>
      <c r="AE38" s="21">
        <f t="shared" ref="AE38:AE39" si="55">$D38*P38</f>
        <v>661.53448087738911</v>
      </c>
      <c r="AF38" s="21">
        <f t="shared" ref="AF38:AF39" si="56">$D38*Q38</f>
        <v>661.53448087738911</v>
      </c>
      <c r="AG38" s="21">
        <f t="shared" ref="AG38:AG39" si="57">$D38*R38</f>
        <v>661.53448087738911</v>
      </c>
      <c r="AH38" s="21">
        <f t="shared" ref="AH38:AH39" si="58">$D38*S38</f>
        <v>661.53448087738911</v>
      </c>
    </row>
    <row r="39" spans="1:34" ht="14.6" x14ac:dyDescent="0.4">
      <c r="A39" s="7">
        <v>9</v>
      </c>
      <c r="B39" s="8" t="s">
        <v>38</v>
      </c>
      <c r="C39" s="185" t="s">
        <v>39</v>
      </c>
      <c r="D39" s="9">
        <f>VLOOKUP(C39,'[1]PREÇO ATUAL'!$A:$D,4,0)</f>
        <v>342</v>
      </c>
      <c r="E39" s="45">
        <v>1.35</v>
      </c>
      <c r="F39" s="45">
        <v>1.9</v>
      </c>
      <c r="G39" s="45">
        <v>1.8</v>
      </c>
      <c r="H39" s="45">
        <v>1.85</v>
      </c>
      <c r="I39" s="46">
        <v>1.4</v>
      </c>
      <c r="J39" s="46">
        <v>2.1</v>
      </c>
      <c r="K39" s="46">
        <v>1.8</v>
      </c>
      <c r="L39" s="46">
        <v>1.9</v>
      </c>
      <c r="M39" s="46">
        <v>1.35</v>
      </c>
      <c r="N39" s="45">
        <v>1.85</v>
      </c>
      <c r="O39" s="45">
        <v>1.85</v>
      </c>
      <c r="P39" s="45">
        <v>4.7</v>
      </c>
      <c r="Q39" s="45">
        <v>1.35</v>
      </c>
      <c r="R39" s="45">
        <v>1.9</v>
      </c>
      <c r="S39" s="45">
        <v>1.8</v>
      </c>
      <c r="T39" s="13">
        <f>D39*E39</f>
        <v>461.70000000000005</v>
      </c>
      <c r="U39" s="13">
        <f t="shared" si="45"/>
        <v>649.79999999999995</v>
      </c>
      <c r="V39" s="13">
        <f t="shared" si="46"/>
        <v>615.6</v>
      </c>
      <c r="W39" s="13">
        <f t="shared" si="47"/>
        <v>632.70000000000005</v>
      </c>
      <c r="X39" s="13">
        <f t="shared" si="48"/>
        <v>478.79999999999995</v>
      </c>
      <c r="Y39" s="13">
        <f t="shared" si="49"/>
        <v>718.2</v>
      </c>
      <c r="Z39" s="13">
        <f t="shared" si="50"/>
        <v>615.6</v>
      </c>
      <c r="AA39" s="13">
        <f t="shared" si="51"/>
        <v>649.79999999999995</v>
      </c>
      <c r="AB39" s="13">
        <f t="shared" si="52"/>
        <v>461.70000000000005</v>
      </c>
      <c r="AC39" s="13">
        <f t="shared" si="53"/>
        <v>632.70000000000005</v>
      </c>
      <c r="AD39" s="13">
        <f t="shared" si="54"/>
        <v>632.70000000000005</v>
      </c>
      <c r="AE39" s="13">
        <f t="shared" si="55"/>
        <v>1607.4</v>
      </c>
      <c r="AF39" s="13">
        <f t="shared" si="56"/>
        <v>461.70000000000005</v>
      </c>
      <c r="AG39" s="13">
        <f t="shared" si="57"/>
        <v>649.79999999999995</v>
      </c>
      <c r="AH39" s="13">
        <f t="shared" si="58"/>
        <v>615.6</v>
      </c>
    </row>
    <row r="40" spans="1:34" ht="15.75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34" ht="15.75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34" ht="15.75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34" ht="15.75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34" ht="15.75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34" ht="15.75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34" ht="15.75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34" ht="15.75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34" ht="15.75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</sheetData>
  <mergeCells count="1">
    <mergeCell ref="E1:S2"/>
  </mergeCells>
  <pageMargins left="0.511811024" right="0.511811024" top="0.78740157499999996" bottom="0.78740157499999996" header="0" footer="0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2">
    <tabColor rgb="FF00FF00"/>
  </sheetPr>
  <dimension ref="A1:AH981"/>
  <sheetViews>
    <sheetView showGridLines="0" zoomScaleNormal="100" workbookViewId="0">
      <pane xSplit="4" topLeftCell="E1" activePane="topRight" state="frozen"/>
      <selection activeCell="B23" sqref="B23"/>
      <selection pane="topRight" activeCell="U28" sqref="U28"/>
    </sheetView>
  </sheetViews>
  <sheetFormatPr defaultColWidth="14.3828125" defaultRowHeight="15" customHeight="1" x14ac:dyDescent="0.4"/>
  <cols>
    <col min="1" max="1" width="3.3828125" bestFit="1" customWidth="1"/>
    <col min="2" max="2" width="63.3828125" customWidth="1"/>
    <col min="3" max="3" width="19.53515625" customWidth="1"/>
    <col min="4" max="4" width="9.3046875" bestFit="1" customWidth="1"/>
    <col min="5" max="10" width="5.15234375" bestFit="1" customWidth="1"/>
    <col min="11" max="12" width="5.15234375" customWidth="1"/>
    <col min="13" max="13" width="5.15234375" bestFit="1" customWidth="1"/>
    <col min="14" max="19" width="5.15234375" customWidth="1"/>
    <col min="20" max="28" width="15.69140625" bestFit="1" customWidth="1"/>
    <col min="29" max="29" width="16.84375" customWidth="1"/>
    <col min="30" max="34" width="15.69140625" bestFit="1" customWidth="1"/>
  </cols>
  <sheetData>
    <row r="1" spans="1:30" ht="15.75" customHeight="1" x14ac:dyDescent="0.4">
      <c r="A1" s="222" t="s">
        <v>224</v>
      </c>
      <c r="B1" s="239"/>
      <c r="C1" s="239"/>
      <c r="D1" s="245"/>
      <c r="E1" s="255" t="s">
        <v>3</v>
      </c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7"/>
      <c r="T1" s="125" t="s">
        <v>4</v>
      </c>
      <c r="U1" s="125"/>
      <c r="V1" s="125"/>
      <c r="W1" s="125"/>
      <c r="X1" s="125"/>
      <c r="Y1" s="125"/>
      <c r="Z1" s="125"/>
      <c r="AA1" s="125"/>
      <c r="AB1" s="125"/>
      <c r="AC1" s="125"/>
    </row>
    <row r="2" spans="1:30" ht="15" customHeight="1" x14ac:dyDescent="0.4">
      <c r="A2" s="240"/>
      <c r="B2" s="241"/>
      <c r="C2" s="241"/>
      <c r="D2" s="246"/>
      <c r="E2" s="228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33"/>
      <c r="T2" s="2">
        <f>MROUND(SUM(T4:T16),1)</f>
        <v>2426</v>
      </c>
      <c r="U2" s="2">
        <f t="shared" ref="U2:AC2" si="0">MROUND(SUM(U4:U16),1)</f>
        <v>2426</v>
      </c>
      <c r="V2" s="2">
        <f t="shared" si="0"/>
        <v>2426</v>
      </c>
      <c r="W2" s="2">
        <f t="shared" si="0"/>
        <v>3657</v>
      </c>
      <c r="X2" s="2">
        <f t="shared" si="0"/>
        <v>2460</v>
      </c>
      <c r="Y2" s="2">
        <f t="shared" si="0"/>
        <v>3667</v>
      </c>
      <c r="Z2" s="2">
        <f t="shared" si="0"/>
        <v>2426</v>
      </c>
      <c r="AA2" s="2">
        <f t="shared" si="0"/>
        <v>4241</v>
      </c>
      <c r="AB2" s="2">
        <f t="shared" si="0"/>
        <v>2426</v>
      </c>
      <c r="AC2" s="2">
        <f t="shared" si="0"/>
        <v>2460</v>
      </c>
      <c r="AD2" s="124">
        <f>SUM(T2:AC2)</f>
        <v>28615</v>
      </c>
    </row>
    <row r="3" spans="1:30" ht="14.6" x14ac:dyDescent="0.4">
      <c r="A3" s="3" t="s">
        <v>6</v>
      </c>
      <c r="B3" s="3" t="s">
        <v>7</v>
      </c>
      <c r="C3" s="184" t="s">
        <v>8</v>
      </c>
      <c r="D3" s="4" t="s">
        <v>9</v>
      </c>
      <c r="E3" s="5" t="s">
        <v>167</v>
      </c>
      <c r="F3" s="5" t="s">
        <v>168</v>
      </c>
      <c r="G3" s="5" t="s">
        <v>169</v>
      </c>
      <c r="H3" s="5" t="s">
        <v>170</v>
      </c>
      <c r="I3" s="5" t="s">
        <v>171</v>
      </c>
      <c r="J3" s="5" t="s">
        <v>172</v>
      </c>
      <c r="K3" s="5" t="s">
        <v>173</v>
      </c>
      <c r="L3" s="5" t="s">
        <v>174</v>
      </c>
      <c r="M3" s="5" t="s">
        <v>175</v>
      </c>
      <c r="N3" s="5" t="s">
        <v>176</v>
      </c>
      <c r="O3" s="5"/>
      <c r="P3" s="5"/>
      <c r="Q3" s="5"/>
      <c r="R3" s="5"/>
      <c r="S3" s="5"/>
      <c r="T3" s="5">
        <v>20000</v>
      </c>
      <c r="U3" s="5">
        <v>40000</v>
      </c>
      <c r="V3" s="5">
        <v>60000</v>
      </c>
      <c r="W3" s="5">
        <v>80000</v>
      </c>
      <c r="X3" s="5">
        <v>100000</v>
      </c>
      <c r="Y3" s="5">
        <v>120000</v>
      </c>
      <c r="Z3" s="5">
        <v>140000</v>
      </c>
      <c r="AA3" s="5">
        <v>160000</v>
      </c>
      <c r="AB3" s="5">
        <v>180000</v>
      </c>
      <c r="AC3" s="5">
        <v>200000</v>
      </c>
    </row>
    <row r="4" spans="1:30" ht="14.6" x14ac:dyDescent="0.4">
      <c r="A4" s="15">
        <v>1</v>
      </c>
      <c r="B4" s="16" t="s">
        <v>22</v>
      </c>
      <c r="C4" s="186" t="s">
        <v>225</v>
      </c>
      <c r="D4" s="94">
        <f>VLOOKUP(C4,'[1]PREÇO ATUAL'!$A:$D,4,0)</f>
        <v>119.9</v>
      </c>
      <c r="E4" s="18">
        <v>1</v>
      </c>
      <c r="F4" s="18">
        <v>1</v>
      </c>
      <c r="G4" s="18">
        <v>1</v>
      </c>
      <c r="H4" s="18">
        <v>1</v>
      </c>
      <c r="I4" s="19">
        <v>1</v>
      </c>
      <c r="J4" s="19">
        <v>1</v>
      </c>
      <c r="K4" s="19">
        <v>1</v>
      </c>
      <c r="L4" s="19">
        <v>1</v>
      </c>
      <c r="M4" s="19">
        <v>1</v>
      </c>
      <c r="N4" s="20">
        <v>1</v>
      </c>
      <c r="O4" s="19"/>
      <c r="P4" s="19"/>
      <c r="Q4" s="19"/>
      <c r="R4" s="19"/>
      <c r="S4" s="19"/>
      <c r="T4" s="21">
        <f t="shared" ref="T4:T15" si="1">$D4*E4</f>
        <v>119.9</v>
      </c>
      <c r="U4" s="21">
        <f t="shared" ref="U4:U15" si="2">$D4*F4</f>
        <v>119.9</v>
      </c>
      <c r="V4" s="21">
        <f t="shared" ref="V4:V15" si="3">$D4*G4</f>
        <v>119.9</v>
      </c>
      <c r="W4" s="21">
        <f t="shared" ref="W4:W15" si="4">$D4*H4</f>
        <v>119.9</v>
      </c>
      <c r="X4" s="21">
        <f t="shared" ref="X4:X15" si="5">$D4*I4</f>
        <v>119.9</v>
      </c>
      <c r="Y4" s="21">
        <f t="shared" ref="Y4:Y15" si="6">$D4*J4</f>
        <v>119.9</v>
      </c>
      <c r="Z4" s="21">
        <f t="shared" ref="Z4:Z15" si="7">$D4*K4</f>
        <v>119.9</v>
      </c>
      <c r="AA4" s="21">
        <f t="shared" ref="AA4:AA15" si="8">$D4*L4</f>
        <v>119.9</v>
      </c>
      <c r="AB4" s="21">
        <f t="shared" ref="AB4:AB15" si="9">$D4*M4</f>
        <v>119.9</v>
      </c>
      <c r="AC4" s="21">
        <f t="shared" ref="AC4:AC15" si="10">$D4*N4</f>
        <v>119.9</v>
      </c>
    </row>
    <row r="5" spans="1:30" ht="14.6" x14ac:dyDescent="0.4">
      <c r="A5" s="7">
        <v>2</v>
      </c>
      <c r="B5" s="8" t="s">
        <v>226</v>
      </c>
      <c r="C5" s="185" t="s">
        <v>227</v>
      </c>
      <c r="D5" s="95">
        <f>VLOOKUP(C5,'[1]PREÇO ATUAL'!$A:$D,4,0)</f>
        <v>13.24</v>
      </c>
      <c r="E5" s="10">
        <v>1</v>
      </c>
      <c r="F5" s="10">
        <v>1</v>
      </c>
      <c r="G5" s="10">
        <v>1</v>
      </c>
      <c r="H5" s="10">
        <v>1</v>
      </c>
      <c r="I5" s="11">
        <v>1</v>
      </c>
      <c r="J5" s="11">
        <v>1</v>
      </c>
      <c r="K5" s="11">
        <v>1</v>
      </c>
      <c r="L5" s="11">
        <v>1</v>
      </c>
      <c r="M5" s="11">
        <v>1</v>
      </c>
      <c r="N5" s="12">
        <v>1</v>
      </c>
      <c r="O5" s="11"/>
      <c r="P5" s="11"/>
      <c r="Q5" s="11"/>
      <c r="R5" s="11"/>
      <c r="S5" s="11"/>
      <c r="T5" s="13">
        <f t="shared" si="1"/>
        <v>13.24</v>
      </c>
      <c r="U5" s="13">
        <f t="shared" si="2"/>
        <v>13.24</v>
      </c>
      <c r="V5" s="13">
        <f t="shared" si="3"/>
        <v>13.24</v>
      </c>
      <c r="W5" s="13">
        <f t="shared" si="4"/>
        <v>13.24</v>
      </c>
      <c r="X5" s="13">
        <f t="shared" si="5"/>
        <v>13.24</v>
      </c>
      <c r="Y5" s="13">
        <f t="shared" si="6"/>
        <v>13.24</v>
      </c>
      <c r="Z5" s="13">
        <f t="shared" si="7"/>
        <v>13.24</v>
      </c>
      <c r="AA5" s="13">
        <f t="shared" si="8"/>
        <v>13.24</v>
      </c>
      <c r="AB5" s="13">
        <f t="shared" si="9"/>
        <v>13.24</v>
      </c>
      <c r="AC5" s="13">
        <f t="shared" si="10"/>
        <v>13.24</v>
      </c>
    </row>
    <row r="6" spans="1:30" ht="14.6" x14ac:dyDescent="0.4">
      <c r="A6" s="15">
        <v>3</v>
      </c>
      <c r="B6" s="16" t="s">
        <v>24</v>
      </c>
      <c r="C6" s="186" t="s">
        <v>228</v>
      </c>
      <c r="D6" s="94">
        <f>VLOOKUP(C6,'[1]PREÇO ATUAL'!$A:$D,4,0)</f>
        <v>529.9</v>
      </c>
      <c r="E6" s="18">
        <v>1</v>
      </c>
      <c r="F6" s="18">
        <v>1</v>
      </c>
      <c r="G6" s="18">
        <v>1</v>
      </c>
      <c r="H6" s="18">
        <v>1</v>
      </c>
      <c r="I6" s="19">
        <v>1</v>
      </c>
      <c r="J6" s="19">
        <v>1</v>
      </c>
      <c r="K6" s="19">
        <v>1</v>
      </c>
      <c r="L6" s="19">
        <v>1</v>
      </c>
      <c r="M6" s="19">
        <v>1</v>
      </c>
      <c r="N6" s="20">
        <v>1</v>
      </c>
      <c r="O6" s="19"/>
      <c r="P6" s="19"/>
      <c r="Q6" s="19"/>
      <c r="R6" s="19"/>
      <c r="S6" s="19"/>
      <c r="T6" s="21">
        <f t="shared" si="1"/>
        <v>529.9</v>
      </c>
      <c r="U6" s="21">
        <f t="shared" si="2"/>
        <v>529.9</v>
      </c>
      <c r="V6" s="21">
        <f t="shared" si="3"/>
        <v>529.9</v>
      </c>
      <c r="W6" s="21">
        <f t="shared" si="4"/>
        <v>529.9</v>
      </c>
      <c r="X6" s="21">
        <f t="shared" si="5"/>
        <v>529.9</v>
      </c>
      <c r="Y6" s="21">
        <f t="shared" si="6"/>
        <v>529.9</v>
      </c>
      <c r="Z6" s="21">
        <f t="shared" si="7"/>
        <v>529.9</v>
      </c>
      <c r="AA6" s="21">
        <f t="shared" si="8"/>
        <v>529.9</v>
      </c>
      <c r="AB6" s="21">
        <f t="shared" si="9"/>
        <v>529.9</v>
      </c>
      <c r="AC6" s="21">
        <f t="shared" si="10"/>
        <v>529.9</v>
      </c>
    </row>
    <row r="7" spans="1:30" ht="14.6" x14ac:dyDescent="0.4">
      <c r="A7" s="7">
        <v>4</v>
      </c>
      <c r="B7" s="8" t="s">
        <v>26</v>
      </c>
      <c r="C7" s="185" t="s">
        <v>229</v>
      </c>
      <c r="D7" s="95">
        <f>VLOOKUP(C7,'[1]PREÇO ATUAL'!$A:$D,4,0)</f>
        <v>279.89999999999998</v>
      </c>
      <c r="E7" s="10">
        <v>1</v>
      </c>
      <c r="F7" s="10">
        <v>1</v>
      </c>
      <c r="G7" s="10">
        <v>1</v>
      </c>
      <c r="H7" s="10">
        <v>1</v>
      </c>
      <c r="I7" s="11">
        <v>1</v>
      </c>
      <c r="J7" s="11">
        <v>1</v>
      </c>
      <c r="K7" s="11">
        <v>1</v>
      </c>
      <c r="L7" s="11">
        <v>1</v>
      </c>
      <c r="M7" s="11">
        <v>1</v>
      </c>
      <c r="N7" s="12">
        <v>1</v>
      </c>
      <c r="O7" s="11"/>
      <c r="P7" s="11"/>
      <c r="Q7" s="11"/>
      <c r="R7" s="11"/>
      <c r="S7" s="11"/>
      <c r="T7" s="13">
        <f t="shared" si="1"/>
        <v>279.89999999999998</v>
      </c>
      <c r="U7" s="13">
        <f t="shared" si="2"/>
        <v>279.89999999999998</v>
      </c>
      <c r="V7" s="13">
        <f t="shared" si="3"/>
        <v>279.89999999999998</v>
      </c>
      <c r="W7" s="13">
        <f t="shared" si="4"/>
        <v>279.89999999999998</v>
      </c>
      <c r="X7" s="13">
        <f t="shared" si="5"/>
        <v>279.89999999999998</v>
      </c>
      <c r="Y7" s="13">
        <f t="shared" si="6"/>
        <v>279.89999999999998</v>
      </c>
      <c r="Z7" s="13">
        <f t="shared" si="7"/>
        <v>279.89999999999998</v>
      </c>
      <c r="AA7" s="13">
        <f t="shared" si="8"/>
        <v>279.89999999999998</v>
      </c>
      <c r="AB7" s="13">
        <f t="shared" si="9"/>
        <v>279.89999999999998</v>
      </c>
      <c r="AC7" s="13">
        <f t="shared" si="10"/>
        <v>279.89999999999998</v>
      </c>
    </row>
    <row r="8" spans="1:30" ht="14.6" x14ac:dyDescent="0.4">
      <c r="A8" s="15">
        <v>5</v>
      </c>
      <c r="B8" s="16" t="s">
        <v>230</v>
      </c>
      <c r="C8" s="186" t="s">
        <v>231</v>
      </c>
      <c r="D8" s="94">
        <f>VLOOKUP(C8,'[1]PREÇO ATUAL'!$A:$D,4,0)</f>
        <v>80.900000000000006</v>
      </c>
      <c r="E8" s="18">
        <v>1</v>
      </c>
      <c r="F8" s="18">
        <v>1</v>
      </c>
      <c r="G8" s="18">
        <v>1</v>
      </c>
      <c r="H8" s="18">
        <v>1</v>
      </c>
      <c r="I8" s="19">
        <v>1</v>
      </c>
      <c r="J8" s="19">
        <v>1</v>
      </c>
      <c r="K8" s="19">
        <v>1</v>
      </c>
      <c r="L8" s="19">
        <v>1</v>
      </c>
      <c r="M8" s="19">
        <v>1</v>
      </c>
      <c r="N8" s="20">
        <v>1</v>
      </c>
      <c r="O8" s="19"/>
      <c r="P8" s="19"/>
      <c r="Q8" s="19"/>
      <c r="R8" s="19"/>
      <c r="S8" s="19"/>
      <c r="T8" s="21">
        <f t="shared" si="1"/>
        <v>80.900000000000006</v>
      </c>
      <c r="U8" s="21">
        <f t="shared" si="2"/>
        <v>80.900000000000006</v>
      </c>
      <c r="V8" s="21">
        <f t="shared" si="3"/>
        <v>80.900000000000006</v>
      </c>
      <c r="W8" s="21">
        <f t="shared" si="4"/>
        <v>80.900000000000006</v>
      </c>
      <c r="X8" s="21">
        <f t="shared" si="5"/>
        <v>80.900000000000006</v>
      </c>
      <c r="Y8" s="21">
        <f t="shared" si="6"/>
        <v>80.900000000000006</v>
      </c>
      <c r="Z8" s="21">
        <f t="shared" si="7"/>
        <v>80.900000000000006</v>
      </c>
      <c r="AA8" s="21">
        <f t="shared" si="8"/>
        <v>80.900000000000006</v>
      </c>
      <c r="AB8" s="21">
        <f t="shared" si="9"/>
        <v>80.900000000000006</v>
      </c>
      <c r="AC8" s="21">
        <f t="shared" si="10"/>
        <v>80.900000000000006</v>
      </c>
    </row>
    <row r="9" spans="1:30" ht="14.6" x14ac:dyDescent="0.4">
      <c r="A9" s="7">
        <v>6</v>
      </c>
      <c r="B9" s="8" t="s">
        <v>232</v>
      </c>
      <c r="C9" s="185" t="s">
        <v>233</v>
      </c>
      <c r="D9" s="95">
        <f>VLOOKUP(C9,'[1]PREÇO ATUAL'!$A:$D,4,0)</f>
        <v>581.33000000000004</v>
      </c>
      <c r="E9" s="10"/>
      <c r="F9" s="10"/>
      <c r="G9" s="10"/>
      <c r="H9" s="10">
        <v>1</v>
      </c>
      <c r="I9" s="11"/>
      <c r="J9" s="11"/>
      <c r="K9" s="11"/>
      <c r="L9" s="11">
        <v>1</v>
      </c>
      <c r="M9" s="11"/>
      <c r="N9" s="12"/>
      <c r="O9" s="11"/>
      <c r="P9" s="11"/>
      <c r="Q9" s="11"/>
      <c r="R9" s="11"/>
      <c r="S9" s="11"/>
      <c r="T9" s="13">
        <f t="shared" si="1"/>
        <v>0</v>
      </c>
      <c r="U9" s="13">
        <f t="shared" si="2"/>
        <v>0</v>
      </c>
      <c r="V9" s="13">
        <f t="shared" si="3"/>
        <v>0</v>
      </c>
      <c r="W9" s="13">
        <f t="shared" si="4"/>
        <v>581.33000000000004</v>
      </c>
      <c r="X9" s="13">
        <f t="shared" si="5"/>
        <v>0</v>
      </c>
      <c r="Y9" s="13">
        <f t="shared" si="6"/>
        <v>0</v>
      </c>
      <c r="Z9" s="13">
        <f t="shared" si="7"/>
        <v>0</v>
      </c>
      <c r="AA9" s="13">
        <f t="shared" si="8"/>
        <v>581.33000000000004</v>
      </c>
      <c r="AB9" s="13">
        <f t="shared" si="9"/>
        <v>0</v>
      </c>
      <c r="AC9" s="13">
        <f t="shared" si="10"/>
        <v>0</v>
      </c>
    </row>
    <row r="10" spans="1:30" ht="14.6" x14ac:dyDescent="0.4">
      <c r="A10" s="15">
        <v>7</v>
      </c>
      <c r="B10" s="16" t="s">
        <v>234</v>
      </c>
      <c r="C10" s="186" t="s">
        <v>235</v>
      </c>
      <c r="D10" s="94">
        <f>VLOOKUP(C10,'[1]PREÇO ATUAL'!$A:$D,4,0)</f>
        <v>583.49</v>
      </c>
      <c r="E10" s="18"/>
      <c r="F10" s="18"/>
      <c r="G10" s="18"/>
      <c r="H10" s="18"/>
      <c r="I10" s="19"/>
      <c r="J10" s="19"/>
      <c r="K10" s="19"/>
      <c r="L10" s="19">
        <v>1</v>
      </c>
      <c r="M10" s="19"/>
      <c r="N10" s="20"/>
      <c r="O10" s="19"/>
      <c r="P10" s="19"/>
      <c r="Q10" s="19"/>
      <c r="R10" s="19"/>
      <c r="S10" s="19"/>
      <c r="T10" s="21">
        <f t="shared" si="1"/>
        <v>0</v>
      </c>
      <c r="U10" s="21">
        <f t="shared" si="2"/>
        <v>0</v>
      </c>
      <c r="V10" s="21">
        <f t="shared" si="3"/>
        <v>0</v>
      </c>
      <c r="W10" s="21">
        <f t="shared" si="4"/>
        <v>0</v>
      </c>
      <c r="X10" s="21">
        <f t="shared" si="5"/>
        <v>0</v>
      </c>
      <c r="Y10" s="21">
        <f t="shared" si="6"/>
        <v>0</v>
      </c>
      <c r="Z10" s="21">
        <f t="shared" si="7"/>
        <v>0</v>
      </c>
      <c r="AA10" s="21">
        <f t="shared" si="8"/>
        <v>583.49</v>
      </c>
      <c r="AB10" s="21">
        <f t="shared" si="9"/>
        <v>0</v>
      </c>
      <c r="AC10" s="21">
        <f t="shared" si="10"/>
        <v>0</v>
      </c>
    </row>
    <row r="11" spans="1:30" ht="14.6" x14ac:dyDescent="0.4">
      <c r="A11" s="75">
        <v>8</v>
      </c>
      <c r="B11" s="8" t="s">
        <v>236</v>
      </c>
      <c r="C11" s="188" t="s">
        <v>237</v>
      </c>
      <c r="D11" s="95">
        <f>VLOOKUP(C11,'[1]PREÇO ATUAL'!$A:$D,4,0)</f>
        <v>0</v>
      </c>
      <c r="E11" s="79"/>
      <c r="F11" s="79"/>
      <c r="G11" s="79"/>
      <c r="H11" s="79"/>
      <c r="I11" s="81"/>
      <c r="J11" s="81"/>
      <c r="K11" s="81"/>
      <c r="L11" s="81">
        <v>1</v>
      </c>
      <c r="M11" s="81"/>
      <c r="N11" s="96"/>
      <c r="O11" s="81"/>
      <c r="P11" s="81"/>
      <c r="Q11" s="81"/>
      <c r="R11" s="81"/>
      <c r="S11" s="81"/>
      <c r="T11" s="83">
        <f t="shared" si="1"/>
        <v>0</v>
      </c>
      <c r="U11" s="83">
        <f t="shared" si="2"/>
        <v>0</v>
      </c>
      <c r="V11" s="83">
        <f t="shared" si="3"/>
        <v>0</v>
      </c>
      <c r="W11" s="83">
        <f t="shared" si="4"/>
        <v>0</v>
      </c>
      <c r="X11" s="83">
        <f t="shared" si="5"/>
        <v>0</v>
      </c>
      <c r="Y11" s="83">
        <f t="shared" si="6"/>
        <v>0</v>
      </c>
      <c r="Z11" s="83">
        <f t="shared" si="7"/>
        <v>0</v>
      </c>
      <c r="AA11" s="83">
        <f t="shared" si="8"/>
        <v>0</v>
      </c>
      <c r="AB11" s="83">
        <f t="shared" si="9"/>
        <v>0</v>
      </c>
      <c r="AC11" s="83">
        <f t="shared" si="10"/>
        <v>0</v>
      </c>
    </row>
    <row r="12" spans="1:30" ht="14.6" x14ac:dyDescent="0.4">
      <c r="A12" s="86">
        <v>9</v>
      </c>
      <c r="B12" s="97" t="s">
        <v>238</v>
      </c>
      <c r="C12" s="189" t="s">
        <v>239</v>
      </c>
      <c r="D12" s="94">
        <f>VLOOKUP(C12,'[1]PREÇO ATUAL'!$A:$D,4,0)</f>
        <v>285.89999999999998</v>
      </c>
      <c r="E12" s="98"/>
      <c r="F12" s="98"/>
      <c r="G12" s="98"/>
      <c r="H12" s="98"/>
      <c r="I12" s="99"/>
      <c r="J12" s="99">
        <v>1</v>
      </c>
      <c r="K12" s="99"/>
      <c r="L12" s="99"/>
      <c r="M12" s="99"/>
      <c r="N12" s="100"/>
      <c r="O12" s="99"/>
      <c r="P12" s="99"/>
      <c r="Q12" s="99"/>
      <c r="R12" s="99"/>
      <c r="S12" s="99"/>
      <c r="T12" s="90">
        <f t="shared" si="1"/>
        <v>0</v>
      </c>
      <c r="U12" s="90">
        <f t="shared" si="2"/>
        <v>0</v>
      </c>
      <c r="V12" s="90">
        <f t="shared" si="3"/>
        <v>0</v>
      </c>
      <c r="W12" s="90">
        <f t="shared" si="4"/>
        <v>0</v>
      </c>
      <c r="X12" s="90">
        <f t="shared" si="5"/>
        <v>0</v>
      </c>
      <c r="Y12" s="90">
        <f t="shared" si="6"/>
        <v>285.89999999999998</v>
      </c>
      <c r="Z12" s="90">
        <f t="shared" si="7"/>
        <v>0</v>
      </c>
      <c r="AA12" s="90">
        <f t="shared" si="8"/>
        <v>0</v>
      </c>
      <c r="AB12" s="90">
        <f t="shared" si="9"/>
        <v>0</v>
      </c>
      <c r="AC12" s="90">
        <f t="shared" si="10"/>
        <v>0</v>
      </c>
    </row>
    <row r="13" spans="1:30" ht="14.6" x14ac:dyDescent="0.4">
      <c r="A13" s="101">
        <v>10</v>
      </c>
      <c r="B13" s="102" t="s">
        <v>240</v>
      </c>
      <c r="C13" s="190" t="s">
        <v>241</v>
      </c>
      <c r="D13" s="95">
        <f>VLOOKUP(C13,'[1]PREÇO ATUAL'!$A:$D,4,0)</f>
        <v>749.53</v>
      </c>
      <c r="E13" s="103"/>
      <c r="F13" s="103"/>
      <c r="G13" s="103"/>
      <c r="H13" s="103"/>
      <c r="I13" s="104"/>
      <c r="J13" s="104">
        <v>1</v>
      </c>
      <c r="K13" s="104"/>
      <c r="L13" s="104"/>
      <c r="M13" s="104"/>
      <c r="N13" s="105"/>
      <c r="O13" s="104"/>
      <c r="P13" s="104"/>
      <c r="Q13" s="104"/>
      <c r="R13" s="104"/>
      <c r="S13" s="104"/>
      <c r="T13" s="106">
        <f t="shared" si="1"/>
        <v>0</v>
      </c>
      <c r="U13" s="106">
        <f t="shared" si="2"/>
        <v>0</v>
      </c>
      <c r="V13" s="106">
        <f t="shared" si="3"/>
        <v>0</v>
      </c>
      <c r="W13" s="106">
        <f t="shared" si="4"/>
        <v>0</v>
      </c>
      <c r="X13" s="106">
        <f t="shared" si="5"/>
        <v>0</v>
      </c>
      <c r="Y13" s="106">
        <f t="shared" si="6"/>
        <v>749.53</v>
      </c>
      <c r="Z13" s="106">
        <f t="shared" si="7"/>
        <v>0</v>
      </c>
      <c r="AA13" s="106">
        <f t="shared" si="8"/>
        <v>0</v>
      </c>
      <c r="AB13" s="106">
        <f t="shared" si="9"/>
        <v>0</v>
      </c>
      <c r="AC13" s="106">
        <f t="shared" si="10"/>
        <v>0</v>
      </c>
    </row>
    <row r="14" spans="1:30" ht="14.6" x14ac:dyDescent="0.4">
      <c r="A14" s="86">
        <v>11</v>
      </c>
      <c r="B14" s="87" t="s">
        <v>242</v>
      </c>
      <c r="C14" s="189" t="s">
        <v>35</v>
      </c>
      <c r="D14" s="107">
        <f>VLOOKUP(C14,'[1]PREÇO ATUAL'!$A:$D,4,0)</f>
        <v>33.622493083850472</v>
      </c>
      <c r="E14" s="98"/>
      <c r="F14" s="98"/>
      <c r="G14" s="98"/>
      <c r="H14" s="98"/>
      <c r="I14" s="99"/>
      <c r="J14" s="99"/>
      <c r="K14" s="99"/>
      <c r="L14" s="99"/>
      <c r="M14" s="99"/>
      <c r="N14" s="100"/>
      <c r="O14" s="99"/>
      <c r="P14" s="99"/>
      <c r="Q14" s="99"/>
      <c r="R14" s="99"/>
      <c r="S14" s="99"/>
      <c r="T14" s="90">
        <f t="shared" si="1"/>
        <v>0</v>
      </c>
      <c r="U14" s="90">
        <f t="shared" si="2"/>
        <v>0</v>
      </c>
      <c r="V14" s="90">
        <f t="shared" si="3"/>
        <v>0</v>
      </c>
      <c r="W14" s="90">
        <f t="shared" si="4"/>
        <v>0</v>
      </c>
      <c r="X14" s="90">
        <f t="shared" si="5"/>
        <v>0</v>
      </c>
      <c r="Y14" s="90">
        <f t="shared" si="6"/>
        <v>0</v>
      </c>
      <c r="Z14" s="90">
        <f t="shared" si="7"/>
        <v>0</v>
      </c>
      <c r="AA14" s="90">
        <f t="shared" si="8"/>
        <v>0</v>
      </c>
      <c r="AB14" s="90">
        <f t="shared" si="9"/>
        <v>0</v>
      </c>
      <c r="AC14" s="90">
        <f t="shared" si="10"/>
        <v>0</v>
      </c>
    </row>
    <row r="15" spans="1:30" ht="14.6" x14ac:dyDescent="0.4">
      <c r="A15" s="75">
        <v>12</v>
      </c>
      <c r="B15" s="76" t="s">
        <v>243</v>
      </c>
      <c r="C15" s="188" t="s">
        <v>244</v>
      </c>
      <c r="D15" s="80">
        <f>VLOOKUP(C15,'[1]PREÇO ATUAL'!$A:$D,4,0)</f>
        <v>98.47</v>
      </c>
      <c r="E15" s="78">
        <v>6.6</v>
      </c>
      <c r="F15" s="78">
        <v>6.6</v>
      </c>
      <c r="G15" s="78">
        <v>6.6</v>
      </c>
      <c r="H15" s="78">
        <v>6.6</v>
      </c>
      <c r="I15" s="80">
        <v>6.6</v>
      </c>
      <c r="J15" s="80">
        <v>6.6</v>
      </c>
      <c r="K15" s="80">
        <v>6.6</v>
      </c>
      <c r="L15" s="80">
        <v>6.6</v>
      </c>
      <c r="M15" s="80">
        <v>6.6</v>
      </c>
      <c r="N15" s="82">
        <v>6.6</v>
      </c>
      <c r="O15" s="80"/>
      <c r="P15" s="80"/>
      <c r="Q15" s="80"/>
      <c r="R15" s="80"/>
      <c r="S15" s="80"/>
      <c r="T15" s="83">
        <f t="shared" si="1"/>
        <v>649.90199999999993</v>
      </c>
      <c r="U15" s="83">
        <f t="shared" si="2"/>
        <v>649.90199999999993</v>
      </c>
      <c r="V15" s="83">
        <f t="shared" si="3"/>
        <v>649.90199999999993</v>
      </c>
      <c r="W15" s="83">
        <f t="shared" si="4"/>
        <v>649.90199999999993</v>
      </c>
      <c r="X15" s="83">
        <f t="shared" si="5"/>
        <v>649.90199999999993</v>
      </c>
      <c r="Y15" s="83">
        <f t="shared" si="6"/>
        <v>649.90199999999993</v>
      </c>
      <c r="Z15" s="83">
        <f t="shared" si="7"/>
        <v>649.90199999999993</v>
      </c>
      <c r="AA15" s="83">
        <f t="shared" si="8"/>
        <v>649.90199999999993</v>
      </c>
      <c r="AB15" s="83">
        <f t="shared" si="9"/>
        <v>649.90199999999993</v>
      </c>
      <c r="AC15" s="83">
        <f t="shared" si="10"/>
        <v>649.90199999999993</v>
      </c>
    </row>
    <row r="16" spans="1:30" ht="14.6" x14ac:dyDescent="0.4">
      <c r="A16" s="86">
        <v>13</v>
      </c>
      <c r="B16" s="87" t="s">
        <v>38</v>
      </c>
      <c r="C16" s="189" t="s">
        <v>39</v>
      </c>
      <c r="D16" s="107">
        <f>VLOOKUP(C16,'[1]PREÇO ATUAL'!$A:$D,4,0)</f>
        <v>342</v>
      </c>
      <c r="E16" s="108">
        <v>2.2000000000000002</v>
      </c>
      <c r="F16" s="108">
        <v>2.2000000000000002</v>
      </c>
      <c r="G16" s="108">
        <v>2.2000000000000002</v>
      </c>
      <c r="H16" s="108">
        <v>4.0999999999999996</v>
      </c>
      <c r="I16" s="107">
        <v>2.2999999999999998</v>
      </c>
      <c r="J16" s="107">
        <v>2.8</v>
      </c>
      <c r="K16" s="107">
        <v>2.2000000000000002</v>
      </c>
      <c r="L16" s="107">
        <v>4.0999999999999996</v>
      </c>
      <c r="M16" s="107">
        <v>2.2000000000000002</v>
      </c>
      <c r="N16" s="109">
        <v>2.2999999999999998</v>
      </c>
      <c r="O16" s="107"/>
      <c r="P16" s="107"/>
      <c r="Q16" s="107"/>
      <c r="R16" s="107"/>
      <c r="S16" s="107"/>
      <c r="T16" s="90">
        <f>D16*E16</f>
        <v>752.40000000000009</v>
      </c>
      <c r="U16" s="90">
        <f t="shared" ref="U16:AC16" si="11">$D16*F16</f>
        <v>752.40000000000009</v>
      </c>
      <c r="V16" s="90">
        <f t="shared" si="11"/>
        <v>752.40000000000009</v>
      </c>
      <c r="W16" s="90">
        <f t="shared" si="11"/>
        <v>1402.1999999999998</v>
      </c>
      <c r="X16" s="90">
        <f t="shared" si="11"/>
        <v>786.59999999999991</v>
      </c>
      <c r="Y16" s="90">
        <f t="shared" si="11"/>
        <v>957.59999999999991</v>
      </c>
      <c r="Z16" s="90">
        <f t="shared" si="11"/>
        <v>752.40000000000009</v>
      </c>
      <c r="AA16" s="90">
        <f t="shared" si="11"/>
        <v>1402.1999999999998</v>
      </c>
      <c r="AB16" s="90">
        <f t="shared" si="11"/>
        <v>752.40000000000009</v>
      </c>
      <c r="AC16" s="90">
        <f t="shared" si="11"/>
        <v>786.59999999999991</v>
      </c>
    </row>
    <row r="17" spans="1:30" ht="15.75" customHeight="1" x14ac:dyDescent="0.4">
      <c r="B17" s="218"/>
      <c r="I17" s="54"/>
    </row>
    <row r="18" spans="1:30" ht="15.75" customHeight="1" x14ac:dyDescent="0.4"/>
    <row r="19" spans="1:30" ht="15.75" customHeight="1" x14ac:dyDescent="0.4"/>
    <row r="20" spans="1:30" ht="15" customHeight="1" x14ac:dyDescent="0.4">
      <c r="A20" s="247" t="s">
        <v>245</v>
      </c>
      <c r="B20" s="248"/>
      <c r="C20" s="248"/>
      <c r="D20" s="249"/>
      <c r="E20" s="255" t="s">
        <v>3</v>
      </c>
      <c r="F20" s="256"/>
      <c r="G20" s="256"/>
      <c r="H20" s="256"/>
      <c r="I20" s="256"/>
      <c r="J20" s="256"/>
      <c r="K20" s="256"/>
      <c r="L20" s="256"/>
      <c r="M20" s="256"/>
      <c r="N20" s="256"/>
      <c r="O20" s="256"/>
      <c r="P20" s="256"/>
      <c r="Q20" s="256"/>
      <c r="R20" s="256"/>
      <c r="S20" s="257"/>
      <c r="T20" s="253" t="s">
        <v>4</v>
      </c>
      <c r="U20" s="254"/>
      <c r="V20" s="254"/>
      <c r="W20" s="254"/>
      <c r="X20" s="254"/>
      <c r="Y20" s="254"/>
      <c r="Z20" s="254"/>
      <c r="AA20" s="254"/>
      <c r="AB20" s="254"/>
      <c r="AC20" s="254"/>
    </row>
    <row r="21" spans="1:30" ht="15" customHeight="1" x14ac:dyDescent="0.4">
      <c r="A21" s="250"/>
      <c r="B21" s="251"/>
      <c r="C21" s="251"/>
      <c r="D21" s="252"/>
      <c r="E21" s="228"/>
      <c r="F21" s="229"/>
      <c r="G21" s="229"/>
      <c r="H21" s="229"/>
      <c r="I21" s="229"/>
      <c r="J21" s="229"/>
      <c r="K21" s="229"/>
      <c r="L21" s="229"/>
      <c r="M21" s="229"/>
      <c r="N21" s="229"/>
      <c r="O21" s="229"/>
      <c r="P21" s="229"/>
      <c r="Q21" s="229"/>
      <c r="R21" s="229"/>
      <c r="S21" s="233"/>
      <c r="T21" s="2">
        <f>MROUND(SUM(T23:T30),1)</f>
        <v>1444</v>
      </c>
      <c r="U21" s="2">
        <f t="shared" ref="U21:AC21" si="12">MROUND(SUM(U23:U30),1)</f>
        <v>1701</v>
      </c>
      <c r="V21" s="2">
        <f t="shared" si="12"/>
        <v>2299</v>
      </c>
      <c r="W21" s="2">
        <f t="shared" si="12"/>
        <v>2077</v>
      </c>
      <c r="X21" s="2">
        <f t="shared" si="12"/>
        <v>3534</v>
      </c>
      <c r="Y21" s="2">
        <f t="shared" si="12"/>
        <v>2299</v>
      </c>
      <c r="Z21" s="2">
        <f t="shared" si="12"/>
        <v>2214</v>
      </c>
      <c r="AA21" s="2">
        <f t="shared" si="12"/>
        <v>3398</v>
      </c>
      <c r="AB21" s="2">
        <f t="shared" si="12"/>
        <v>2214</v>
      </c>
      <c r="AC21" s="2">
        <f t="shared" si="12"/>
        <v>2641</v>
      </c>
      <c r="AD21" s="124">
        <f>SUM(T21:AC21)</f>
        <v>23821</v>
      </c>
    </row>
    <row r="22" spans="1:30" ht="14.6" x14ac:dyDescent="0.4">
      <c r="A22" s="3" t="s">
        <v>6</v>
      </c>
      <c r="B22" s="3" t="s">
        <v>7</v>
      </c>
      <c r="C22" s="184" t="s">
        <v>8</v>
      </c>
      <c r="D22" s="64" t="s">
        <v>9</v>
      </c>
      <c r="E22" s="5" t="s">
        <v>167</v>
      </c>
      <c r="F22" s="5" t="s">
        <v>168</v>
      </c>
      <c r="G22" s="5" t="s">
        <v>169</v>
      </c>
      <c r="H22" s="5" t="s">
        <v>170</v>
      </c>
      <c r="I22" s="5" t="s">
        <v>171</v>
      </c>
      <c r="J22" s="5" t="s">
        <v>172</v>
      </c>
      <c r="K22" s="5" t="s">
        <v>173</v>
      </c>
      <c r="L22" s="5" t="s">
        <v>174</v>
      </c>
      <c r="M22" s="5" t="s">
        <v>175</v>
      </c>
      <c r="N22" s="5" t="s">
        <v>176</v>
      </c>
      <c r="O22" s="5"/>
      <c r="P22" s="5"/>
      <c r="Q22" s="5"/>
      <c r="R22" s="5"/>
      <c r="S22" s="5"/>
      <c r="T22" s="36">
        <v>15000</v>
      </c>
      <c r="U22" s="36">
        <v>30000</v>
      </c>
      <c r="V22" s="36">
        <v>45000</v>
      </c>
      <c r="W22" s="36">
        <v>60000</v>
      </c>
      <c r="X22" s="36">
        <v>75000</v>
      </c>
      <c r="Y22" s="36">
        <v>90000</v>
      </c>
      <c r="Z22" s="36">
        <v>105000</v>
      </c>
      <c r="AA22" s="36">
        <v>120000</v>
      </c>
      <c r="AB22" s="36">
        <v>135000</v>
      </c>
      <c r="AC22" s="36">
        <v>150000</v>
      </c>
    </row>
    <row r="23" spans="1:30" ht="14.6" x14ac:dyDescent="0.4">
      <c r="A23" s="7">
        <v>1</v>
      </c>
      <c r="B23" s="8" t="s">
        <v>70</v>
      </c>
      <c r="C23" s="191" t="s">
        <v>246</v>
      </c>
      <c r="D23" s="9">
        <f>VLOOKUP(C23,'[1]PREÇO ATUAL'!$A:$D,4,0)</f>
        <v>199.9</v>
      </c>
      <c r="E23" s="10">
        <v>1</v>
      </c>
      <c r="F23" s="10">
        <v>1</v>
      </c>
      <c r="G23" s="10">
        <v>1</v>
      </c>
      <c r="H23" s="10">
        <v>1</v>
      </c>
      <c r="I23" s="10">
        <v>1</v>
      </c>
      <c r="J23" s="10">
        <v>1</v>
      </c>
      <c r="K23" s="10">
        <v>1</v>
      </c>
      <c r="L23" s="10">
        <v>1</v>
      </c>
      <c r="M23" s="10">
        <v>1</v>
      </c>
      <c r="N23" s="10">
        <v>1</v>
      </c>
      <c r="O23" s="10"/>
      <c r="P23" s="10"/>
      <c r="Q23" s="10"/>
      <c r="R23" s="10"/>
      <c r="S23" s="10"/>
      <c r="T23" s="13">
        <f t="shared" ref="T23:AC23" si="13">$D$23*E23</f>
        <v>199.9</v>
      </c>
      <c r="U23" s="13">
        <f t="shared" si="13"/>
        <v>199.9</v>
      </c>
      <c r="V23" s="13">
        <f t="shared" si="13"/>
        <v>199.9</v>
      </c>
      <c r="W23" s="13">
        <f t="shared" si="13"/>
        <v>199.9</v>
      </c>
      <c r="X23" s="13">
        <f t="shared" si="13"/>
        <v>199.9</v>
      </c>
      <c r="Y23" s="13">
        <f t="shared" si="13"/>
        <v>199.9</v>
      </c>
      <c r="Z23" s="13">
        <f t="shared" si="13"/>
        <v>199.9</v>
      </c>
      <c r="AA23" s="13">
        <f t="shared" si="13"/>
        <v>199.9</v>
      </c>
      <c r="AB23" s="13">
        <f t="shared" si="13"/>
        <v>199.9</v>
      </c>
      <c r="AC23" s="13">
        <f t="shared" si="13"/>
        <v>199.9</v>
      </c>
    </row>
    <row r="24" spans="1:30" ht="14.6" x14ac:dyDescent="0.4">
      <c r="A24" s="15">
        <v>2</v>
      </c>
      <c r="B24" s="16" t="s">
        <v>72</v>
      </c>
      <c r="C24" s="192" t="s">
        <v>247</v>
      </c>
      <c r="D24" s="17">
        <f>VLOOKUP(C24,'[1]PREÇO ATUAL'!$A:$D,4,0)</f>
        <v>489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/>
      <c r="P24" s="18"/>
      <c r="Q24" s="18"/>
      <c r="R24" s="18"/>
      <c r="S24" s="18"/>
      <c r="T24" s="21">
        <f t="shared" ref="T24:AC24" si="14">$D$24*E24</f>
        <v>489</v>
      </c>
      <c r="U24" s="21">
        <f t="shared" si="14"/>
        <v>489</v>
      </c>
      <c r="V24" s="21">
        <f t="shared" si="14"/>
        <v>489</v>
      </c>
      <c r="W24" s="21">
        <f t="shared" si="14"/>
        <v>489</v>
      </c>
      <c r="X24" s="21">
        <f t="shared" si="14"/>
        <v>489</v>
      </c>
      <c r="Y24" s="21">
        <f t="shared" si="14"/>
        <v>489</v>
      </c>
      <c r="Z24" s="21">
        <f t="shared" si="14"/>
        <v>489</v>
      </c>
      <c r="AA24" s="21">
        <f t="shared" si="14"/>
        <v>489</v>
      </c>
      <c r="AB24" s="21">
        <f t="shared" si="14"/>
        <v>489</v>
      </c>
      <c r="AC24" s="21">
        <f t="shared" si="14"/>
        <v>489</v>
      </c>
    </row>
    <row r="25" spans="1:30" ht="14.6" x14ac:dyDescent="0.4">
      <c r="A25" s="7">
        <v>3</v>
      </c>
      <c r="B25" s="8" t="s">
        <v>73</v>
      </c>
      <c r="C25" s="191" t="s">
        <v>229</v>
      </c>
      <c r="D25" s="9">
        <f>VLOOKUP(C25,'[1]PREÇO ATUAL'!$A:$D,4,0)</f>
        <v>279.89999999999998</v>
      </c>
      <c r="E25" s="10">
        <v>1</v>
      </c>
      <c r="F25" s="10">
        <v>1</v>
      </c>
      <c r="G25" s="10">
        <v>1</v>
      </c>
      <c r="H25" s="10">
        <v>1</v>
      </c>
      <c r="I25" s="10">
        <v>1</v>
      </c>
      <c r="J25" s="10">
        <v>1</v>
      </c>
      <c r="K25" s="10">
        <v>1</v>
      </c>
      <c r="L25" s="10">
        <v>1</v>
      </c>
      <c r="M25" s="10">
        <v>1</v>
      </c>
      <c r="N25" s="10">
        <v>1</v>
      </c>
      <c r="O25" s="10"/>
      <c r="P25" s="10"/>
      <c r="Q25" s="10"/>
      <c r="R25" s="10"/>
      <c r="S25" s="10"/>
      <c r="T25" s="13">
        <f t="shared" ref="T25:T29" si="15">D25*E25</f>
        <v>279.89999999999998</v>
      </c>
      <c r="U25" s="13">
        <f t="shared" ref="U25:AC25" si="16">$D$25*F25</f>
        <v>279.89999999999998</v>
      </c>
      <c r="V25" s="13">
        <f t="shared" si="16"/>
        <v>279.89999999999998</v>
      </c>
      <c r="W25" s="13">
        <f t="shared" si="16"/>
        <v>279.89999999999998</v>
      </c>
      <c r="X25" s="13">
        <f t="shared" si="16"/>
        <v>279.89999999999998</v>
      </c>
      <c r="Y25" s="13">
        <f t="shared" si="16"/>
        <v>279.89999999999998</v>
      </c>
      <c r="Z25" s="13">
        <f t="shared" si="16"/>
        <v>279.89999999999998</v>
      </c>
      <c r="AA25" s="13">
        <f t="shared" si="16"/>
        <v>279.89999999999998</v>
      </c>
      <c r="AB25" s="13">
        <f t="shared" si="16"/>
        <v>279.89999999999998</v>
      </c>
      <c r="AC25" s="13">
        <f t="shared" si="16"/>
        <v>279.89999999999998</v>
      </c>
    </row>
    <row r="26" spans="1:30" ht="14.6" x14ac:dyDescent="0.4">
      <c r="A26" s="15">
        <v>4</v>
      </c>
      <c r="B26" s="16" t="s">
        <v>248</v>
      </c>
      <c r="C26" s="192" t="s">
        <v>249</v>
      </c>
      <c r="D26" s="17">
        <f>VLOOKUP(C26,'[1]PREÇO ATUAL'!$A:$D,4,0)</f>
        <v>229.9</v>
      </c>
      <c r="E26" s="18"/>
      <c r="F26" s="18"/>
      <c r="G26" s="18"/>
      <c r="H26" s="18"/>
      <c r="I26" s="18">
        <v>1</v>
      </c>
      <c r="J26" s="18"/>
      <c r="K26" s="18"/>
      <c r="L26" s="66">
        <v>1</v>
      </c>
      <c r="M26" s="66"/>
      <c r="N26" s="66"/>
      <c r="O26" s="66"/>
      <c r="P26" s="66"/>
      <c r="Q26" s="66"/>
      <c r="R26" s="66"/>
      <c r="S26" s="66"/>
      <c r="T26" s="21">
        <f t="shared" si="15"/>
        <v>0</v>
      </c>
      <c r="U26" s="21">
        <f t="shared" ref="U26:AC26" si="17">$D$26*F26</f>
        <v>0</v>
      </c>
      <c r="V26" s="21">
        <f t="shared" si="17"/>
        <v>0</v>
      </c>
      <c r="W26" s="21">
        <f t="shared" si="17"/>
        <v>0</v>
      </c>
      <c r="X26" s="21">
        <f t="shared" si="17"/>
        <v>229.9</v>
      </c>
      <c r="Y26" s="21">
        <f t="shared" si="17"/>
        <v>0</v>
      </c>
      <c r="Z26" s="21">
        <f t="shared" si="17"/>
        <v>0</v>
      </c>
      <c r="AA26" s="21">
        <f t="shared" si="17"/>
        <v>229.9</v>
      </c>
      <c r="AB26" s="21">
        <f t="shared" si="17"/>
        <v>0</v>
      </c>
      <c r="AC26" s="21">
        <f t="shared" si="17"/>
        <v>0</v>
      </c>
    </row>
    <row r="27" spans="1:30" ht="14.6" x14ac:dyDescent="0.4">
      <c r="A27" s="7">
        <v>5</v>
      </c>
      <c r="B27" s="8" t="s">
        <v>250</v>
      </c>
      <c r="C27" s="191" t="s">
        <v>251</v>
      </c>
      <c r="D27" s="9">
        <f>VLOOKUP(C27,'[1]PREÇO ATUAL'!$A:$D,4,0)</f>
        <v>663.26</v>
      </c>
      <c r="E27" s="10"/>
      <c r="F27" s="10"/>
      <c r="G27" s="10"/>
      <c r="H27" s="10"/>
      <c r="I27" s="10">
        <v>1</v>
      </c>
      <c r="J27" s="10"/>
      <c r="K27" s="10"/>
      <c r="L27" s="67">
        <v>1</v>
      </c>
      <c r="M27" s="67"/>
      <c r="N27" s="67"/>
      <c r="O27" s="67"/>
      <c r="P27" s="67"/>
      <c r="Q27" s="67"/>
      <c r="R27" s="67"/>
      <c r="S27" s="67"/>
      <c r="T27" s="13">
        <f t="shared" si="15"/>
        <v>0</v>
      </c>
      <c r="U27" s="13">
        <f t="shared" ref="U27:AC27" si="18">$D$27*F27</f>
        <v>0</v>
      </c>
      <c r="V27" s="13">
        <f t="shared" si="18"/>
        <v>0</v>
      </c>
      <c r="W27" s="13">
        <f t="shared" si="18"/>
        <v>0</v>
      </c>
      <c r="X27" s="13">
        <f t="shared" si="18"/>
        <v>663.26</v>
      </c>
      <c r="Y27" s="13">
        <f t="shared" si="18"/>
        <v>0</v>
      </c>
      <c r="Z27" s="13">
        <f t="shared" si="18"/>
        <v>0</v>
      </c>
      <c r="AA27" s="13">
        <f t="shared" si="18"/>
        <v>663.26</v>
      </c>
      <c r="AB27" s="13">
        <f t="shared" si="18"/>
        <v>0</v>
      </c>
      <c r="AC27" s="13">
        <f t="shared" si="18"/>
        <v>0</v>
      </c>
    </row>
    <row r="28" spans="1:30" ht="14.6" x14ac:dyDescent="0.4">
      <c r="A28" s="15">
        <v>6</v>
      </c>
      <c r="B28" s="16" t="s">
        <v>160</v>
      </c>
      <c r="C28" s="192" t="s">
        <v>161</v>
      </c>
      <c r="D28" s="17">
        <f>VLOOKUP(C28,'[1]PREÇO ATUAL'!$A:$D,4,0)</f>
        <v>45.09</v>
      </c>
      <c r="E28" s="68"/>
      <c r="F28" s="68"/>
      <c r="G28" s="68"/>
      <c r="H28" s="18"/>
      <c r="I28" s="68"/>
      <c r="J28" s="68"/>
      <c r="K28" s="18"/>
      <c r="L28" s="66"/>
      <c r="M28" s="66"/>
      <c r="N28" s="66"/>
      <c r="O28" s="66"/>
      <c r="P28" s="66"/>
      <c r="Q28" s="66"/>
      <c r="R28" s="66"/>
      <c r="S28" s="66"/>
      <c r="T28" s="21">
        <f t="shared" si="15"/>
        <v>0</v>
      </c>
      <c r="U28" s="21">
        <f t="shared" ref="U28:AC28" si="19">$D$28*F28</f>
        <v>0</v>
      </c>
      <c r="V28" s="21">
        <f t="shared" si="19"/>
        <v>0</v>
      </c>
      <c r="W28" s="21">
        <f t="shared" si="19"/>
        <v>0</v>
      </c>
      <c r="X28" s="21">
        <f t="shared" si="19"/>
        <v>0</v>
      </c>
      <c r="Y28" s="21">
        <f t="shared" si="19"/>
        <v>0</v>
      </c>
      <c r="Z28" s="21">
        <f t="shared" si="19"/>
        <v>0</v>
      </c>
      <c r="AA28" s="21">
        <f t="shared" si="19"/>
        <v>0</v>
      </c>
      <c r="AB28" s="21">
        <f t="shared" si="19"/>
        <v>0</v>
      </c>
      <c r="AC28" s="21">
        <f t="shared" si="19"/>
        <v>0</v>
      </c>
    </row>
    <row r="29" spans="1:30" ht="14.6" x14ac:dyDescent="0.4">
      <c r="A29" s="7">
        <v>7</v>
      </c>
      <c r="B29" s="8" t="s">
        <v>252</v>
      </c>
      <c r="C29" s="191" t="s">
        <v>253</v>
      </c>
      <c r="D29" s="9">
        <f>VLOOKUP(C29,'[1]PREÇO ATUAL'!$A:$D,4,0)</f>
        <v>84.89692504593161</v>
      </c>
      <c r="E29" s="48">
        <v>5.6</v>
      </c>
      <c r="F29" s="48">
        <v>5.6</v>
      </c>
      <c r="G29" s="48">
        <v>5.6</v>
      </c>
      <c r="H29" s="48">
        <v>5.6</v>
      </c>
      <c r="I29" s="48">
        <v>5.6</v>
      </c>
      <c r="J29" s="48">
        <v>5.6</v>
      </c>
      <c r="K29" s="48">
        <v>5.6</v>
      </c>
      <c r="L29" s="69">
        <v>5.6</v>
      </c>
      <c r="M29" s="69">
        <v>5.6</v>
      </c>
      <c r="N29" s="69">
        <v>5.6</v>
      </c>
      <c r="O29" s="69"/>
      <c r="P29" s="69"/>
      <c r="Q29" s="69"/>
      <c r="R29" s="69"/>
      <c r="S29" s="69"/>
      <c r="T29" s="13">
        <f t="shared" si="15"/>
        <v>475.42278025721697</v>
      </c>
      <c r="U29" s="13">
        <f t="shared" ref="U29:AC29" si="20">$D$29*F29</f>
        <v>475.42278025721697</v>
      </c>
      <c r="V29" s="13">
        <f t="shared" si="20"/>
        <v>475.42278025721697</v>
      </c>
      <c r="W29" s="13">
        <f t="shared" si="20"/>
        <v>475.42278025721697</v>
      </c>
      <c r="X29" s="13">
        <f t="shared" si="20"/>
        <v>475.42278025721697</v>
      </c>
      <c r="Y29" s="13">
        <f t="shared" si="20"/>
        <v>475.42278025721697</v>
      </c>
      <c r="Z29" s="13">
        <f t="shared" si="20"/>
        <v>475.42278025721697</v>
      </c>
      <c r="AA29" s="13">
        <f t="shared" si="20"/>
        <v>475.42278025721697</v>
      </c>
      <c r="AB29" s="13">
        <f t="shared" si="20"/>
        <v>475.42278025721697</v>
      </c>
      <c r="AC29" s="13">
        <f t="shared" si="20"/>
        <v>475.42278025721697</v>
      </c>
    </row>
    <row r="30" spans="1:30" ht="14.6" x14ac:dyDescent="0.4">
      <c r="A30" s="15">
        <v>8</v>
      </c>
      <c r="B30" s="16" t="s">
        <v>38</v>
      </c>
      <c r="C30" s="192" t="s">
        <v>39</v>
      </c>
      <c r="D30" s="17">
        <f>VLOOKUP(C30,'[1]PREÇO ATUAL'!$A:$D,4,0)</f>
        <v>342</v>
      </c>
      <c r="E30" s="24">
        <v>0.75</v>
      </c>
      <c r="F30" s="24">
        <v>0.75</v>
      </c>
      <c r="G30" s="24">
        <v>2.5</v>
      </c>
      <c r="H30" s="24">
        <v>1.85</v>
      </c>
      <c r="I30" s="24">
        <v>3.5</v>
      </c>
      <c r="J30" s="24">
        <v>2.5</v>
      </c>
      <c r="K30" s="24">
        <v>2.25</v>
      </c>
      <c r="L30" s="70">
        <v>3.1</v>
      </c>
      <c r="M30" s="70">
        <v>2.25</v>
      </c>
      <c r="N30" s="70">
        <v>3.5</v>
      </c>
      <c r="O30" s="70"/>
      <c r="P30" s="70"/>
      <c r="Q30" s="70"/>
      <c r="R30" s="70"/>
      <c r="S30" s="70"/>
      <c r="T30" s="21">
        <v>0</v>
      </c>
      <c r="U30" s="21">
        <f t="shared" ref="U30:AC30" si="21">$D$30*F30</f>
        <v>256.5</v>
      </c>
      <c r="V30" s="21">
        <f t="shared" si="21"/>
        <v>855</v>
      </c>
      <c r="W30" s="21">
        <f t="shared" si="21"/>
        <v>632.70000000000005</v>
      </c>
      <c r="X30" s="21">
        <f t="shared" si="21"/>
        <v>1197</v>
      </c>
      <c r="Y30" s="21">
        <f t="shared" si="21"/>
        <v>855</v>
      </c>
      <c r="Z30" s="21">
        <f t="shared" si="21"/>
        <v>769.5</v>
      </c>
      <c r="AA30" s="21">
        <f t="shared" si="21"/>
        <v>1060.2</v>
      </c>
      <c r="AB30" s="21">
        <f t="shared" si="21"/>
        <v>769.5</v>
      </c>
      <c r="AC30" s="21">
        <f t="shared" si="21"/>
        <v>1197</v>
      </c>
    </row>
    <row r="31" spans="1:30" ht="14.6" x14ac:dyDescent="0.4">
      <c r="H31" s="39"/>
      <c r="L31" s="39"/>
    </row>
    <row r="32" spans="1:30" ht="14.6" x14ac:dyDescent="0.4">
      <c r="A32" s="71" t="s">
        <v>254</v>
      </c>
      <c r="B32" t="s">
        <v>255</v>
      </c>
    </row>
    <row r="33" spans="1:34" ht="15.75" customHeight="1" x14ac:dyDescent="0.4"/>
    <row r="34" spans="1:34" ht="15.75" customHeight="1" x14ac:dyDescent="0.4"/>
    <row r="35" spans="1:34" ht="15" customHeight="1" x14ac:dyDescent="0.4">
      <c r="A35" s="247" t="s">
        <v>256</v>
      </c>
      <c r="B35" s="248"/>
      <c r="C35" s="248"/>
      <c r="D35" s="249"/>
      <c r="E35" s="126" t="s">
        <v>3</v>
      </c>
      <c r="F35" s="133"/>
      <c r="G35" s="133"/>
      <c r="H35" s="133"/>
      <c r="I35" s="133"/>
      <c r="J35" s="133"/>
      <c r="K35" s="133"/>
      <c r="L35" s="133"/>
      <c r="M35" s="133"/>
      <c r="N35" s="134"/>
      <c r="O35" s="133"/>
      <c r="P35" s="133"/>
      <c r="Q35" s="133"/>
      <c r="R35" s="133"/>
      <c r="S35" s="133"/>
      <c r="T35" s="138" t="s">
        <v>4</v>
      </c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</row>
    <row r="36" spans="1:34" ht="15" customHeight="1" x14ac:dyDescent="0.4">
      <c r="A36" s="250"/>
      <c r="B36" s="251"/>
      <c r="C36" s="251"/>
      <c r="D36" s="252"/>
      <c r="E36" s="130"/>
      <c r="F36" s="131"/>
      <c r="G36" s="131"/>
      <c r="H36" s="131"/>
      <c r="I36" s="131"/>
      <c r="J36" s="131"/>
      <c r="K36" s="131"/>
      <c r="L36" s="131"/>
      <c r="M36" s="131"/>
      <c r="N36" s="179"/>
      <c r="O36" s="131"/>
      <c r="P36" s="131"/>
      <c r="Q36" s="131"/>
      <c r="R36" s="131"/>
      <c r="S36" s="131"/>
      <c r="T36" s="2">
        <f>MROUND(SUM(T38:T45),1)</f>
        <v>1684</v>
      </c>
      <c r="U36" s="2">
        <f t="shared" ref="U36:AC36" si="22">MROUND(SUM(U38:U45),1)</f>
        <v>2593</v>
      </c>
      <c r="V36" s="2">
        <f>MROUND(SUM(V38:V45),1)</f>
        <v>1821</v>
      </c>
      <c r="W36" s="2">
        <f t="shared" si="22"/>
        <v>2593</v>
      </c>
      <c r="X36" s="2">
        <f t="shared" si="22"/>
        <v>1684</v>
      </c>
      <c r="Y36" s="2">
        <f t="shared" si="22"/>
        <v>4132</v>
      </c>
      <c r="Z36" s="2">
        <f t="shared" si="22"/>
        <v>1684</v>
      </c>
      <c r="AA36" s="2">
        <f t="shared" si="22"/>
        <v>2593</v>
      </c>
      <c r="AB36" s="2">
        <f t="shared" si="22"/>
        <v>1821</v>
      </c>
      <c r="AC36" s="2">
        <f t="shared" si="22"/>
        <v>2593</v>
      </c>
      <c r="AD36" s="2">
        <f>MROUND(SUM(AD38:AD45),1)</f>
        <v>1684</v>
      </c>
      <c r="AE36" s="2">
        <f>MROUND(SUM(AE38:AE45),1)</f>
        <v>4132</v>
      </c>
      <c r="AF36" s="2">
        <f t="shared" ref="AF36:AG36" si="23">MROUND(SUM(AF38:AF45),1)</f>
        <v>1684</v>
      </c>
      <c r="AG36" s="2">
        <f t="shared" si="23"/>
        <v>2593</v>
      </c>
      <c r="AH36" s="2">
        <f t="shared" ref="AH36" si="24">MROUND(SUM(AH38:AH45),1)</f>
        <v>1821</v>
      </c>
    </row>
    <row r="37" spans="1:34" ht="14.6" x14ac:dyDescent="0.4">
      <c r="A37" s="3" t="s">
        <v>6</v>
      </c>
      <c r="B37" s="3" t="s">
        <v>7</v>
      </c>
      <c r="C37" s="184" t="s">
        <v>8</v>
      </c>
      <c r="D37" s="64" t="s">
        <v>9</v>
      </c>
      <c r="E37" s="5" t="s">
        <v>167</v>
      </c>
      <c r="F37" s="5" t="s">
        <v>168</v>
      </c>
      <c r="G37" s="5" t="s">
        <v>169</v>
      </c>
      <c r="H37" s="5" t="s">
        <v>170</v>
      </c>
      <c r="I37" s="5" t="s">
        <v>171</v>
      </c>
      <c r="J37" s="5" t="s">
        <v>172</v>
      </c>
      <c r="K37" s="5" t="s">
        <v>173</v>
      </c>
      <c r="L37" s="5" t="s">
        <v>174</v>
      </c>
      <c r="M37" s="5" t="s">
        <v>175</v>
      </c>
      <c r="N37" s="5" t="s">
        <v>176</v>
      </c>
      <c r="O37" s="5" t="s">
        <v>257</v>
      </c>
      <c r="P37" s="5" t="s">
        <v>258</v>
      </c>
      <c r="Q37" s="5" t="s">
        <v>259</v>
      </c>
      <c r="R37" s="5" t="s">
        <v>260</v>
      </c>
      <c r="S37" s="5" t="s">
        <v>261</v>
      </c>
      <c r="T37" s="36">
        <v>20000</v>
      </c>
      <c r="U37" s="36">
        <v>40000</v>
      </c>
      <c r="V37" s="36">
        <v>60000</v>
      </c>
      <c r="W37" s="36">
        <v>80000</v>
      </c>
      <c r="X37" s="36">
        <v>100000</v>
      </c>
      <c r="Y37" s="36">
        <v>120000</v>
      </c>
      <c r="Z37" s="36">
        <v>140000</v>
      </c>
      <c r="AA37" s="36">
        <v>1600000</v>
      </c>
      <c r="AB37" s="36">
        <v>180000</v>
      </c>
      <c r="AC37" s="36">
        <v>200000</v>
      </c>
      <c r="AD37" s="36">
        <f>AC37+20000</f>
        <v>220000</v>
      </c>
      <c r="AE37" s="36">
        <f t="shared" ref="AE37:AG37" si="25">AD37+20000</f>
        <v>240000</v>
      </c>
      <c r="AF37" s="36">
        <f t="shared" si="25"/>
        <v>260000</v>
      </c>
      <c r="AG37" s="36">
        <f t="shared" si="25"/>
        <v>280000</v>
      </c>
      <c r="AH37" s="36">
        <f t="shared" ref="AH37" si="26">AG37+20000</f>
        <v>300000</v>
      </c>
    </row>
    <row r="38" spans="1:34" ht="14.6" x14ac:dyDescent="0.4">
      <c r="A38" s="7">
        <v>1</v>
      </c>
      <c r="B38" s="8" t="s">
        <v>41</v>
      </c>
      <c r="C38" s="191" t="s">
        <v>207</v>
      </c>
      <c r="D38" s="9">
        <f>VLOOKUP(C38,'[1]PREÇO ATUAL'!$A:$D,4,0)</f>
        <v>123</v>
      </c>
      <c r="E38" s="10">
        <v>1</v>
      </c>
      <c r="F38" s="10">
        <v>1</v>
      </c>
      <c r="G38" s="10">
        <v>1</v>
      </c>
      <c r="H38" s="10">
        <v>1</v>
      </c>
      <c r="I38" s="10">
        <v>1</v>
      </c>
      <c r="J38" s="10">
        <v>1</v>
      </c>
      <c r="K38" s="10">
        <v>1</v>
      </c>
      <c r="L38" s="10">
        <v>1</v>
      </c>
      <c r="M38" s="10">
        <v>1</v>
      </c>
      <c r="N38" s="10">
        <v>1</v>
      </c>
      <c r="O38" s="10">
        <v>1</v>
      </c>
      <c r="P38" s="10">
        <v>1</v>
      </c>
      <c r="Q38" s="10">
        <v>1</v>
      </c>
      <c r="R38" s="10">
        <v>1</v>
      </c>
      <c r="S38" s="10">
        <v>1</v>
      </c>
      <c r="T38" s="13">
        <f t="shared" ref="T38:T45" si="27">$D38*E38</f>
        <v>123</v>
      </c>
      <c r="U38" s="13">
        <f t="shared" ref="U38:AC45" si="28">$D38*F38</f>
        <v>123</v>
      </c>
      <c r="V38" s="13">
        <f t="shared" si="28"/>
        <v>123</v>
      </c>
      <c r="W38" s="13">
        <f t="shared" si="28"/>
        <v>123</v>
      </c>
      <c r="X38" s="13">
        <f t="shared" si="28"/>
        <v>123</v>
      </c>
      <c r="Y38" s="13">
        <f>$D38*J38</f>
        <v>123</v>
      </c>
      <c r="Z38" s="13">
        <f t="shared" si="28"/>
        <v>123</v>
      </c>
      <c r="AA38" s="13">
        <f t="shared" si="28"/>
        <v>123</v>
      </c>
      <c r="AB38" s="13">
        <f t="shared" si="28"/>
        <v>123</v>
      </c>
      <c r="AC38" s="13">
        <f t="shared" si="28"/>
        <v>123</v>
      </c>
      <c r="AD38" s="13">
        <f t="shared" ref="AD38:AD45" si="29">$D38*O38</f>
        <v>123</v>
      </c>
      <c r="AE38" s="13">
        <f t="shared" ref="AE38:AE45" si="30">$D38*P38</f>
        <v>123</v>
      </c>
      <c r="AF38" s="13">
        <f t="shared" ref="AF38:AF45" si="31">$D38*Q38</f>
        <v>123</v>
      </c>
      <c r="AG38" s="13">
        <f t="shared" ref="AG38:AH45" si="32">$D38*R38</f>
        <v>123</v>
      </c>
      <c r="AH38" s="13">
        <f t="shared" si="32"/>
        <v>123</v>
      </c>
    </row>
    <row r="39" spans="1:34" ht="14.6" x14ac:dyDescent="0.4">
      <c r="A39" s="15">
        <v>2</v>
      </c>
      <c r="B39" s="16" t="s">
        <v>217</v>
      </c>
      <c r="C39" s="192" t="s">
        <v>247</v>
      </c>
      <c r="D39" s="17">
        <f>VLOOKUP(C39,'[1]PREÇO ATUAL'!$A:$D,4,0)</f>
        <v>489</v>
      </c>
      <c r="E39" s="18">
        <v>1</v>
      </c>
      <c r="F39" s="18">
        <v>1</v>
      </c>
      <c r="G39" s="18">
        <v>1</v>
      </c>
      <c r="H39" s="18">
        <v>1</v>
      </c>
      <c r="I39" s="18">
        <v>1</v>
      </c>
      <c r="J39" s="18">
        <v>1</v>
      </c>
      <c r="K39" s="18">
        <v>1</v>
      </c>
      <c r="L39" s="18">
        <v>1</v>
      </c>
      <c r="M39" s="18">
        <v>1</v>
      </c>
      <c r="N39" s="18">
        <v>1</v>
      </c>
      <c r="O39" s="18">
        <v>1</v>
      </c>
      <c r="P39" s="18">
        <v>1</v>
      </c>
      <c r="Q39" s="18">
        <v>1</v>
      </c>
      <c r="R39" s="18">
        <v>1</v>
      </c>
      <c r="S39" s="18">
        <v>1</v>
      </c>
      <c r="T39" s="21">
        <f t="shared" si="27"/>
        <v>489</v>
      </c>
      <c r="U39" s="21">
        <f t="shared" si="28"/>
        <v>489</v>
      </c>
      <c r="V39" s="21">
        <f t="shared" si="28"/>
        <v>489</v>
      </c>
      <c r="W39" s="21">
        <f t="shared" si="28"/>
        <v>489</v>
      </c>
      <c r="X39" s="21">
        <f t="shared" si="28"/>
        <v>489</v>
      </c>
      <c r="Y39" s="21">
        <f t="shared" si="28"/>
        <v>489</v>
      </c>
      <c r="Z39" s="21">
        <f t="shared" si="28"/>
        <v>489</v>
      </c>
      <c r="AA39" s="21">
        <f t="shared" si="28"/>
        <v>489</v>
      </c>
      <c r="AB39" s="21">
        <f t="shared" si="28"/>
        <v>489</v>
      </c>
      <c r="AC39" s="21">
        <f t="shared" si="28"/>
        <v>489</v>
      </c>
      <c r="AD39" s="21">
        <f t="shared" si="29"/>
        <v>489</v>
      </c>
      <c r="AE39" s="21">
        <f t="shared" si="30"/>
        <v>489</v>
      </c>
      <c r="AF39" s="21">
        <f t="shared" si="31"/>
        <v>489</v>
      </c>
      <c r="AG39" s="21">
        <f t="shared" si="32"/>
        <v>489</v>
      </c>
      <c r="AH39" s="21">
        <f t="shared" si="32"/>
        <v>489</v>
      </c>
    </row>
    <row r="40" spans="1:34" ht="14.6" x14ac:dyDescent="0.4">
      <c r="A40" s="7">
        <v>3</v>
      </c>
      <c r="B40" s="8" t="s">
        <v>262</v>
      </c>
      <c r="C40" s="191" t="s">
        <v>263</v>
      </c>
      <c r="D40" s="46">
        <f>VLOOKUP(C40,'[1]PREÇO ATUAL'!$A:$D,4,0)</f>
        <v>675.9</v>
      </c>
      <c r="E40" s="10"/>
      <c r="F40" s="10">
        <v>1</v>
      </c>
      <c r="G40" s="10"/>
      <c r="H40" s="10">
        <v>1</v>
      </c>
      <c r="I40" s="10"/>
      <c r="J40" s="10">
        <v>1</v>
      </c>
      <c r="K40" s="10"/>
      <c r="L40" s="10">
        <v>1</v>
      </c>
      <c r="M40" s="10"/>
      <c r="N40" s="10">
        <v>1</v>
      </c>
      <c r="O40" s="10"/>
      <c r="P40" s="10">
        <v>1</v>
      </c>
      <c r="Q40" s="10"/>
      <c r="R40" s="10">
        <v>1</v>
      </c>
      <c r="S40" s="10"/>
      <c r="T40" s="13">
        <f t="shared" si="27"/>
        <v>0</v>
      </c>
      <c r="U40" s="13">
        <f>$D40*F40</f>
        <v>675.9</v>
      </c>
      <c r="V40" s="13">
        <f t="shared" si="28"/>
        <v>0</v>
      </c>
      <c r="W40" s="13">
        <f>$D40*H40</f>
        <v>675.9</v>
      </c>
      <c r="X40" s="13">
        <f>$D40*I40</f>
        <v>0</v>
      </c>
      <c r="Y40" s="13">
        <f t="shared" si="28"/>
        <v>675.9</v>
      </c>
      <c r="Z40" s="13">
        <f t="shared" si="28"/>
        <v>0</v>
      </c>
      <c r="AA40" s="13">
        <f t="shared" si="28"/>
        <v>675.9</v>
      </c>
      <c r="AB40" s="13">
        <f t="shared" si="28"/>
        <v>0</v>
      </c>
      <c r="AC40" s="13">
        <f t="shared" si="28"/>
        <v>675.9</v>
      </c>
      <c r="AD40" s="13">
        <f t="shared" si="29"/>
        <v>0</v>
      </c>
      <c r="AE40" s="13">
        <f t="shared" si="30"/>
        <v>675.9</v>
      </c>
      <c r="AF40" s="13">
        <f t="shared" si="31"/>
        <v>0</v>
      </c>
      <c r="AG40" s="13">
        <f t="shared" si="32"/>
        <v>675.9</v>
      </c>
      <c r="AH40" s="13">
        <f t="shared" si="32"/>
        <v>0</v>
      </c>
    </row>
    <row r="41" spans="1:34" ht="22.75" x14ac:dyDescent="0.4">
      <c r="A41" s="15">
        <v>4</v>
      </c>
      <c r="B41" s="143" t="s">
        <v>264</v>
      </c>
      <c r="C41" s="192" t="s">
        <v>265</v>
      </c>
      <c r="D41" s="17">
        <f>VLOOKUP(C41,'[1]PREÇO ATUAL'!$A:$D,4,0)</f>
        <v>289</v>
      </c>
      <c r="E41" s="18"/>
      <c r="F41" s="18"/>
      <c r="G41" s="18"/>
      <c r="H41" s="18"/>
      <c r="I41" s="18"/>
      <c r="J41" s="18"/>
      <c r="K41" s="18"/>
      <c r="L41" s="66"/>
      <c r="M41" s="66"/>
      <c r="N41" s="66"/>
      <c r="O41" s="66"/>
      <c r="P41" s="66"/>
      <c r="Q41" s="66"/>
      <c r="R41" s="66"/>
      <c r="S41" s="66"/>
      <c r="T41" s="21">
        <f t="shared" si="27"/>
        <v>0</v>
      </c>
      <c r="U41" s="21">
        <f t="shared" si="28"/>
        <v>0</v>
      </c>
      <c r="V41" s="21">
        <f t="shared" si="28"/>
        <v>0</v>
      </c>
      <c r="W41" s="21">
        <f t="shared" si="28"/>
        <v>0</v>
      </c>
      <c r="X41" s="21">
        <f>$D41*I41</f>
        <v>0</v>
      </c>
      <c r="Y41" s="21">
        <f>$D41*J41</f>
        <v>0</v>
      </c>
      <c r="Z41" s="21">
        <f t="shared" si="28"/>
        <v>0</v>
      </c>
      <c r="AA41" s="21">
        <f t="shared" si="28"/>
        <v>0</v>
      </c>
      <c r="AB41" s="21">
        <f t="shared" si="28"/>
        <v>0</v>
      </c>
      <c r="AC41" s="21">
        <f t="shared" si="28"/>
        <v>0</v>
      </c>
      <c r="AD41" s="21">
        <f t="shared" si="29"/>
        <v>0</v>
      </c>
      <c r="AE41" s="21">
        <f>$D41*P41</f>
        <v>0</v>
      </c>
      <c r="AF41" s="21">
        <f t="shared" si="31"/>
        <v>0</v>
      </c>
      <c r="AG41" s="21">
        <f t="shared" si="32"/>
        <v>0</v>
      </c>
      <c r="AH41" s="21">
        <f>$D41*S41</f>
        <v>0</v>
      </c>
    </row>
    <row r="42" spans="1:34" ht="22.75" x14ac:dyDescent="0.4">
      <c r="A42" s="7">
        <v>5</v>
      </c>
      <c r="B42" s="142" t="s">
        <v>266</v>
      </c>
      <c r="C42" s="191" t="s">
        <v>213</v>
      </c>
      <c r="D42" s="9">
        <f>VLOOKUP(C42,'[1]PREÇO ATUAL'!$A:$D,4,0)</f>
        <v>567.54999999999995</v>
      </c>
      <c r="E42" s="10"/>
      <c r="F42" s="10"/>
      <c r="G42" s="10"/>
      <c r="H42" s="10"/>
      <c r="I42" s="10"/>
      <c r="J42" s="10"/>
      <c r="K42" s="10"/>
      <c r="L42" s="67"/>
      <c r="M42" s="67"/>
      <c r="N42" s="67"/>
      <c r="O42" s="67"/>
      <c r="P42" s="67"/>
      <c r="Q42" s="67"/>
      <c r="R42" s="67"/>
      <c r="S42" s="67"/>
      <c r="T42" s="13">
        <f t="shared" si="27"/>
        <v>0</v>
      </c>
      <c r="U42" s="13">
        <f t="shared" si="28"/>
        <v>0</v>
      </c>
      <c r="V42" s="13">
        <f t="shared" si="28"/>
        <v>0</v>
      </c>
      <c r="W42" s="13">
        <f t="shared" si="28"/>
        <v>0</v>
      </c>
      <c r="X42" s="13">
        <f t="shared" si="28"/>
        <v>0</v>
      </c>
      <c r="Y42" s="13">
        <f>$D42*J42</f>
        <v>0</v>
      </c>
      <c r="Z42" s="13">
        <f t="shared" si="28"/>
        <v>0</v>
      </c>
      <c r="AA42" s="13">
        <f t="shared" si="28"/>
        <v>0</v>
      </c>
      <c r="AB42" s="13">
        <f t="shared" si="28"/>
        <v>0</v>
      </c>
      <c r="AC42" s="13">
        <f t="shared" si="28"/>
        <v>0</v>
      </c>
      <c r="AD42" s="13">
        <f t="shared" si="29"/>
        <v>0</v>
      </c>
      <c r="AE42" s="13">
        <f t="shared" si="30"/>
        <v>0</v>
      </c>
      <c r="AF42" s="13">
        <f t="shared" si="31"/>
        <v>0</v>
      </c>
      <c r="AG42" s="13">
        <f t="shared" si="32"/>
        <v>0</v>
      </c>
      <c r="AH42" s="13">
        <f t="shared" si="32"/>
        <v>0</v>
      </c>
    </row>
    <row r="43" spans="1:34" ht="14.6" x14ac:dyDescent="0.4">
      <c r="A43" s="15">
        <v>6</v>
      </c>
      <c r="B43" s="143" t="s">
        <v>267</v>
      </c>
      <c r="C43" s="192" t="s">
        <v>268</v>
      </c>
      <c r="D43" s="17">
        <f>VLOOKUP(C43,'[1]PREÇO ATUAL'!$A:$D,4,0)</f>
        <v>32.700000000000003</v>
      </c>
      <c r="E43" s="68"/>
      <c r="F43" s="28">
        <v>0.85</v>
      </c>
      <c r="G43" s="18"/>
      <c r="H43" s="28">
        <v>0.85</v>
      </c>
      <c r="I43" s="18"/>
      <c r="J43" s="28">
        <v>0.85</v>
      </c>
      <c r="K43" s="18"/>
      <c r="L43" s="28">
        <v>0.85</v>
      </c>
      <c r="M43" s="66"/>
      <c r="N43" s="28">
        <v>0.85</v>
      </c>
      <c r="O43" s="28"/>
      <c r="P43" s="28">
        <v>0.85</v>
      </c>
      <c r="Q43" s="28"/>
      <c r="R43" s="28">
        <v>0.85</v>
      </c>
      <c r="S43" s="28"/>
      <c r="T43" s="21">
        <f t="shared" si="27"/>
        <v>0</v>
      </c>
      <c r="U43" s="21">
        <f t="shared" si="28"/>
        <v>27.795000000000002</v>
      </c>
      <c r="V43" s="21">
        <f t="shared" si="28"/>
        <v>0</v>
      </c>
      <c r="W43" s="21">
        <f t="shared" si="28"/>
        <v>27.795000000000002</v>
      </c>
      <c r="X43" s="21">
        <f t="shared" si="28"/>
        <v>0</v>
      </c>
      <c r="Y43" s="21">
        <f>$D43*J43</f>
        <v>27.795000000000002</v>
      </c>
      <c r="Z43" s="21">
        <f t="shared" si="28"/>
        <v>0</v>
      </c>
      <c r="AA43" s="21">
        <f t="shared" si="28"/>
        <v>27.795000000000002</v>
      </c>
      <c r="AB43" s="21">
        <f t="shared" si="28"/>
        <v>0</v>
      </c>
      <c r="AC43" s="21">
        <f t="shared" si="28"/>
        <v>27.795000000000002</v>
      </c>
      <c r="AD43" s="21">
        <f t="shared" si="29"/>
        <v>0</v>
      </c>
      <c r="AE43" s="21">
        <f t="shared" si="30"/>
        <v>27.795000000000002</v>
      </c>
      <c r="AF43" s="21">
        <f t="shared" si="31"/>
        <v>0</v>
      </c>
      <c r="AG43" s="21">
        <f t="shared" si="32"/>
        <v>27.795000000000002</v>
      </c>
      <c r="AH43" s="21">
        <f t="shared" si="32"/>
        <v>0</v>
      </c>
    </row>
    <row r="44" spans="1:34" ht="14.6" x14ac:dyDescent="0.4">
      <c r="A44" s="7">
        <v>7</v>
      </c>
      <c r="B44" s="8" t="s">
        <v>152</v>
      </c>
      <c r="C44" s="191" t="s">
        <v>204</v>
      </c>
      <c r="D44" s="9">
        <f>VLOOKUP(C44,'[1]PREÇO ATUAL'!$A:$D,4,0)</f>
        <v>110.2557468128982</v>
      </c>
      <c r="E44" s="48">
        <v>6</v>
      </c>
      <c r="F44" s="48">
        <v>6</v>
      </c>
      <c r="G44" s="48">
        <v>6</v>
      </c>
      <c r="H44" s="48">
        <v>6</v>
      </c>
      <c r="I44" s="48">
        <v>6</v>
      </c>
      <c r="J44" s="48">
        <v>6</v>
      </c>
      <c r="K44" s="48">
        <v>6</v>
      </c>
      <c r="L44" s="48">
        <v>6</v>
      </c>
      <c r="M44" s="48">
        <v>6</v>
      </c>
      <c r="N44" s="48">
        <v>6</v>
      </c>
      <c r="O44" s="48">
        <v>6</v>
      </c>
      <c r="P44" s="48">
        <v>6</v>
      </c>
      <c r="Q44" s="48">
        <v>6</v>
      </c>
      <c r="R44" s="48">
        <v>6</v>
      </c>
      <c r="S44" s="48">
        <v>6</v>
      </c>
      <c r="T44" s="13">
        <f t="shared" si="27"/>
        <v>661.53448087738911</v>
      </c>
      <c r="U44" s="13">
        <f t="shared" si="28"/>
        <v>661.53448087738911</v>
      </c>
      <c r="V44" s="13">
        <f t="shared" si="28"/>
        <v>661.53448087738911</v>
      </c>
      <c r="W44" s="13">
        <f t="shared" si="28"/>
        <v>661.53448087738911</v>
      </c>
      <c r="X44" s="13">
        <f>$D44*I44</f>
        <v>661.53448087738911</v>
      </c>
      <c r="Y44" s="13">
        <f>$D44*J44</f>
        <v>661.53448087738911</v>
      </c>
      <c r="Z44" s="13">
        <f t="shared" si="28"/>
        <v>661.53448087738911</v>
      </c>
      <c r="AA44" s="13">
        <f t="shared" si="28"/>
        <v>661.53448087738911</v>
      </c>
      <c r="AB44" s="13">
        <f t="shared" si="28"/>
        <v>661.53448087738911</v>
      </c>
      <c r="AC44" s="13">
        <f t="shared" si="28"/>
        <v>661.53448087738911</v>
      </c>
      <c r="AD44" s="13">
        <f t="shared" si="29"/>
        <v>661.53448087738911</v>
      </c>
      <c r="AE44" s="13">
        <f t="shared" si="30"/>
        <v>661.53448087738911</v>
      </c>
      <c r="AF44" s="13">
        <f t="shared" si="31"/>
        <v>661.53448087738911</v>
      </c>
      <c r="AG44" s="13">
        <f t="shared" si="32"/>
        <v>661.53448087738911</v>
      </c>
      <c r="AH44" s="13">
        <f t="shared" si="32"/>
        <v>661.53448087738911</v>
      </c>
    </row>
    <row r="45" spans="1:34" ht="14.6" x14ac:dyDescent="0.4">
      <c r="A45" s="15">
        <v>8</v>
      </c>
      <c r="B45" s="16" t="s">
        <v>38</v>
      </c>
      <c r="C45" s="192" t="s">
        <v>39</v>
      </c>
      <c r="D45" s="17">
        <v>342</v>
      </c>
      <c r="E45" s="24">
        <v>1.2</v>
      </c>
      <c r="F45" s="24">
        <v>1.8</v>
      </c>
      <c r="G45" s="24">
        <v>1.6</v>
      </c>
      <c r="H45" s="24">
        <v>1.8</v>
      </c>
      <c r="I45" s="24">
        <v>1.2</v>
      </c>
      <c r="J45" s="24">
        <v>6.3</v>
      </c>
      <c r="K45" s="24">
        <v>1.2</v>
      </c>
      <c r="L45" s="70">
        <v>1.8</v>
      </c>
      <c r="M45" s="70">
        <v>1.6</v>
      </c>
      <c r="N45" s="70">
        <v>1.8</v>
      </c>
      <c r="O45" s="70">
        <v>1.2</v>
      </c>
      <c r="P45" s="70">
        <v>6.3</v>
      </c>
      <c r="Q45" s="70">
        <v>1.2</v>
      </c>
      <c r="R45" s="70">
        <v>1.8</v>
      </c>
      <c r="S45" s="70">
        <v>1.6</v>
      </c>
      <c r="T45" s="21">
        <f t="shared" si="27"/>
        <v>410.4</v>
      </c>
      <c r="U45" s="21">
        <f t="shared" si="28"/>
        <v>615.6</v>
      </c>
      <c r="V45" s="21">
        <f t="shared" si="28"/>
        <v>547.20000000000005</v>
      </c>
      <c r="W45" s="21">
        <f t="shared" si="28"/>
        <v>615.6</v>
      </c>
      <c r="X45" s="21">
        <f t="shared" si="28"/>
        <v>410.4</v>
      </c>
      <c r="Y45" s="21">
        <f>$D45*J45</f>
        <v>2154.6</v>
      </c>
      <c r="Z45" s="21">
        <f t="shared" si="28"/>
        <v>410.4</v>
      </c>
      <c r="AA45" s="21">
        <f t="shared" si="28"/>
        <v>615.6</v>
      </c>
      <c r="AB45" s="21">
        <f t="shared" si="28"/>
        <v>547.20000000000005</v>
      </c>
      <c r="AC45" s="21">
        <f t="shared" si="28"/>
        <v>615.6</v>
      </c>
      <c r="AD45" s="21">
        <f t="shared" si="29"/>
        <v>410.4</v>
      </c>
      <c r="AE45" s="21">
        <f t="shared" si="30"/>
        <v>2154.6</v>
      </c>
      <c r="AF45" s="21">
        <f t="shared" si="31"/>
        <v>410.4</v>
      </c>
      <c r="AG45" s="21">
        <f t="shared" si="32"/>
        <v>615.6</v>
      </c>
      <c r="AH45" s="21">
        <f t="shared" si="32"/>
        <v>547.20000000000005</v>
      </c>
    </row>
    <row r="46" spans="1:34" ht="15.75" customHeight="1" x14ac:dyDescent="0.4"/>
    <row r="47" spans="1:34" ht="15.75" customHeight="1" x14ac:dyDescent="0.4"/>
    <row r="48" spans="1:34" ht="15.75" customHeight="1" x14ac:dyDescent="0.4"/>
    <row r="49" spans="3:4" ht="15.75" customHeight="1" x14ac:dyDescent="0.4">
      <c r="C49" s="145"/>
      <c r="D49" s="145"/>
    </row>
    <row r="50" spans="3:4" ht="14.6" x14ac:dyDescent="0.4"/>
    <row r="51" spans="3:4" ht="30.75" customHeight="1" x14ac:dyDescent="0.4"/>
    <row r="52" spans="3:4" ht="14.6" x14ac:dyDescent="0.4"/>
    <row r="53" spans="3:4" ht="14.6" x14ac:dyDescent="0.4"/>
    <row r="54" spans="3:4" ht="14.6" x14ac:dyDescent="0.4"/>
    <row r="55" spans="3:4" ht="14.6" x14ac:dyDescent="0.4"/>
    <row r="56" spans="3:4" ht="14.6" x14ac:dyDescent="0.4"/>
    <row r="57" spans="3:4" ht="14.6" x14ac:dyDescent="0.4"/>
    <row r="58" spans="3:4" ht="15.75" customHeight="1" x14ac:dyDescent="0.4"/>
    <row r="59" spans="3:4" ht="15.75" customHeight="1" x14ac:dyDescent="0.4"/>
    <row r="60" spans="3:4" ht="15.75" customHeight="1" x14ac:dyDescent="0.4"/>
    <row r="61" spans="3:4" ht="15.75" customHeight="1" x14ac:dyDescent="0.4"/>
    <row r="62" spans="3:4" ht="15.75" customHeight="1" x14ac:dyDescent="0.4"/>
    <row r="63" spans="3:4" ht="15.75" customHeight="1" x14ac:dyDescent="0.4"/>
    <row r="64" spans="3: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</sheetData>
  <mergeCells count="6">
    <mergeCell ref="A20:D21"/>
    <mergeCell ref="T20:AC20"/>
    <mergeCell ref="A1:D2"/>
    <mergeCell ref="A35:D36"/>
    <mergeCell ref="E1:S2"/>
    <mergeCell ref="E20:S21"/>
  </mergeCells>
  <pageMargins left="0.511811024" right="0.511811024" top="0.78740157499999996" bottom="0.78740157499999996" header="0" footer="0"/>
  <pageSetup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F1E66-55B2-4C14-BCAB-73741DFD3E06}">
  <sheetPr codeName="Planilha33">
    <tabColor rgb="FF00FF00"/>
  </sheetPr>
  <dimension ref="A1:AM1011"/>
  <sheetViews>
    <sheetView showGridLines="0" topLeftCell="A9" workbookViewId="0">
      <pane xSplit="4" topLeftCell="E1" activePane="topRight" state="frozen"/>
      <selection activeCell="B23" sqref="B23"/>
      <selection pane="topRight" activeCell="H45" sqref="H45"/>
    </sheetView>
  </sheetViews>
  <sheetFormatPr defaultColWidth="14.3828125" defaultRowHeight="15" customHeight="1" x14ac:dyDescent="0.4"/>
  <cols>
    <col min="1" max="1" width="4.84375" customWidth="1"/>
    <col min="2" max="2" width="54.3828125" customWidth="1"/>
    <col min="3" max="3" width="16" bestFit="1" customWidth="1"/>
    <col min="4" max="4" width="8.53515625" bestFit="1" customWidth="1"/>
    <col min="5" max="9" width="6.84375" bestFit="1" customWidth="1"/>
    <col min="10" max="19" width="6.84375" customWidth="1"/>
    <col min="20" max="29" width="15.69140625" bestFit="1" customWidth="1"/>
    <col min="30" max="34" width="15.69140625" customWidth="1"/>
    <col min="36" max="36" width="15.53515625" bestFit="1" customWidth="1"/>
  </cols>
  <sheetData>
    <row r="1" spans="1:39" ht="15" customHeight="1" x14ac:dyDescent="0.4">
      <c r="A1" s="247" t="s">
        <v>269</v>
      </c>
      <c r="B1" s="248"/>
      <c r="C1" s="248"/>
      <c r="D1" s="249"/>
      <c r="E1" s="126" t="s">
        <v>3</v>
      </c>
      <c r="F1" s="133"/>
      <c r="G1" s="133"/>
      <c r="H1" s="133"/>
      <c r="I1" s="133"/>
      <c r="J1" s="133"/>
      <c r="K1" s="133"/>
      <c r="L1" s="133"/>
      <c r="M1" s="133"/>
      <c r="N1" s="134"/>
      <c r="O1" s="133"/>
      <c r="P1" s="133"/>
      <c r="Q1" s="133"/>
      <c r="R1" s="133"/>
      <c r="S1" s="133"/>
      <c r="T1" s="125" t="s">
        <v>4</v>
      </c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229" t="s">
        <v>5</v>
      </c>
      <c r="AJ1" s="229"/>
      <c r="AK1" s="146" t="s">
        <v>270</v>
      </c>
    </row>
    <row r="2" spans="1:39" ht="15" customHeight="1" x14ac:dyDescent="0.4">
      <c r="A2" s="250"/>
      <c r="B2" s="251"/>
      <c r="C2" s="251"/>
      <c r="D2" s="252"/>
      <c r="E2" s="130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2">
        <f t="shared" ref="T2:AC2" si="0">MROUND(SUM(T4:T17),1)</f>
        <v>2042</v>
      </c>
      <c r="U2" s="2">
        <f t="shared" si="0"/>
        <v>2076</v>
      </c>
      <c r="V2" s="2">
        <f t="shared" si="0"/>
        <v>3108</v>
      </c>
      <c r="W2" s="2">
        <f t="shared" si="0"/>
        <v>2247</v>
      </c>
      <c r="X2" s="2">
        <f t="shared" si="0"/>
        <v>2042</v>
      </c>
      <c r="Y2" s="2">
        <f t="shared" si="0"/>
        <v>6133</v>
      </c>
      <c r="Z2" s="2">
        <f t="shared" si="0"/>
        <v>2042</v>
      </c>
      <c r="AA2" s="2">
        <f t="shared" si="0"/>
        <v>2076</v>
      </c>
      <c r="AB2" s="2">
        <f t="shared" si="0"/>
        <v>3108</v>
      </c>
      <c r="AC2" s="2">
        <f t="shared" si="0"/>
        <v>1905</v>
      </c>
      <c r="AD2" s="2">
        <f t="shared" ref="AD2:AH2" si="1">MROUND(SUM(AD4:AD17),1)</f>
        <v>0</v>
      </c>
      <c r="AE2" s="2">
        <f t="shared" si="1"/>
        <v>0</v>
      </c>
      <c r="AF2" s="2">
        <f t="shared" si="1"/>
        <v>0</v>
      </c>
      <c r="AG2" s="2">
        <f t="shared" si="1"/>
        <v>0</v>
      </c>
      <c r="AH2" s="2">
        <f t="shared" si="1"/>
        <v>0</v>
      </c>
      <c r="AI2" s="221">
        <f>SUM(T2:AC2)</f>
        <v>26779</v>
      </c>
      <c r="AJ2" s="220"/>
    </row>
    <row r="3" spans="1:39" ht="14.6" x14ac:dyDescent="0.4">
      <c r="A3" s="3" t="s">
        <v>6</v>
      </c>
      <c r="B3" s="3" t="s">
        <v>7</v>
      </c>
      <c r="C3" s="184" t="s">
        <v>8</v>
      </c>
      <c r="D3" s="64" t="s">
        <v>9</v>
      </c>
      <c r="E3" s="36" t="s">
        <v>167</v>
      </c>
      <c r="F3" s="36" t="s">
        <v>168</v>
      </c>
      <c r="G3" s="36" t="s">
        <v>169</v>
      </c>
      <c r="H3" s="36" t="s">
        <v>170</v>
      </c>
      <c r="I3" s="36" t="s">
        <v>171</v>
      </c>
      <c r="J3" s="36" t="s">
        <v>172</v>
      </c>
      <c r="K3" s="36" t="s">
        <v>173</v>
      </c>
      <c r="L3" s="36" t="s">
        <v>174</v>
      </c>
      <c r="M3" s="36" t="s">
        <v>175</v>
      </c>
      <c r="N3" s="36" t="s">
        <v>176</v>
      </c>
      <c r="O3" s="148" t="s">
        <v>257</v>
      </c>
      <c r="P3" s="5" t="s">
        <v>258</v>
      </c>
      <c r="Q3" s="5" t="s">
        <v>259</v>
      </c>
      <c r="R3" s="5" t="s">
        <v>260</v>
      </c>
      <c r="S3" s="5" t="s">
        <v>261</v>
      </c>
      <c r="T3" s="36">
        <v>20000</v>
      </c>
      <c r="U3" s="36">
        <v>40000</v>
      </c>
      <c r="V3" s="36">
        <v>60000</v>
      </c>
      <c r="W3" s="36">
        <v>80000</v>
      </c>
      <c r="X3" s="36">
        <v>100000</v>
      </c>
      <c r="Y3" s="36">
        <v>120000</v>
      </c>
      <c r="Z3" s="36">
        <v>140000</v>
      </c>
      <c r="AA3" s="36">
        <v>160000</v>
      </c>
      <c r="AB3" s="36">
        <v>180000</v>
      </c>
      <c r="AC3" s="36">
        <f>AB3+20000</f>
        <v>200000</v>
      </c>
      <c r="AD3" s="36">
        <f t="shared" ref="AD3:AH3" si="2">AC3+20000</f>
        <v>220000</v>
      </c>
      <c r="AE3" s="36">
        <f t="shared" si="2"/>
        <v>240000</v>
      </c>
      <c r="AF3" s="36">
        <f t="shared" si="2"/>
        <v>260000</v>
      </c>
      <c r="AG3" s="36">
        <f t="shared" si="2"/>
        <v>280000</v>
      </c>
      <c r="AH3" s="36">
        <f t="shared" si="2"/>
        <v>300000</v>
      </c>
      <c r="AI3" s="6" t="s">
        <v>20</v>
      </c>
      <c r="AJ3" s="3" t="s">
        <v>21</v>
      </c>
      <c r="AL3">
        <v>1186</v>
      </c>
    </row>
    <row r="4" spans="1:39" ht="14.6" x14ac:dyDescent="0.4">
      <c r="A4" s="7">
        <v>1</v>
      </c>
      <c r="B4" s="8" t="s">
        <v>271</v>
      </c>
      <c r="C4" s="191" t="s">
        <v>227</v>
      </c>
      <c r="D4" s="9">
        <f>VLOOKUP(C4,'[1]PREÇO ATUAL'!$A:$D,4,0)</f>
        <v>13.24</v>
      </c>
      <c r="E4" s="10">
        <v>1</v>
      </c>
      <c r="F4" s="10">
        <v>1</v>
      </c>
      <c r="G4" s="10">
        <v>1</v>
      </c>
      <c r="H4" s="10">
        <v>1</v>
      </c>
      <c r="I4" s="10">
        <v>1</v>
      </c>
      <c r="J4" s="10">
        <v>1</v>
      </c>
      <c r="K4" s="10">
        <v>1</v>
      </c>
      <c r="L4" s="10">
        <v>1</v>
      </c>
      <c r="M4" s="10">
        <v>1</v>
      </c>
      <c r="N4" s="10">
        <v>1</v>
      </c>
      <c r="O4" s="10"/>
      <c r="P4" s="10"/>
      <c r="Q4" s="10"/>
      <c r="R4" s="10"/>
      <c r="S4" s="10"/>
      <c r="T4" s="13">
        <f t="shared" ref="T4:AC4" si="3">$D$4*E4</f>
        <v>13.24</v>
      </c>
      <c r="U4" s="13">
        <f t="shared" si="3"/>
        <v>13.24</v>
      </c>
      <c r="V4" s="13">
        <f t="shared" si="3"/>
        <v>13.24</v>
      </c>
      <c r="W4" s="13">
        <f t="shared" si="3"/>
        <v>13.24</v>
      </c>
      <c r="X4" s="13">
        <f t="shared" si="3"/>
        <v>13.24</v>
      </c>
      <c r="Y4" s="13">
        <f t="shared" si="3"/>
        <v>13.24</v>
      </c>
      <c r="Z4" s="13">
        <f t="shared" si="3"/>
        <v>13.24</v>
      </c>
      <c r="AA4" s="13">
        <f t="shared" si="3"/>
        <v>13.24</v>
      </c>
      <c r="AB4" s="13">
        <f t="shared" si="3"/>
        <v>13.24</v>
      </c>
      <c r="AC4" s="13">
        <f t="shared" si="3"/>
        <v>13.24</v>
      </c>
      <c r="AD4" s="13">
        <f t="shared" ref="AD4:AH4" si="4">$D$4*O4</f>
        <v>0</v>
      </c>
      <c r="AE4" s="13">
        <f t="shared" si="4"/>
        <v>0</v>
      </c>
      <c r="AF4" s="13">
        <f t="shared" si="4"/>
        <v>0</v>
      </c>
      <c r="AG4" s="13">
        <f t="shared" si="4"/>
        <v>0</v>
      </c>
      <c r="AH4" s="13">
        <f t="shared" si="4"/>
        <v>0</v>
      </c>
      <c r="AI4" s="37">
        <f t="shared" ref="AI4:AI17" si="5">AJ4/$AI$2</f>
        <v>4.9441726726166015E-3</v>
      </c>
      <c r="AJ4" s="13">
        <f t="shared" ref="AJ4:AJ17" si="6">SUM(T4:AC4)</f>
        <v>132.39999999999998</v>
      </c>
      <c r="AL4">
        <v>820</v>
      </c>
      <c r="AM4">
        <f>AL4/AL3</f>
        <v>0.69139966273187181</v>
      </c>
    </row>
    <row r="5" spans="1:39" ht="14.6" x14ac:dyDescent="0.4">
      <c r="A5" s="15">
        <v>2</v>
      </c>
      <c r="B5" s="16" t="s">
        <v>272</v>
      </c>
      <c r="C5" s="192" t="s">
        <v>273</v>
      </c>
      <c r="D5" s="17">
        <f>VLOOKUP(C5,'[1]PREÇO ATUAL'!$A:$D,4,0)</f>
        <v>105.9</v>
      </c>
      <c r="E5" s="18">
        <v>1</v>
      </c>
      <c r="F5" s="18">
        <v>1</v>
      </c>
      <c r="G5" s="18">
        <v>1</v>
      </c>
      <c r="H5" s="18">
        <v>1</v>
      </c>
      <c r="I5" s="18">
        <v>1</v>
      </c>
      <c r="J5" s="18">
        <v>1</v>
      </c>
      <c r="K5" s="18">
        <v>1</v>
      </c>
      <c r="L5" s="18">
        <v>1</v>
      </c>
      <c r="M5" s="18">
        <v>1</v>
      </c>
      <c r="N5" s="18">
        <v>1</v>
      </c>
      <c r="O5" s="18"/>
      <c r="P5" s="18"/>
      <c r="Q5" s="18"/>
      <c r="R5" s="18"/>
      <c r="S5" s="18"/>
      <c r="T5" s="21">
        <f t="shared" ref="T5:AC5" si="7">$D$5*E5</f>
        <v>105.9</v>
      </c>
      <c r="U5" s="21">
        <f t="shared" si="7"/>
        <v>105.9</v>
      </c>
      <c r="V5" s="21">
        <f t="shared" si="7"/>
        <v>105.9</v>
      </c>
      <c r="W5" s="21">
        <f t="shared" si="7"/>
        <v>105.9</v>
      </c>
      <c r="X5" s="21">
        <f t="shared" si="7"/>
        <v>105.9</v>
      </c>
      <c r="Y5" s="21">
        <f t="shared" si="7"/>
        <v>105.9</v>
      </c>
      <c r="Z5" s="21">
        <f t="shared" si="7"/>
        <v>105.9</v>
      </c>
      <c r="AA5" s="21">
        <f t="shared" si="7"/>
        <v>105.9</v>
      </c>
      <c r="AB5" s="21">
        <f t="shared" si="7"/>
        <v>105.9</v>
      </c>
      <c r="AC5" s="21">
        <f t="shared" si="7"/>
        <v>105.9</v>
      </c>
      <c r="AD5" s="21">
        <f t="shared" ref="AD5:AH5" si="8">$D$5*O5</f>
        <v>0</v>
      </c>
      <c r="AE5" s="21">
        <f t="shared" si="8"/>
        <v>0</v>
      </c>
      <c r="AF5" s="21">
        <f t="shared" si="8"/>
        <v>0</v>
      </c>
      <c r="AG5" s="21">
        <f t="shared" si="8"/>
        <v>0</v>
      </c>
      <c r="AH5" s="21">
        <f t="shared" si="8"/>
        <v>0</v>
      </c>
      <c r="AI5" s="38">
        <f t="shared" si="5"/>
        <v>3.9545912842152434E-2</v>
      </c>
      <c r="AJ5" s="21">
        <f t="shared" si="6"/>
        <v>1059</v>
      </c>
      <c r="AL5">
        <f>AL3-AL4</f>
        <v>366</v>
      </c>
      <c r="AM5">
        <f>AL5/AL3</f>
        <v>0.30860033726812819</v>
      </c>
    </row>
    <row r="6" spans="1:39" ht="14.6" x14ac:dyDescent="0.4">
      <c r="A6" s="7">
        <v>3</v>
      </c>
      <c r="B6" s="8" t="s">
        <v>72</v>
      </c>
      <c r="C6" s="191" t="s">
        <v>274</v>
      </c>
      <c r="D6" s="9">
        <f>VLOOKUP(C6,'[1]PREÇO ATUAL'!$A:$D,4,0)</f>
        <v>379.9</v>
      </c>
      <c r="E6" s="10">
        <v>1</v>
      </c>
      <c r="F6" s="10">
        <v>1</v>
      </c>
      <c r="G6" s="10">
        <v>1</v>
      </c>
      <c r="H6" s="10">
        <v>1</v>
      </c>
      <c r="I6" s="10">
        <v>1</v>
      </c>
      <c r="J6" s="10">
        <v>1</v>
      </c>
      <c r="K6" s="10">
        <v>1</v>
      </c>
      <c r="L6" s="10">
        <v>1</v>
      </c>
      <c r="M6" s="10">
        <v>1</v>
      </c>
      <c r="N6" s="10">
        <v>1</v>
      </c>
      <c r="O6" s="10"/>
      <c r="P6" s="10"/>
      <c r="Q6" s="10"/>
      <c r="R6" s="10"/>
      <c r="S6" s="10"/>
      <c r="T6" s="13">
        <f t="shared" ref="T6:T8" si="9">D6*E6</f>
        <v>379.9</v>
      </c>
      <c r="U6" s="13">
        <f t="shared" ref="U6:AC6" si="10">$D$6*F6</f>
        <v>379.9</v>
      </c>
      <c r="V6" s="13">
        <f t="shared" si="10"/>
        <v>379.9</v>
      </c>
      <c r="W6" s="13">
        <f t="shared" si="10"/>
        <v>379.9</v>
      </c>
      <c r="X6" s="13">
        <f t="shared" si="10"/>
        <v>379.9</v>
      </c>
      <c r="Y6" s="13">
        <f t="shared" si="10"/>
        <v>379.9</v>
      </c>
      <c r="Z6" s="13">
        <f t="shared" si="10"/>
        <v>379.9</v>
      </c>
      <c r="AA6" s="13">
        <f t="shared" si="10"/>
        <v>379.9</v>
      </c>
      <c r="AB6" s="13">
        <f t="shared" si="10"/>
        <v>379.9</v>
      </c>
      <c r="AC6" s="13">
        <f t="shared" si="10"/>
        <v>379.9</v>
      </c>
      <c r="AD6" s="13">
        <f t="shared" ref="AD6:AH6" si="11">$D$6*O6</f>
        <v>0</v>
      </c>
      <c r="AE6" s="13">
        <f t="shared" si="11"/>
        <v>0</v>
      </c>
      <c r="AF6" s="13">
        <f t="shared" si="11"/>
        <v>0</v>
      </c>
      <c r="AG6" s="13">
        <f t="shared" si="11"/>
        <v>0</v>
      </c>
      <c r="AH6" s="13">
        <f t="shared" si="11"/>
        <v>0</v>
      </c>
      <c r="AI6" s="37">
        <f t="shared" si="5"/>
        <v>0.14186489413346282</v>
      </c>
      <c r="AJ6" s="13">
        <f t="shared" si="6"/>
        <v>3799.0000000000005</v>
      </c>
    </row>
    <row r="7" spans="1:39" ht="14.6" x14ac:dyDescent="0.4">
      <c r="A7" s="15">
        <v>4</v>
      </c>
      <c r="B7" s="16" t="s">
        <v>275</v>
      </c>
      <c r="C7" s="192" t="s">
        <v>276</v>
      </c>
      <c r="D7" s="17">
        <f>VLOOKUP(C7,'[1]PREÇO ATUAL'!$A:$D,4,0)</f>
        <v>133.51</v>
      </c>
      <c r="E7" s="18">
        <v>1</v>
      </c>
      <c r="F7" s="18">
        <v>1</v>
      </c>
      <c r="G7" s="18">
        <v>1</v>
      </c>
      <c r="H7" s="18">
        <v>1</v>
      </c>
      <c r="I7" s="18">
        <v>1</v>
      </c>
      <c r="J7" s="18">
        <v>1</v>
      </c>
      <c r="K7" s="18">
        <v>1</v>
      </c>
      <c r="L7" s="18">
        <v>1</v>
      </c>
      <c r="M7" s="18">
        <v>1</v>
      </c>
      <c r="N7" s="18">
        <v>1</v>
      </c>
      <c r="O7" s="18"/>
      <c r="P7" s="18"/>
      <c r="Q7" s="18"/>
      <c r="R7" s="18"/>
      <c r="S7" s="18"/>
      <c r="T7" s="21">
        <f>D7*E7</f>
        <v>133.51</v>
      </c>
      <c r="U7" s="21">
        <f t="shared" ref="U7:AC7" si="12">$D$7*F7</f>
        <v>133.51</v>
      </c>
      <c r="V7" s="21">
        <f t="shared" si="12"/>
        <v>133.51</v>
      </c>
      <c r="W7" s="21">
        <f t="shared" si="12"/>
        <v>133.51</v>
      </c>
      <c r="X7" s="21">
        <f t="shared" si="12"/>
        <v>133.51</v>
      </c>
      <c r="Y7" s="21">
        <f t="shared" si="12"/>
        <v>133.51</v>
      </c>
      <c r="Z7" s="21">
        <f t="shared" si="12"/>
        <v>133.51</v>
      </c>
      <c r="AA7" s="21">
        <f t="shared" si="12"/>
        <v>133.51</v>
      </c>
      <c r="AB7" s="21">
        <f t="shared" si="12"/>
        <v>133.51</v>
      </c>
      <c r="AC7" s="21">
        <f t="shared" si="12"/>
        <v>133.51</v>
      </c>
      <c r="AD7" s="21">
        <f t="shared" ref="AD7:AH7" si="13">$D$7*O7</f>
        <v>0</v>
      </c>
      <c r="AE7" s="21">
        <f t="shared" si="13"/>
        <v>0</v>
      </c>
      <c r="AF7" s="21">
        <f t="shared" si="13"/>
        <v>0</v>
      </c>
      <c r="AG7" s="21">
        <f t="shared" si="13"/>
        <v>0</v>
      </c>
      <c r="AH7" s="21">
        <f t="shared" si="13"/>
        <v>0</v>
      </c>
      <c r="AI7" s="38">
        <f t="shared" si="5"/>
        <v>4.9856230628477535E-2</v>
      </c>
      <c r="AJ7" s="21">
        <f t="shared" si="6"/>
        <v>1335.1</v>
      </c>
    </row>
    <row r="8" spans="1:39" ht="14.6" x14ac:dyDescent="0.4">
      <c r="A8" s="7">
        <v>5</v>
      </c>
      <c r="B8" s="8" t="s">
        <v>277</v>
      </c>
      <c r="C8" s="191" t="s">
        <v>278</v>
      </c>
      <c r="D8" s="9">
        <f>VLOOKUP(C8,'[1]PREÇO ATUAL'!$A:$D,4,0)</f>
        <v>158.84</v>
      </c>
      <c r="E8" s="10">
        <v>1</v>
      </c>
      <c r="F8" s="10">
        <v>1</v>
      </c>
      <c r="G8" s="10">
        <v>1</v>
      </c>
      <c r="H8" s="10">
        <v>1</v>
      </c>
      <c r="I8" s="10">
        <v>1</v>
      </c>
      <c r="J8" s="10">
        <v>1</v>
      </c>
      <c r="K8" s="10">
        <v>1</v>
      </c>
      <c r="L8" s="10">
        <v>1</v>
      </c>
      <c r="M8" s="10">
        <v>1</v>
      </c>
      <c r="N8" s="10">
        <v>1</v>
      </c>
      <c r="O8" s="10"/>
      <c r="P8" s="10"/>
      <c r="Q8" s="10"/>
      <c r="R8" s="10"/>
      <c r="S8" s="10"/>
      <c r="T8" s="13">
        <f t="shared" si="9"/>
        <v>158.84</v>
      </c>
      <c r="U8" s="13">
        <f t="shared" ref="U8:AC8" si="14">$D$8*F8</f>
        <v>158.84</v>
      </c>
      <c r="V8" s="13">
        <f t="shared" si="14"/>
        <v>158.84</v>
      </c>
      <c r="W8" s="13">
        <f t="shared" si="14"/>
        <v>158.84</v>
      </c>
      <c r="X8" s="13">
        <f t="shared" si="14"/>
        <v>158.84</v>
      </c>
      <c r="Y8" s="13">
        <f t="shared" si="14"/>
        <v>158.84</v>
      </c>
      <c r="Z8" s="13">
        <f t="shared" si="14"/>
        <v>158.84</v>
      </c>
      <c r="AA8" s="13">
        <f t="shared" si="14"/>
        <v>158.84</v>
      </c>
      <c r="AB8" s="13">
        <f t="shared" si="14"/>
        <v>158.84</v>
      </c>
      <c r="AC8" s="13">
        <f t="shared" si="14"/>
        <v>158.84</v>
      </c>
      <c r="AD8" s="13">
        <f t="shared" ref="AD8:AH8" si="15">$D$8*O8</f>
        <v>0</v>
      </c>
      <c r="AE8" s="13">
        <f t="shared" si="15"/>
        <v>0</v>
      </c>
      <c r="AF8" s="13">
        <f t="shared" si="15"/>
        <v>0</v>
      </c>
      <c r="AG8" s="13">
        <f t="shared" si="15"/>
        <v>0</v>
      </c>
      <c r="AH8" s="13">
        <f t="shared" si="15"/>
        <v>0</v>
      </c>
      <c r="AI8" s="37">
        <f t="shared" si="5"/>
        <v>5.9315134993838448E-2</v>
      </c>
      <c r="AJ8" s="13">
        <f t="shared" si="6"/>
        <v>1588.3999999999999</v>
      </c>
    </row>
    <row r="9" spans="1:39" ht="14.6" x14ac:dyDescent="0.4">
      <c r="A9" s="15">
        <v>6</v>
      </c>
      <c r="B9" s="16" t="s">
        <v>250</v>
      </c>
      <c r="C9" s="192" t="s">
        <v>279</v>
      </c>
      <c r="D9" s="17">
        <f>VLOOKUP(C9,'[1]PREÇO ATUAL'!$A:$D,4,0)</f>
        <v>382.62</v>
      </c>
      <c r="E9" s="68"/>
      <c r="F9" s="68"/>
      <c r="G9" s="18">
        <v>1</v>
      </c>
      <c r="H9" s="18"/>
      <c r="I9" s="68"/>
      <c r="J9" s="18">
        <v>1</v>
      </c>
      <c r="K9" s="68"/>
      <c r="L9" s="18"/>
      <c r="M9" s="18">
        <v>1</v>
      </c>
      <c r="N9" s="68"/>
      <c r="O9" s="68"/>
      <c r="P9" s="68"/>
      <c r="Q9" s="68"/>
      <c r="R9" s="68"/>
      <c r="S9" s="68"/>
      <c r="T9" s="21">
        <f t="shared" ref="T9:AC9" si="16">$D$9*E9</f>
        <v>0</v>
      </c>
      <c r="U9" s="21">
        <f t="shared" si="16"/>
        <v>0</v>
      </c>
      <c r="V9" s="21">
        <f t="shared" si="16"/>
        <v>382.62</v>
      </c>
      <c r="W9" s="21">
        <f t="shared" si="16"/>
        <v>0</v>
      </c>
      <c r="X9" s="21">
        <f t="shared" si="16"/>
        <v>0</v>
      </c>
      <c r="Y9" s="21">
        <f t="shared" si="16"/>
        <v>382.62</v>
      </c>
      <c r="Z9" s="21">
        <f t="shared" si="16"/>
        <v>0</v>
      </c>
      <c r="AA9" s="21">
        <f t="shared" si="16"/>
        <v>0</v>
      </c>
      <c r="AB9" s="21">
        <f t="shared" si="16"/>
        <v>382.62</v>
      </c>
      <c r="AC9" s="21">
        <f t="shared" si="16"/>
        <v>0</v>
      </c>
      <c r="AD9" s="21">
        <f t="shared" ref="AD9:AH9" si="17">$D$9*O9</f>
        <v>0</v>
      </c>
      <c r="AE9" s="21">
        <f t="shared" si="17"/>
        <v>0</v>
      </c>
      <c r="AF9" s="21">
        <f t="shared" si="17"/>
        <v>0</v>
      </c>
      <c r="AG9" s="21">
        <f t="shared" si="17"/>
        <v>0</v>
      </c>
      <c r="AH9" s="21">
        <f t="shared" si="17"/>
        <v>0</v>
      </c>
      <c r="AI9" s="38">
        <f t="shared" si="5"/>
        <v>4.2864184622278659E-2</v>
      </c>
      <c r="AJ9" s="21">
        <f t="shared" si="6"/>
        <v>1147.8600000000001</v>
      </c>
    </row>
    <row r="10" spans="1:39" ht="14.6" x14ac:dyDescent="0.4">
      <c r="A10" s="7">
        <v>7</v>
      </c>
      <c r="B10" s="8" t="s">
        <v>280</v>
      </c>
      <c r="C10" s="191" t="s">
        <v>281</v>
      </c>
      <c r="D10" s="9">
        <f>VLOOKUP(C10,'[1]PREÇO ATUAL'!$A:$D,4,0)</f>
        <v>381.11</v>
      </c>
      <c r="E10" s="10"/>
      <c r="F10" s="10"/>
      <c r="G10" s="10"/>
      <c r="H10" s="10"/>
      <c r="I10" s="10"/>
      <c r="J10" s="10">
        <v>1</v>
      </c>
      <c r="K10" s="10"/>
      <c r="L10" s="10"/>
      <c r="M10" s="10"/>
      <c r="N10" s="10"/>
      <c r="O10" s="10"/>
      <c r="P10" s="10"/>
      <c r="Q10" s="10"/>
      <c r="R10" s="10"/>
      <c r="S10" s="10"/>
      <c r="T10" s="13">
        <f t="shared" ref="T10:AC10" si="18">$D$10*E10</f>
        <v>0</v>
      </c>
      <c r="U10" s="13">
        <f t="shared" si="18"/>
        <v>0</v>
      </c>
      <c r="V10" s="13">
        <f t="shared" si="18"/>
        <v>0</v>
      </c>
      <c r="W10" s="13">
        <f t="shared" si="18"/>
        <v>0</v>
      </c>
      <c r="X10" s="13">
        <f t="shared" si="18"/>
        <v>0</v>
      </c>
      <c r="Y10" s="13">
        <f t="shared" si="18"/>
        <v>381.11</v>
      </c>
      <c r="Z10" s="13">
        <f t="shared" si="18"/>
        <v>0</v>
      </c>
      <c r="AA10" s="13">
        <f t="shared" si="18"/>
        <v>0</v>
      </c>
      <c r="AB10" s="13">
        <f t="shared" si="18"/>
        <v>0</v>
      </c>
      <c r="AC10" s="13">
        <f t="shared" si="18"/>
        <v>0</v>
      </c>
      <c r="AD10" s="13">
        <f t="shared" ref="AD10:AH10" si="19">$D$10*O10</f>
        <v>0</v>
      </c>
      <c r="AE10" s="13">
        <f t="shared" si="19"/>
        <v>0</v>
      </c>
      <c r="AF10" s="13">
        <f t="shared" si="19"/>
        <v>0</v>
      </c>
      <c r="AG10" s="13">
        <f t="shared" si="19"/>
        <v>0</v>
      </c>
      <c r="AH10" s="13">
        <f t="shared" si="19"/>
        <v>0</v>
      </c>
      <c r="AI10" s="37">
        <f t="shared" ref="AI10:AI13" si="20">AJ10/$AI$2</f>
        <v>1.4231674072967625E-2</v>
      </c>
      <c r="AJ10" s="13">
        <f t="shared" ref="AJ10:AJ13" si="21">SUM(T10:AC10)</f>
        <v>381.11</v>
      </c>
    </row>
    <row r="11" spans="1:39" ht="14.6" x14ac:dyDescent="0.4">
      <c r="A11" s="15">
        <v>8</v>
      </c>
      <c r="B11" s="16" t="s">
        <v>282</v>
      </c>
      <c r="C11" s="192" t="s">
        <v>283</v>
      </c>
      <c r="D11" s="17">
        <f>VLOOKUP(C11,'[1]PREÇO ATUAL'!$A:$D,4,0)</f>
        <v>1645.2396000000001</v>
      </c>
      <c r="E11" s="68"/>
      <c r="F11" s="68"/>
      <c r="G11" s="18"/>
      <c r="H11" s="18"/>
      <c r="I11" s="68"/>
      <c r="J11" s="18">
        <v>1</v>
      </c>
      <c r="K11" s="68"/>
      <c r="L11" s="18"/>
      <c r="M11" s="18"/>
      <c r="N11" s="68"/>
      <c r="O11" s="68"/>
      <c r="P11" s="68"/>
      <c r="Q11" s="68"/>
      <c r="R11" s="68"/>
      <c r="S11" s="68"/>
      <c r="T11" s="21">
        <f t="shared" ref="T11:AC11" si="22">$D$11*E11</f>
        <v>0</v>
      </c>
      <c r="U11" s="21">
        <f t="shared" si="22"/>
        <v>0</v>
      </c>
      <c r="V11" s="21">
        <f t="shared" si="22"/>
        <v>0</v>
      </c>
      <c r="W11" s="21">
        <f t="shared" si="22"/>
        <v>0</v>
      </c>
      <c r="X11" s="21">
        <f t="shared" si="22"/>
        <v>0</v>
      </c>
      <c r="Y11" s="21">
        <f t="shared" si="22"/>
        <v>1645.2396000000001</v>
      </c>
      <c r="Z11" s="21">
        <f t="shared" si="22"/>
        <v>0</v>
      </c>
      <c r="AA11" s="21">
        <f t="shared" si="22"/>
        <v>0</v>
      </c>
      <c r="AB11" s="21">
        <f t="shared" si="22"/>
        <v>0</v>
      </c>
      <c r="AC11" s="21">
        <f t="shared" si="22"/>
        <v>0</v>
      </c>
      <c r="AD11" s="21">
        <f t="shared" ref="AD11:AH11" si="23">$D$11*O11</f>
        <v>0</v>
      </c>
      <c r="AE11" s="21">
        <f t="shared" si="23"/>
        <v>0</v>
      </c>
      <c r="AF11" s="21">
        <f t="shared" si="23"/>
        <v>0</v>
      </c>
      <c r="AG11" s="21">
        <f t="shared" si="23"/>
        <v>0</v>
      </c>
      <c r="AH11" s="21">
        <f t="shared" si="23"/>
        <v>0</v>
      </c>
      <c r="AI11" s="38">
        <f t="shared" si="20"/>
        <v>6.1437678778147056E-2</v>
      </c>
      <c r="AJ11" s="21">
        <f t="shared" si="21"/>
        <v>1645.2396000000001</v>
      </c>
    </row>
    <row r="12" spans="1:39" ht="14.6" x14ac:dyDescent="0.4">
      <c r="A12" s="7">
        <v>9</v>
      </c>
      <c r="B12" s="8" t="s">
        <v>284</v>
      </c>
      <c r="C12" s="191" t="s">
        <v>285</v>
      </c>
      <c r="D12" s="9">
        <f>VLOOKUP(C12,'[1]PREÇO ATUAL'!$A:$D,4,0)</f>
        <v>205.93</v>
      </c>
      <c r="E12" s="10"/>
      <c r="F12" s="10"/>
      <c r="G12" s="10"/>
      <c r="H12" s="10"/>
      <c r="I12" s="10"/>
      <c r="J12" s="10">
        <v>1</v>
      </c>
      <c r="K12" s="10"/>
      <c r="L12" s="10"/>
      <c r="M12" s="10"/>
      <c r="N12" s="10"/>
      <c r="O12" s="10"/>
      <c r="P12" s="10"/>
      <c r="Q12" s="10"/>
      <c r="R12" s="10"/>
      <c r="S12" s="10"/>
      <c r="T12" s="13">
        <f t="shared" ref="T12:AC12" si="24">$D$12*E12</f>
        <v>0</v>
      </c>
      <c r="U12" s="13">
        <f t="shared" si="24"/>
        <v>0</v>
      </c>
      <c r="V12" s="13">
        <f t="shared" si="24"/>
        <v>0</v>
      </c>
      <c r="W12" s="13">
        <f t="shared" si="24"/>
        <v>0</v>
      </c>
      <c r="X12" s="13">
        <f t="shared" si="24"/>
        <v>0</v>
      </c>
      <c r="Y12" s="13">
        <f t="shared" si="24"/>
        <v>205.93</v>
      </c>
      <c r="Z12" s="13">
        <f t="shared" si="24"/>
        <v>0</v>
      </c>
      <c r="AA12" s="13">
        <f t="shared" si="24"/>
        <v>0</v>
      </c>
      <c r="AB12" s="13">
        <f t="shared" si="24"/>
        <v>0</v>
      </c>
      <c r="AC12" s="13">
        <f t="shared" si="24"/>
        <v>0</v>
      </c>
      <c r="AD12" s="13">
        <f t="shared" ref="AD12:AH12" si="25">$D$12*O12</f>
        <v>0</v>
      </c>
      <c r="AE12" s="13">
        <f t="shared" si="25"/>
        <v>0</v>
      </c>
      <c r="AF12" s="13">
        <f t="shared" si="25"/>
        <v>0</v>
      </c>
      <c r="AG12" s="13">
        <f t="shared" si="25"/>
        <v>0</v>
      </c>
      <c r="AH12" s="13">
        <f t="shared" si="25"/>
        <v>0</v>
      </c>
      <c r="AI12" s="37">
        <f t="shared" si="20"/>
        <v>7.6899809552261099E-3</v>
      </c>
      <c r="AJ12" s="13">
        <f t="shared" si="21"/>
        <v>205.93</v>
      </c>
    </row>
    <row r="13" spans="1:39" ht="14.6" x14ac:dyDescent="0.4">
      <c r="A13" s="15">
        <v>10</v>
      </c>
      <c r="B13" s="16" t="s">
        <v>286</v>
      </c>
      <c r="C13" s="192" t="s">
        <v>287</v>
      </c>
      <c r="D13" s="17">
        <f>VLOOKUP(C13,'[1]PREÇO ATUAL'!$A:$D,4,0)</f>
        <v>690</v>
      </c>
      <c r="E13" s="68"/>
      <c r="F13" s="68"/>
      <c r="G13" s="18"/>
      <c r="H13" s="18"/>
      <c r="I13" s="68"/>
      <c r="J13" s="18">
        <v>1</v>
      </c>
      <c r="K13" s="68"/>
      <c r="L13" s="18"/>
      <c r="M13" s="18"/>
      <c r="N13" s="68"/>
      <c r="O13" s="68"/>
      <c r="P13" s="68"/>
      <c r="Q13" s="68"/>
      <c r="R13" s="68"/>
      <c r="S13" s="68"/>
      <c r="T13" s="21">
        <f t="shared" ref="T13:AC13" si="26">$D$13*E13</f>
        <v>0</v>
      </c>
      <c r="U13" s="21">
        <f t="shared" si="26"/>
        <v>0</v>
      </c>
      <c r="V13" s="21">
        <f t="shared" si="26"/>
        <v>0</v>
      </c>
      <c r="W13" s="21">
        <f t="shared" si="26"/>
        <v>0</v>
      </c>
      <c r="X13" s="21">
        <f t="shared" si="26"/>
        <v>0</v>
      </c>
      <c r="Y13" s="21">
        <f t="shared" si="26"/>
        <v>690</v>
      </c>
      <c r="Z13" s="21">
        <f t="shared" si="26"/>
        <v>0</v>
      </c>
      <c r="AA13" s="21">
        <f t="shared" si="26"/>
        <v>0</v>
      </c>
      <c r="AB13" s="21">
        <f t="shared" si="26"/>
        <v>0</v>
      </c>
      <c r="AC13" s="21">
        <f t="shared" si="26"/>
        <v>0</v>
      </c>
      <c r="AD13" s="21">
        <f t="shared" ref="AD13:AH13" si="27">$D$13*O13</f>
        <v>0</v>
      </c>
      <c r="AE13" s="21">
        <f t="shared" si="27"/>
        <v>0</v>
      </c>
      <c r="AF13" s="21">
        <f t="shared" si="27"/>
        <v>0</v>
      </c>
      <c r="AG13" s="21">
        <f t="shared" si="27"/>
        <v>0</v>
      </c>
      <c r="AH13" s="21">
        <f t="shared" si="27"/>
        <v>0</v>
      </c>
      <c r="AI13" s="38">
        <f t="shared" si="20"/>
        <v>2.5766458792337278E-2</v>
      </c>
      <c r="AJ13" s="21">
        <f t="shared" si="21"/>
        <v>690</v>
      </c>
    </row>
    <row r="14" spans="1:39" ht="14.6" x14ac:dyDescent="0.4">
      <c r="A14" s="7">
        <v>11</v>
      </c>
      <c r="B14" s="8" t="s">
        <v>288</v>
      </c>
      <c r="C14" s="191" t="s">
        <v>268</v>
      </c>
      <c r="D14" s="9">
        <f>VLOOKUP(C14,'[1]PREÇO ATUAL'!$A:$D,4,0)</f>
        <v>32.700000000000003</v>
      </c>
      <c r="E14" s="48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13">
        <f t="shared" ref="T14:AC14" si="28">$D$14*E14</f>
        <v>0</v>
      </c>
      <c r="U14" s="13">
        <f t="shared" si="28"/>
        <v>0</v>
      </c>
      <c r="V14" s="13">
        <f t="shared" si="28"/>
        <v>0</v>
      </c>
      <c r="W14" s="13">
        <f t="shared" si="28"/>
        <v>0</v>
      </c>
      <c r="X14" s="13">
        <f t="shared" si="28"/>
        <v>0</v>
      </c>
      <c r="Y14" s="13">
        <f t="shared" si="28"/>
        <v>0</v>
      </c>
      <c r="Z14" s="13">
        <f t="shared" si="28"/>
        <v>0</v>
      </c>
      <c r="AA14" s="13">
        <f t="shared" si="28"/>
        <v>0</v>
      </c>
      <c r="AB14" s="13">
        <f t="shared" si="28"/>
        <v>0</v>
      </c>
      <c r="AC14" s="13">
        <f t="shared" si="28"/>
        <v>0</v>
      </c>
      <c r="AD14" s="13">
        <f t="shared" ref="AD14:AH14" si="29">$D$14*O14</f>
        <v>0</v>
      </c>
      <c r="AE14" s="13">
        <f t="shared" si="29"/>
        <v>0</v>
      </c>
      <c r="AF14" s="13">
        <f t="shared" si="29"/>
        <v>0</v>
      </c>
      <c r="AG14" s="13">
        <f t="shared" si="29"/>
        <v>0</v>
      </c>
      <c r="AH14" s="13">
        <f t="shared" si="29"/>
        <v>0</v>
      </c>
      <c r="AI14" s="37">
        <f t="shared" si="5"/>
        <v>0</v>
      </c>
      <c r="AJ14" s="13">
        <f t="shared" si="6"/>
        <v>0</v>
      </c>
    </row>
    <row r="15" spans="1:39" ht="18" customHeight="1" x14ac:dyDescent="0.4">
      <c r="A15" s="15">
        <v>12</v>
      </c>
      <c r="B15" s="16" t="s">
        <v>289</v>
      </c>
      <c r="C15" s="192" t="s">
        <v>290</v>
      </c>
      <c r="D15" s="17">
        <f>VLOOKUP(C15,'[1]PREÇO ATUAL'!$A:$D,4,0)</f>
        <v>61.98</v>
      </c>
      <c r="E15" s="260" t="s">
        <v>291</v>
      </c>
      <c r="F15" s="261"/>
      <c r="G15" s="261"/>
      <c r="H15" s="261"/>
      <c r="I15" s="261"/>
      <c r="J15" s="261"/>
      <c r="K15" s="261"/>
      <c r="L15" s="261"/>
      <c r="M15" s="261"/>
      <c r="N15" s="261"/>
      <c r="O15" s="175"/>
      <c r="P15" s="175"/>
      <c r="Q15" s="175"/>
      <c r="R15" s="175"/>
      <c r="S15" s="175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38">
        <f t="shared" si="5"/>
        <v>0</v>
      </c>
      <c r="AJ15" s="21">
        <f t="shared" si="6"/>
        <v>0</v>
      </c>
    </row>
    <row r="16" spans="1:39" ht="14.6" x14ac:dyDescent="0.4">
      <c r="A16" s="7">
        <v>13</v>
      </c>
      <c r="B16" s="8" t="s">
        <v>292</v>
      </c>
      <c r="C16" s="191" t="s">
        <v>244</v>
      </c>
      <c r="D16" s="9">
        <f>VLOOKUP(C16,'[1]PREÇO ATUAL'!$A:$D,4,0)</f>
        <v>98.47</v>
      </c>
      <c r="E16" s="117">
        <v>5.75</v>
      </c>
      <c r="F16" s="117">
        <v>5.75</v>
      </c>
      <c r="G16" s="117">
        <v>5.75</v>
      </c>
      <c r="H16" s="23">
        <v>5.75</v>
      </c>
      <c r="I16" s="23">
        <v>5.75</v>
      </c>
      <c r="J16" s="23">
        <v>5.75</v>
      </c>
      <c r="K16" s="23">
        <v>5.75</v>
      </c>
      <c r="L16" s="23">
        <v>5.75</v>
      </c>
      <c r="M16" s="23">
        <v>5.75</v>
      </c>
      <c r="N16" s="23">
        <v>5.75</v>
      </c>
      <c r="O16" s="23"/>
      <c r="P16" s="23"/>
      <c r="Q16" s="23"/>
      <c r="R16" s="23"/>
      <c r="S16" s="23"/>
      <c r="T16" s="13">
        <f t="shared" ref="T16:AC16" si="30">$D$16*E16</f>
        <v>566.20249999999999</v>
      </c>
      <c r="U16" s="13">
        <f t="shared" si="30"/>
        <v>566.20249999999999</v>
      </c>
      <c r="V16" s="13">
        <f t="shared" si="30"/>
        <v>566.20249999999999</v>
      </c>
      <c r="W16" s="13">
        <f t="shared" si="30"/>
        <v>566.20249999999999</v>
      </c>
      <c r="X16" s="13">
        <f t="shared" si="30"/>
        <v>566.20249999999999</v>
      </c>
      <c r="Y16" s="13">
        <f t="shared" si="30"/>
        <v>566.20249999999999</v>
      </c>
      <c r="Z16" s="13">
        <f t="shared" si="30"/>
        <v>566.20249999999999</v>
      </c>
      <c r="AA16" s="13">
        <f t="shared" si="30"/>
        <v>566.20249999999999</v>
      </c>
      <c r="AB16" s="13">
        <f t="shared" si="30"/>
        <v>566.20249999999999</v>
      </c>
      <c r="AC16" s="13">
        <f t="shared" si="30"/>
        <v>566.20249999999999</v>
      </c>
      <c r="AD16" s="13">
        <f t="shared" ref="AD16:AH16" si="31">$D$16*O16</f>
        <v>0</v>
      </c>
      <c r="AE16" s="13">
        <f t="shared" si="31"/>
        <v>0</v>
      </c>
      <c r="AF16" s="13">
        <f t="shared" si="31"/>
        <v>0</v>
      </c>
      <c r="AG16" s="13">
        <f t="shared" si="31"/>
        <v>0</v>
      </c>
      <c r="AH16" s="13">
        <f t="shared" si="31"/>
        <v>0</v>
      </c>
      <c r="AI16" s="37">
        <f t="shared" si="5"/>
        <v>0.21143526644012101</v>
      </c>
      <c r="AJ16" s="13">
        <f t="shared" si="6"/>
        <v>5662.0250000000005</v>
      </c>
    </row>
    <row r="17" spans="1:36" ht="14.6" x14ac:dyDescent="0.4">
      <c r="A17" s="15">
        <v>14</v>
      </c>
      <c r="B17" s="16" t="s">
        <v>293</v>
      </c>
      <c r="C17" s="192" t="s">
        <v>39</v>
      </c>
      <c r="D17" s="17">
        <f>VLOOKUP(C17,'[1]PREÇO ATUAL'!$A:$D,4,0)</f>
        <v>342</v>
      </c>
      <c r="E17" s="24">
        <v>2</v>
      </c>
      <c r="F17" s="24">
        <v>2.1</v>
      </c>
      <c r="G17" s="24">
        <v>4</v>
      </c>
      <c r="H17" s="24">
        <v>2.6</v>
      </c>
      <c r="I17" s="24">
        <v>2</v>
      </c>
      <c r="J17" s="24">
        <v>4.3</v>
      </c>
      <c r="K17" s="24">
        <v>2</v>
      </c>
      <c r="L17" s="24">
        <v>2.1</v>
      </c>
      <c r="M17" s="24">
        <v>4</v>
      </c>
      <c r="N17" s="24">
        <v>1.6</v>
      </c>
      <c r="O17" s="24"/>
      <c r="P17" s="24"/>
      <c r="Q17" s="24"/>
      <c r="R17" s="24"/>
      <c r="S17" s="24"/>
      <c r="T17" s="21">
        <f t="shared" ref="T17:AC17" si="32">$D$17*E17</f>
        <v>684</v>
      </c>
      <c r="U17" s="21">
        <f t="shared" si="32"/>
        <v>718.2</v>
      </c>
      <c r="V17" s="21">
        <f t="shared" si="32"/>
        <v>1368</v>
      </c>
      <c r="W17" s="21">
        <f t="shared" si="32"/>
        <v>889.2</v>
      </c>
      <c r="X17" s="21">
        <f t="shared" si="32"/>
        <v>684</v>
      </c>
      <c r="Y17" s="21">
        <f t="shared" si="32"/>
        <v>1470.6</v>
      </c>
      <c r="Z17" s="21">
        <f t="shared" si="32"/>
        <v>684</v>
      </c>
      <c r="AA17" s="21">
        <f t="shared" si="32"/>
        <v>718.2</v>
      </c>
      <c r="AB17" s="21">
        <f t="shared" si="32"/>
        <v>1368</v>
      </c>
      <c r="AC17" s="21">
        <f t="shared" si="32"/>
        <v>547.20000000000005</v>
      </c>
      <c r="AD17" s="21">
        <f t="shared" ref="AD17:AH17" si="33">$D$17*O17</f>
        <v>0</v>
      </c>
      <c r="AE17" s="21">
        <f t="shared" si="33"/>
        <v>0</v>
      </c>
      <c r="AF17" s="21">
        <f t="shared" si="33"/>
        <v>0</v>
      </c>
      <c r="AG17" s="21">
        <f t="shared" si="33"/>
        <v>0</v>
      </c>
      <c r="AH17" s="21">
        <f t="shared" si="33"/>
        <v>0</v>
      </c>
      <c r="AI17" s="38">
        <f t="shared" si="5"/>
        <v>0.3409910750961575</v>
      </c>
      <c r="AJ17" s="21">
        <f t="shared" si="6"/>
        <v>9131.4000000000015</v>
      </c>
    </row>
    <row r="18" spans="1:36" ht="14.6" x14ac:dyDescent="0.4"/>
    <row r="19" spans="1:36" ht="14.6" x14ac:dyDescent="0.4">
      <c r="A19" s="247" t="s">
        <v>294</v>
      </c>
      <c r="B19" s="248"/>
      <c r="C19" s="248"/>
      <c r="D19" s="249"/>
      <c r="E19" s="126" t="s">
        <v>3</v>
      </c>
      <c r="F19" s="133"/>
      <c r="G19" s="133"/>
      <c r="H19" s="133"/>
      <c r="I19" s="133"/>
      <c r="J19" s="133"/>
      <c r="K19" s="133"/>
      <c r="L19" s="133"/>
      <c r="M19" s="133"/>
      <c r="N19" s="134"/>
      <c r="O19" s="133"/>
      <c r="P19" s="133"/>
      <c r="Q19" s="133"/>
      <c r="R19" s="133"/>
      <c r="S19" s="133"/>
      <c r="T19" s="125" t="s">
        <v>4</v>
      </c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229" t="s">
        <v>5</v>
      </c>
      <c r="AJ19" s="229"/>
    </row>
    <row r="20" spans="1:36" ht="14.6" x14ac:dyDescent="0.4">
      <c r="A20" s="250"/>
      <c r="B20" s="251"/>
      <c r="C20" s="251"/>
      <c r="D20" s="252"/>
      <c r="E20" s="130"/>
      <c r="F20" s="131"/>
      <c r="G20" s="131"/>
      <c r="H20" s="131"/>
      <c r="I20" s="131"/>
      <c r="J20" s="131"/>
      <c r="K20" s="131"/>
      <c r="L20" s="131"/>
      <c r="M20" s="131"/>
      <c r="N20" s="179"/>
      <c r="O20" s="131"/>
      <c r="P20" s="131"/>
      <c r="Q20" s="131"/>
      <c r="R20" s="131"/>
      <c r="S20" s="131"/>
      <c r="T20" s="2">
        <f>MROUND(SUM(T22:T30),1)</f>
        <v>1993</v>
      </c>
      <c r="U20" s="2">
        <f t="shared" ref="U20:AC20" si="34">MROUND(SUM(U22:U30),1)</f>
        <v>2324</v>
      </c>
      <c r="V20" s="2">
        <f t="shared" si="34"/>
        <v>2062</v>
      </c>
      <c r="W20" s="2">
        <f t="shared" si="34"/>
        <v>2324</v>
      </c>
      <c r="X20" s="2">
        <f t="shared" si="34"/>
        <v>1993</v>
      </c>
      <c r="Y20" s="2">
        <f t="shared" si="34"/>
        <v>3487</v>
      </c>
      <c r="Z20" s="2">
        <f t="shared" si="34"/>
        <v>1993</v>
      </c>
      <c r="AA20" s="2">
        <f t="shared" si="34"/>
        <v>2324</v>
      </c>
      <c r="AB20" s="2">
        <f t="shared" si="34"/>
        <v>2062</v>
      </c>
      <c r="AC20" s="2">
        <f t="shared" si="34"/>
        <v>2324</v>
      </c>
      <c r="AD20" s="2">
        <f t="shared" ref="AD20:AG20" si="35">MROUND(SUM(AD22:AD30),1)</f>
        <v>1993</v>
      </c>
      <c r="AE20" s="2">
        <f t="shared" si="35"/>
        <v>3487</v>
      </c>
      <c r="AF20" s="2">
        <f t="shared" si="35"/>
        <v>1993</v>
      </c>
      <c r="AG20" s="2">
        <f t="shared" si="35"/>
        <v>2324</v>
      </c>
      <c r="AH20" s="2">
        <f>MROUND(SUM(AH22:AH30),1)</f>
        <v>2062</v>
      </c>
      <c r="AI20" s="221">
        <f>SUM(T20:AH20)</f>
        <v>34745</v>
      </c>
      <c r="AJ20" s="220"/>
    </row>
    <row r="21" spans="1:36" ht="14.6" x14ac:dyDescent="0.4">
      <c r="A21" s="3" t="s">
        <v>6</v>
      </c>
      <c r="B21" s="3" t="s">
        <v>7</v>
      </c>
      <c r="C21" s="184" t="s">
        <v>8</v>
      </c>
      <c r="D21" s="64" t="s">
        <v>9</v>
      </c>
      <c r="E21" s="36" t="s">
        <v>167</v>
      </c>
      <c r="F21" s="36" t="s">
        <v>168</v>
      </c>
      <c r="G21" s="36" t="s">
        <v>169</v>
      </c>
      <c r="H21" s="36" t="s">
        <v>170</v>
      </c>
      <c r="I21" s="36" t="s">
        <v>171</v>
      </c>
      <c r="J21" s="36" t="s">
        <v>172</v>
      </c>
      <c r="K21" s="36" t="s">
        <v>173</v>
      </c>
      <c r="L21" s="36" t="s">
        <v>174</v>
      </c>
      <c r="M21" s="36" t="s">
        <v>175</v>
      </c>
      <c r="N21" s="36" t="s">
        <v>176</v>
      </c>
      <c r="O21" s="148" t="s">
        <v>257</v>
      </c>
      <c r="P21" s="5" t="s">
        <v>258</v>
      </c>
      <c r="Q21" s="5" t="s">
        <v>259</v>
      </c>
      <c r="R21" s="5" t="s">
        <v>260</v>
      </c>
      <c r="S21" s="5" t="s">
        <v>261</v>
      </c>
      <c r="T21" s="36">
        <v>20000</v>
      </c>
      <c r="U21" s="36">
        <v>40000</v>
      </c>
      <c r="V21" s="36">
        <v>60000</v>
      </c>
      <c r="W21" s="36">
        <v>80000</v>
      </c>
      <c r="X21" s="36">
        <v>100000</v>
      </c>
      <c r="Y21" s="36">
        <v>120000</v>
      </c>
      <c r="Z21" s="36">
        <v>140000</v>
      </c>
      <c r="AA21" s="36">
        <v>160000</v>
      </c>
      <c r="AB21" s="36">
        <v>180000</v>
      </c>
      <c r="AC21" s="36">
        <f>AB21+20000</f>
        <v>200000</v>
      </c>
      <c r="AD21" s="36">
        <f t="shared" ref="AD21:AH21" si="36">AC21+20000</f>
        <v>220000</v>
      </c>
      <c r="AE21" s="36">
        <f t="shared" si="36"/>
        <v>240000</v>
      </c>
      <c r="AF21" s="36">
        <f t="shared" si="36"/>
        <v>260000</v>
      </c>
      <c r="AG21" s="36">
        <f t="shared" si="36"/>
        <v>280000</v>
      </c>
      <c r="AH21" s="36">
        <f t="shared" si="36"/>
        <v>300000</v>
      </c>
      <c r="AI21" s="6" t="s">
        <v>20</v>
      </c>
      <c r="AJ21" s="3" t="s">
        <v>21</v>
      </c>
    </row>
    <row r="22" spans="1:36" ht="14.6" x14ac:dyDescent="0.4">
      <c r="A22" s="7">
        <v>1</v>
      </c>
      <c r="B22" s="8" t="s">
        <v>216</v>
      </c>
      <c r="C22" s="191" t="s">
        <v>207</v>
      </c>
      <c r="D22" s="9">
        <f>VLOOKUP(C22,'[1]PREÇO ATUAL'!$A:$D,4,0)</f>
        <v>123</v>
      </c>
      <c r="E22" s="10">
        <v>1</v>
      </c>
      <c r="F22" s="10">
        <v>1</v>
      </c>
      <c r="G22" s="10">
        <v>1</v>
      </c>
      <c r="H22" s="10">
        <v>1</v>
      </c>
      <c r="I22" s="10">
        <v>1</v>
      </c>
      <c r="J22" s="10">
        <v>1</v>
      </c>
      <c r="K22" s="10">
        <v>1</v>
      </c>
      <c r="L22" s="10">
        <v>1</v>
      </c>
      <c r="M22" s="10">
        <v>1</v>
      </c>
      <c r="N22" s="10">
        <v>1</v>
      </c>
      <c r="O22" s="10">
        <v>1</v>
      </c>
      <c r="P22" s="10">
        <v>1</v>
      </c>
      <c r="Q22" s="10">
        <v>1</v>
      </c>
      <c r="R22" s="10">
        <v>1</v>
      </c>
      <c r="S22" s="10">
        <v>1</v>
      </c>
      <c r="T22" s="13">
        <f t="shared" ref="T22:T29" si="37">$D22*E22</f>
        <v>123</v>
      </c>
      <c r="U22" s="13">
        <f t="shared" ref="U22:U30" si="38">$D22*F22</f>
        <v>123</v>
      </c>
      <c r="V22" s="13">
        <f t="shared" ref="V22:V30" si="39">$D22*G22</f>
        <v>123</v>
      </c>
      <c r="W22" s="13">
        <f t="shared" ref="W22:W30" si="40">$D22*H22</f>
        <v>123</v>
      </c>
      <c r="X22" s="13">
        <f t="shared" ref="X22:X30" si="41">$D22*I22</f>
        <v>123</v>
      </c>
      <c r="Y22" s="13">
        <f t="shared" ref="Y22:Y30" si="42">$D22*J22</f>
        <v>123</v>
      </c>
      <c r="Z22" s="13">
        <f t="shared" ref="Z22:Z30" si="43">$D22*K22</f>
        <v>123</v>
      </c>
      <c r="AA22" s="13">
        <f t="shared" ref="AA22:AA30" si="44">$D22*L22</f>
        <v>123</v>
      </c>
      <c r="AB22" s="13">
        <f t="shared" ref="AB22:AB30" si="45">$D22*M22</f>
        <v>123</v>
      </c>
      <c r="AC22" s="13">
        <f t="shared" ref="AC22:AC30" si="46">$D22*N22</f>
        <v>123</v>
      </c>
      <c r="AD22" s="13">
        <f t="shared" ref="AD22:AH30" si="47">$D22*O22</f>
        <v>123</v>
      </c>
      <c r="AE22" s="13">
        <f t="shared" si="47"/>
        <v>123</v>
      </c>
      <c r="AF22" s="13">
        <f t="shared" si="47"/>
        <v>123</v>
      </c>
      <c r="AG22" s="13">
        <f t="shared" si="47"/>
        <v>123</v>
      </c>
      <c r="AH22" s="13">
        <f t="shared" si="47"/>
        <v>123</v>
      </c>
      <c r="AI22" s="37">
        <f t="shared" ref="AI22:AI30" si="48">AJ22/$AI$2</f>
        <v>6.889727024907577E-2</v>
      </c>
      <c r="AJ22" s="13">
        <f>SUM(T22:AH22)</f>
        <v>1845</v>
      </c>
    </row>
    <row r="23" spans="1:36" ht="14.6" x14ac:dyDescent="0.4">
      <c r="A23" s="15">
        <v>2</v>
      </c>
      <c r="B23" s="16" t="s">
        <v>217</v>
      </c>
      <c r="C23" s="192" t="s">
        <v>295</v>
      </c>
      <c r="D23" s="17">
        <f>VLOOKUP(C23,'[1]PREÇO ATUAL'!$A:$D,4,0)</f>
        <v>519.9</v>
      </c>
      <c r="E23" s="18">
        <v>1</v>
      </c>
      <c r="F23" s="18">
        <v>1</v>
      </c>
      <c r="G23" s="18">
        <v>1</v>
      </c>
      <c r="H23" s="18">
        <v>1</v>
      </c>
      <c r="I23" s="18">
        <v>1</v>
      </c>
      <c r="J23" s="18">
        <v>1</v>
      </c>
      <c r="K23" s="18">
        <v>1</v>
      </c>
      <c r="L23" s="18">
        <v>1</v>
      </c>
      <c r="M23" s="18">
        <v>1</v>
      </c>
      <c r="N23" s="18">
        <v>1</v>
      </c>
      <c r="O23" s="18">
        <v>1</v>
      </c>
      <c r="P23" s="18">
        <v>1</v>
      </c>
      <c r="Q23" s="18">
        <v>1</v>
      </c>
      <c r="R23" s="18">
        <v>1</v>
      </c>
      <c r="S23" s="18">
        <v>1</v>
      </c>
      <c r="T23" s="21">
        <f t="shared" si="37"/>
        <v>519.9</v>
      </c>
      <c r="U23" s="21">
        <f t="shared" si="38"/>
        <v>519.9</v>
      </c>
      <c r="V23" s="21">
        <f t="shared" si="39"/>
        <v>519.9</v>
      </c>
      <c r="W23" s="21">
        <f t="shared" si="40"/>
        <v>519.9</v>
      </c>
      <c r="X23" s="21">
        <f t="shared" si="41"/>
        <v>519.9</v>
      </c>
      <c r="Y23" s="21">
        <f t="shared" si="42"/>
        <v>519.9</v>
      </c>
      <c r="Z23" s="21">
        <f t="shared" si="43"/>
        <v>519.9</v>
      </c>
      <c r="AA23" s="21">
        <f t="shared" si="44"/>
        <v>519.9</v>
      </c>
      <c r="AB23" s="21">
        <f t="shared" si="45"/>
        <v>519.9</v>
      </c>
      <c r="AC23" s="21">
        <f t="shared" si="46"/>
        <v>519.9</v>
      </c>
      <c r="AD23" s="21">
        <f t="shared" si="47"/>
        <v>519.9</v>
      </c>
      <c r="AE23" s="21">
        <f t="shared" si="47"/>
        <v>519.9</v>
      </c>
      <c r="AF23" s="21">
        <f t="shared" si="47"/>
        <v>519.9</v>
      </c>
      <c r="AG23" s="21">
        <f t="shared" si="47"/>
        <v>519.9</v>
      </c>
      <c r="AH23" s="21">
        <f t="shared" si="47"/>
        <v>519.9</v>
      </c>
      <c r="AI23" s="38">
        <f t="shared" si="48"/>
        <v>0.29121699839426407</v>
      </c>
      <c r="AJ23" s="21">
        <f>SUM(T23:AH23)</f>
        <v>7798.4999999999973</v>
      </c>
    </row>
    <row r="24" spans="1:36" ht="14.6" x14ac:dyDescent="0.4">
      <c r="A24" s="7">
        <v>3</v>
      </c>
      <c r="B24" s="8" t="s">
        <v>42</v>
      </c>
      <c r="C24" s="191" t="s">
        <v>296</v>
      </c>
      <c r="D24" s="9">
        <f>VLOOKUP(C24,'[1]PREÇO ATUAL'!$A:$D,4,0)</f>
        <v>175.9</v>
      </c>
      <c r="E24" s="10">
        <v>1</v>
      </c>
      <c r="F24" s="10">
        <v>1</v>
      </c>
      <c r="G24" s="10">
        <v>1</v>
      </c>
      <c r="H24" s="10">
        <v>1</v>
      </c>
      <c r="I24" s="10">
        <v>1</v>
      </c>
      <c r="J24" s="10">
        <v>1</v>
      </c>
      <c r="K24" s="10">
        <v>1</v>
      </c>
      <c r="L24" s="10">
        <v>1</v>
      </c>
      <c r="M24" s="10">
        <v>1</v>
      </c>
      <c r="N24" s="10">
        <v>1</v>
      </c>
      <c r="O24" s="10">
        <v>1</v>
      </c>
      <c r="P24" s="10">
        <v>1</v>
      </c>
      <c r="Q24" s="10">
        <v>1</v>
      </c>
      <c r="R24" s="10">
        <v>1</v>
      </c>
      <c r="S24" s="10">
        <v>1</v>
      </c>
      <c r="T24" s="13">
        <f t="shared" si="37"/>
        <v>175.9</v>
      </c>
      <c r="U24" s="13">
        <f t="shared" si="38"/>
        <v>175.9</v>
      </c>
      <c r="V24" s="13">
        <f t="shared" si="39"/>
        <v>175.9</v>
      </c>
      <c r="W24" s="13">
        <f t="shared" si="40"/>
        <v>175.9</v>
      </c>
      <c r="X24" s="13">
        <f t="shared" si="41"/>
        <v>175.9</v>
      </c>
      <c r="Y24" s="13">
        <f t="shared" si="42"/>
        <v>175.9</v>
      </c>
      <c r="Z24" s="13">
        <f t="shared" si="43"/>
        <v>175.9</v>
      </c>
      <c r="AA24" s="13">
        <f t="shared" si="44"/>
        <v>175.9</v>
      </c>
      <c r="AB24" s="13">
        <f t="shared" si="45"/>
        <v>175.9</v>
      </c>
      <c r="AC24" s="13">
        <f t="shared" si="46"/>
        <v>175.9</v>
      </c>
      <c r="AD24" s="13">
        <f t="shared" si="47"/>
        <v>175.9</v>
      </c>
      <c r="AE24" s="13">
        <f t="shared" si="47"/>
        <v>175.9</v>
      </c>
      <c r="AF24" s="13">
        <f t="shared" si="47"/>
        <v>175.9</v>
      </c>
      <c r="AG24" s="13">
        <f t="shared" si="47"/>
        <v>175.9</v>
      </c>
      <c r="AH24" s="13">
        <f t="shared" si="47"/>
        <v>175.9</v>
      </c>
      <c r="AI24" s="37">
        <f t="shared" si="48"/>
        <v>9.8528697860263678E-2</v>
      </c>
      <c r="AJ24" s="13">
        <f t="shared" ref="AJ24:AJ28" si="49">SUM(T24:AH24)</f>
        <v>2638.5000000000009</v>
      </c>
    </row>
    <row r="25" spans="1:36" ht="22.75" x14ac:dyDescent="0.4">
      <c r="A25" s="15">
        <v>4</v>
      </c>
      <c r="B25" s="143" t="s">
        <v>264</v>
      </c>
      <c r="C25" s="192" t="s">
        <v>265</v>
      </c>
      <c r="D25" s="17">
        <f>VLOOKUP(C25,'[1]PREÇO ATUAL'!$A:$D,4,0)</f>
        <v>289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21">
        <f t="shared" si="37"/>
        <v>0</v>
      </c>
      <c r="U25" s="21">
        <f t="shared" si="38"/>
        <v>0</v>
      </c>
      <c r="V25" s="21">
        <f t="shared" si="39"/>
        <v>0</v>
      </c>
      <c r="W25" s="21">
        <f t="shared" si="40"/>
        <v>0</v>
      </c>
      <c r="X25" s="21">
        <f t="shared" si="41"/>
        <v>0</v>
      </c>
      <c r="Y25" s="21">
        <f t="shared" si="42"/>
        <v>0</v>
      </c>
      <c r="Z25" s="21">
        <f t="shared" si="43"/>
        <v>0</v>
      </c>
      <c r="AA25" s="21">
        <f t="shared" si="44"/>
        <v>0</v>
      </c>
      <c r="AB25" s="21">
        <f t="shared" si="45"/>
        <v>0</v>
      </c>
      <c r="AC25" s="21">
        <f t="shared" si="46"/>
        <v>0</v>
      </c>
      <c r="AD25" s="21">
        <f t="shared" si="47"/>
        <v>0</v>
      </c>
      <c r="AE25" s="21">
        <f t="shared" si="47"/>
        <v>0</v>
      </c>
      <c r="AF25" s="21">
        <f t="shared" si="47"/>
        <v>0</v>
      </c>
      <c r="AG25" s="21">
        <f t="shared" si="47"/>
        <v>0</v>
      </c>
      <c r="AH25" s="21">
        <f t="shared" si="47"/>
        <v>0</v>
      </c>
      <c r="AI25" s="38">
        <f t="shared" si="48"/>
        <v>0</v>
      </c>
      <c r="AJ25" s="21">
        <f>SUM(T25:AH25)</f>
        <v>0</v>
      </c>
    </row>
    <row r="26" spans="1:36" ht="27" customHeight="1" x14ac:dyDescent="0.4">
      <c r="A26" s="7">
        <v>5</v>
      </c>
      <c r="B26" s="142" t="s">
        <v>266</v>
      </c>
      <c r="C26" s="191" t="s">
        <v>213</v>
      </c>
      <c r="D26" s="9">
        <f>VLOOKUP(C26,'[1]PREÇO ATUAL'!$A:$D,4,0)</f>
        <v>567.54999999999995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3">
        <f t="shared" si="37"/>
        <v>0</v>
      </c>
      <c r="U26" s="13">
        <f t="shared" si="38"/>
        <v>0</v>
      </c>
      <c r="V26" s="13">
        <f t="shared" si="39"/>
        <v>0</v>
      </c>
      <c r="W26" s="13">
        <f t="shared" si="40"/>
        <v>0</v>
      </c>
      <c r="X26" s="13">
        <f t="shared" si="41"/>
        <v>0</v>
      </c>
      <c r="Y26" s="13">
        <f t="shared" si="42"/>
        <v>0</v>
      </c>
      <c r="Z26" s="13">
        <f t="shared" si="43"/>
        <v>0</v>
      </c>
      <c r="AA26" s="13">
        <f t="shared" si="44"/>
        <v>0</v>
      </c>
      <c r="AB26" s="13">
        <f t="shared" si="45"/>
        <v>0</v>
      </c>
      <c r="AC26" s="13">
        <f t="shared" si="46"/>
        <v>0</v>
      </c>
      <c r="AD26" s="13">
        <f t="shared" si="47"/>
        <v>0</v>
      </c>
      <c r="AE26" s="13">
        <f t="shared" si="47"/>
        <v>0</v>
      </c>
      <c r="AF26" s="13">
        <f t="shared" si="47"/>
        <v>0</v>
      </c>
      <c r="AG26" s="13">
        <f t="shared" si="47"/>
        <v>0</v>
      </c>
      <c r="AH26" s="13">
        <f t="shared" si="47"/>
        <v>0</v>
      </c>
      <c r="AI26" s="37">
        <f t="shared" si="48"/>
        <v>0</v>
      </c>
      <c r="AJ26" s="13">
        <f>SUM(T26:AH26)</f>
        <v>0</v>
      </c>
    </row>
    <row r="27" spans="1:36" ht="22.75" x14ac:dyDescent="0.4">
      <c r="A27" s="15">
        <v>6</v>
      </c>
      <c r="B27" s="143" t="s">
        <v>297</v>
      </c>
      <c r="C27" s="192" t="s">
        <v>268</v>
      </c>
      <c r="D27" s="17">
        <f>VLOOKUP(C27,'[1]PREÇO ATUAL'!$A:$D,4,0)</f>
        <v>32.700000000000003</v>
      </c>
      <c r="E27" s="68"/>
      <c r="F27" s="68">
        <v>0.7</v>
      </c>
      <c r="G27" s="18"/>
      <c r="H27" s="68">
        <v>0.7</v>
      </c>
      <c r="I27" s="68"/>
      <c r="J27" s="68">
        <v>0.7</v>
      </c>
      <c r="K27" s="68"/>
      <c r="L27" s="68">
        <v>0.7</v>
      </c>
      <c r="M27" s="18"/>
      <c r="N27" s="68">
        <v>0.7</v>
      </c>
      <c r="O27" s="68"/>
      <c r="P27" s="68">
        <v>0.7</v>
      </c>
      <c r="Q27" s="68"/>
      <c r="R27" s="68">
        <v>0.7</v>
      </c>
      <c r="S27" s="68"/>
      <c r="T27" s="21">
        <f t="shared" si="37"/>
        <v>0</v>
      </c>
      <c r="U27" s="21">
        <f t="shared" si="38"/>
        <v>22.89</v>
      </c>
      <c r="V27" s="21">
        <f t="shared" si="39"/>
        <v>0</v>
      </c>
      <c r="W27" s="21">
        <f t="shared" si="40"/>
        <v>22.89</v>
      </c>
      <c r="X27" s="21">
        <f t="shared" si="41"/>
        <v>0</v>
      </c>
      <c r="Y27" s="21">
        <f t="shared" si="42"/>
        <v>22.89</v>
      </c>
      <c r="Z27" s="21">
        <f t="shared" si="43"/>
        <v>0</v>
      </c>
      <c r="AA27" s="21">
        <f t="shared" si="44"/>
        <v>22.89</v>
      </c>
      <c r="AB27" s="21">
        <f t="shared" si="45"/>
        <v>0</v>
      </c>
      <c r="AC27" s="21">
        <f t="shared" si="46"/>
        <v>22.89</v>
      </c>
      <c r="AD27" s="21">
        <f t="shared" si="47"/>
        <v>0</v>
      </c>
      <c r="AE27" s="21">
        <f t="shared" si="47"/>
        <v>22.89</v>
      </c>
      <c r="AF27" s="21">
        <f t="shared" si="47"/>
        <v>0</v>
      </c>
      <c r="AG27" s="21">
        <f t="shared" si="47"/>
        <v>22.89</v>
      </c>
      <c r="AH27" s="21">
        <f t="shared" si="47"/>
        <v>0</v>
      </c>
      <c r="AI27" s="38">
        <f t="shared" si="48"/>
        <v>5.9834198439075404E-3</v>
      </c>
      <c r="AJ27" s="21">
        <f>SUM(T27:AH27)</f>
        <v>160.23000000000002</v>
      </c>
    </row>
    <row r="28" spans="1:36" ht="27" customHeight="1" x14ac:dyDescent="0.4">
      <c r="A28" s="7">
        <v>7</v>
      </c>
      <c r="B28" s="142" t="s">
        <v>298</v>
      </c>
      <c r="C28" s="191" t="s">
        <v>193</v>
      </c>
      <c r="D28" s="9">
        <f>VLOOKUP(C28,'[1]PREÇO ATUAL'!$A:$D,4,0)</f>
        <v>36.591999999999999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3">
        <f t="shared" ref="T28" si="50">$D28*E28</f>
        <v>0</v>
      </c>
      <c r="U28" s="13">
        <f t="shared" si="38"/>
        <v>0</v>
      </c>
      <c r="V28" s="13">
        <f t="shared" si="39"/>
        <v>0</v>
      </c>
      <c r="W28" s="13">
        <f t="shared" si="40"/>
        <v>0</v>
      </c>
      <c r="X28" s="13">
        <f t="shared" si="41"/>
        <v>0</v>
      </c>
      <c r="Y28" s="13">
        <f t="shared" si="42"/>
        <v>0</v>
      </c>
      <c r="Z28" s="13">
        <f t="shared" si="43"/>
        <v>0</v>
      </c>
      <c r="AA28" s="13">
        <f t="shared" si="44"/>
        <v>0</v>
      </c>
      <c r="AB28" s="13">
        <f t="shared" si="45"/>
        <v>0</v>
      </c>
      <c r="AC28" s="13">
        <f t="shared" si="46"/>
        <v>0</v>
      </c>
      <c r="AD28" s="13">
        <f t="shared" si="47"/>
        <v>0</v>
      </c>
      <c r="AE28" s="13">
        <f t="shared" si="47"/>
        <v>0</v>
      </c>
      <c r="AF28" s="13">
        <f t="shared" si="47"/>
        <v>0</v>
      </c>
      <c r="AG28" s="13">
        <f t="shared" si="47"/>
        <v>0</v>
      </c>
      <c r="AH28" s="13">
        <f t="shared" si="47"/>
        <v>0</v>
      </c>
      <c r="AI28" s="37"/>
      <c r="AJ28" s="13">
        <f t="shared" si="49"/>
        <v>0</v>
      </c>
    </row>
    <row r="29" spans="1:36" ht="14.6" x14ac:dyDescent="0.4">
      <c r="A29" s="15">
        <v>8</v>
      </c>
      <c r="B29" s="143" t="s">
        <v>299</v>
      </c>
      <c r="C29" s="192" t="s">
        <v>204</v>
      </c>
      <c r="D29" s="17">
        <f>VLOOKUP(C29,'[1]PREÇO ATUAL'!$A:$D,4,0)</f>
        <v>110.2557468128982</v>
      </c>
      <c r="E29" s="180">
        <v>6</v>
      </c>
      <c r="F29" s="180">
        <v>6</v>
      </c>
      <c r="G29" s="180">
        <v>6</v>
      </c>
      <c r="H29" s="180">
        <v>6</v>
      </c>
      <c r="I29" s="180">
        <v>6</v>
      </c>
      <c r="J29" s="180">
        <v>6</v>
      </c>
      <c r="K29" s="180">
        <v>6</v>
      </c>
      <c r="L29" s="180">
        <v>6</v>
      </c>
      <c r="M29" s="180">
        <v>6</v>
      </c>
      <c r="N29" s="180">
        <v>6</v>
      </c>
      <c r="O29" s="180">
        <v>6</v>
      </c>
      <c r="P29" s="180">
        <v>6</v>
      </c>
      <c r="Q29" s="180">
        <v>6</v>
      </c>
      <c r="R29" s="180">
        <v>6</v>
      </c>
      <c r="S29" s="180">
        <v>6</v>
      </c>
      <c r="T29" s="21">
        <f t="shared" si="37"/>
        <v>661.53448087738911</v>
      </c>
      <c r="U29" s="21">
        <f t="shared" si="38"/>
        <v>661.53448087738911</v>
      </c>
      <c r="V29" s="21">
        <f t="shared" si="39"/>
        <v>661.53448087738911</v>
      </c>
      <c r="W29" s="21">
        <f t="shared" si="40"/>
        <v>661.53448087738911</v>
      </c>
      <c r="X29" s="21">
        <f t="shared" si="41"/>
        <v>661.53448087738911</v>
      </c>
      <c r="Y29" s="21">
        <f t="shared" si="42"/>
        <v>661.53448087738911</v>
      </c>
      <c r="Z29" s="21">
        <f t="shared" si="43"/>
        <v>661.53448087738911</v>
      </c>
      <c r="AA29" s="21">
        <f t="shared" si="44"/>
        <v>661.53448087738911</v>
      </c>
      <c r="AB29" s="21">
        <f t="shared" si="45"/>
        <v>661.53448087738911</v>
      </c>
      <c r="AC29" s="21">
        <f t="shared" si="46"/>
        <v>661.53448087738911</v>
      </c>
      <c r="AD29" s="21">
        <f t="shared" si="47"/>
        <v>661.53448087738911</v>
      </c>
      <c r="AE29" s="21">
        <f t="shared" si="47"/>
        <v>661.53448087738911</v>
      </c>
      <c r="AF29" s="21">
        <f t="shared" si="47"/>
        <v>661.53448087738911</v>
      </c>
      <c r="AG29" s="21">
        <f t="shared" si="47"/>
        <v>661.53448087738911</v>
      </c>
      <c r="AH29" s="21">
        <f t="shared" si="47"/>
        <v>661.53448087738911</v>
      </c>
      <c r="AI29" s="38">
        <f t="shared" si="48"/>
        <v>0.37055219437472781</v>
      </c>
      <c r="AJ29" s="21">
        <f>SUM(T29:AH29)</f>
        <v>9923.017213160836</v>
      </c>
    </row>
    <row r="30" spans="1:36" ht="14.6" x14ac:dyDescent="0.4">
      <c r="A30" s="7">
        <v>9</v>
      </c>
      <c r="B30" s="142" t="s">
        <v>293</v>
      </c>
      <c r="C30" s="191" t="s">
        <v>39</v>
      </c>
      <c r="D30" s="9">
        <f>VLOOKUP(C30,'[1]PREÇO ATUAL'!$A:$D,4,0)</f>
        <v>342</v>
      </c>
      <c r="E30" s="181">
        <v>1.5</v>
      </c>
      <c r="F30" s="181">
        <v>2.4</v>
      </c>
      <c r="G30" s="181">
        <v>1.7</v>
      </c>
      <c r="H30" s="181">
        <v>2.4</v>
      </c>
      <c r="I30" s="181">
        <v>1.5</v>
      </c>
      <c r="J30" s="181">
        <v>5.8</v>
      </c>
      <c r="K30" s="181">
        <v>1.5</v>
      </c>
      <c r="L30" s="181">
        <v>2.4</v>
      </c>
      <c r="M30" s="181">
        <v>1.7</v>
      </c>
      <c r="N30" s="181">
        <v>2.4</v>
      </c>
      <c r="O30" s="181">
        <v>1.5</v>
      </c>
      <c r="P30" s="181">
        <v>5.8</v>
      </c>
      <c r="Q30" s="181">
        <v>1.5</v>
      </c>
      <c r="R30" s="181">
        <v>2.4</v>
      </c>
      <c r="S30" s="181">
        <v>1.7</v>
      </c>
      <c r="T30" s="13">
        <f>$D30*E30</f>
        <v>513</v>
      </c>
      <c r="U30" s="13">
        <f t="shared" si="38"/>
        <v>820.8</v>
      </c>
      <c r="V30" s="13">
        <f t="shared" si="39"/>
        <v>581.4</v>
      </c>
      <c r="W30" s="13">
        <f t="shared" si="40"/>
        <v>820.8</v>
      </c>
      <c r="X30" s="13">
        <f t="shared" si="41"/>
        <v>513</v>
      </c>
      <c r="Y30" s="13">
        <f t="shared" si="42"/>
        <v>1983.6</v>
      </c>
      <c r="Z30" s="13">
        <f t="shared" si="43"/>
        <v>513</v>
      </c>
      <c r="AA30" s="13">
        <f t="shared" si="44"/>
        <v>820.8</v>
      </c>
      <c r="AB30" s="13">
        <f t="shared" si="45"/>
        <v>581.4</v>
      </c>
      <c r="AC30" s="13">
        <f t="shared" si="46"/>
        <v>820.8</v>
      </c>
      <c r="AD30" s="13">
        <f t="shared" si="47"/>
        <v>513</v>
      </c>
      <c r="AE30" s="13">
        <f t="shared" si="47"/>
        <v>1983.6</v>
      </c>
      <c r="AF30" s="13">
        <f t="shared" si="47"/>
        <v>513</v>
      </c>
      <c r="AG30" s="13">
        <f t="shared" si="47"/>
        <v>820.8</v>
      </c>
      <c r="AH30" s="13">
        <f t="shared" si="47"/>
        <v>581.4</v>
      </c>
      <c r="AI30" s="37">
        <f t="shared" si="48"/>
        <v>0.46231748758355429</v>
      </c>
      <c r="AJ30" s="13">
        <f>SUM(T30:AH30)</f>
        <v>12380.4</v>
      </c>
    </row>
    <row r="31" spans="1:36" ht="14.6" x14ac:dyDescent="0.4">
      <c r="F31" s="39"/>
      <c r="H31" s="39"/>
      <c r="J31" s="39"/>
      <c r="L31" s="39"/>
      <c r="N31" s="39"/>
      <c r="O31" s="39"/>
      <c r="P31" s="39"/>
      <c r="Q31" s="39"/>
      <c r="R31" s="39"/>
      <c r="S31" s="39"/>
    </row>
    <row r="32" spans="1:36" ht="15" customHeight="1" x14ac:dyDescent="0.4">
      <c r="A32" s="247" t="s">
        <v>300</v>
      </c>
      <c r="B32" s="248"/>
      <c r="C32" s="248"/>
      <c r="D32" s="249"/>
      <c r="E32" s="255" t="s">
        <v>3</v>
      </c>
      <c r="F32" s="256"/>
      <c r="G32" s="256"/>
      <c r="H32" s="256"/>
      <c r="I32" s="256"/>
      <c r="J32" s="256"/>
      <c r="K32" s="256"/>
      <c r="L32" s="256"/>
      <c r="M32" s="256"/>
      <c r="N32" s="256"/>
      <c r="O32" s="164"/>
      <c r="P32" s="164"/>
      <c r="Q32" s="164"/>
      <c r="R32" s="164"/>
      <c r="S32" s="164"/>
      <c r="T32" s="258" t="s">
        <v>4</v>
      </c>
      <c r="U32" s="259"/>
      <c r="V32" s="259"/>
      <c r="W32" s="259"/>
      <c r="X32" s="259"/>
      <c r="Y32" s="259"/>
      <c r="Z32" s="259"/>
      <c r="AA32" s="259"/>
      <c r="AB32" s="259"/>
      <c r="AC32" s="259"/>
      <c r="AD32" s="165"/>
      <c r="AE32" s="165"/>
      <c r="AF32" s="165"/>
      <c r="AG32" s="165"/>
      <c r="AH32" s="165"/>
      <c r="AI32" s="229" t="s">
        <v>5</v>
      </c>
      <c r="AJ32" s="229"/>
    </row>
    <row r="33" spans="1:36" ht="15" customHeight="1" x14ac:dyDescent="0.4">
      <c r="A33" s="250"/>
      <c r="B33" s="251"/>
      <c r="C33" s="251"/>
      <c r="D33" s="252"/>
      <c r="E33" s="228"/>
      <c r="F33" s="229"/>
      <c r="G33" s="229"/>
      <c r="H33" s="229"/>
      <c r="I33" s="229"/>
      <c r="J33" s="229"/>
      <c r="K33" s="229"/>
      <c r="L33" s="229"/>
      <c r="M33" s="229"/>
      <c r="N33" s="229"/>
      <c r="O33" s="163"/>
      <c r="P33" s="163"/>
      <c r="Q33" s="163"/>
      <c r="R33" s="163"/>
      <c r="S33" s="163"/>
      <c r="T33" s="2">
        <f t="shared" ref="T33:AB33" si="51">MROUND(SUM(T35:T37),1)</f>
        <v>706</v>
      </c>
      <c r="U33" s="2">
        <f t="shared" si="51"/>
        <v>706</v>
      </c>
      <c r="V33" s="2">
        <f t="shared" si="51"/>
        <v>706</v>
      </c>
      <c r="W33" s="2">
        <f t="shared" si="51"/>
        <v>1497</v>
      </c>
      <c r="X33" s="2">
        <f t="shared" si="51"/>
        <v>706</v>
      </c>
      <c r="Y33" s="2">
        <f t="shared" si="51"/>
        <v>706</v>
      </c>
      <c r="Z33" s="2">
        <f t="shared" si="51"/>
        <v>706</v>
      </c>
      <c r="AA33" s="2">
        <f t="shared" si="51"/>
        <v>1497</v>
      </c>
      <c r="AB33" s="2">
        <f t="shared" si="51"/>
        <v>706</v>
      </c>
      <c r="AC33" s="2">
        <f>MROUND(SUM(AC35:AC37),1)</f>
        <v>706</v>
      </c>
      <c r="AD33" s="2">
        <f t="shared" ref="AD33:AH33" si="52">MROUND(SUM(AD35:AD37),1)</f>
        <v>0</v>
      </c>
      <c r="AE33" s="2">
        <f t="shared" si="52"/>
        <v>0</v>
      </c>
      <c r="AF33" s="2">
        <f t="shared" si="52"/>
        <v>0</v>
      </c>
      <c r="AG33" s="2">
        <f t="shared" si="52"/>
        <v>0</v>
      </c>
      <c r="AH33" s="2">
        <f t="shared" si="52"/>
        <v>0</v>
      </c>
      <c r="AI33" s="221">
        <f>SUM(T33:AC33)</f>
        <v>8642</v>
      </c>
      <c r="AJ33" s="220"/>
    </row>
    <row r="34" spans="1:36" ht="14.6" x14ac:dyDescent="0.4">
      <c r="A34" s="3" t="s">
        <v>6</v>
      </c>
      <c r="B34" s="3" t="s">
        <v>7</v>
      </c>
      <c r="C34" s="184" t="s">
        <v>8</v>
      </c>
      <c r="D34" s="64" t="s">
        <v>9</v>
      </c>
      <c r="E34" s="36" t="s">
        <v>167</v>
      </c>
      <c r="F34" s="36" t="s">
        <v>168</v>
      </c>
      <c r="G34" s="36" t="s">
        <v>169</v>
      </c>
      <c r="H34" s="36" t="s">
        <v>170</v>
      </c>
      <c r="I34" s="36" t="s">
        <v>171</v>
      </c>
      <c r="J34" s="36" t="s">
        <v>172</v>
      </c>
      <c r="K34" s="36" t="s">
        <v>173</v>
      </c>
      <c r="L34" s="36" t="s">
        <v>174</v>
      </c>
      <c r="M34" s="36" t="s">
        <v>175</v>
      </c>
      <c r="N34" s="36" t="s">
        <v>176</v>
      </c>
      <c r="O34" s="148" t="s">
        <v>257</v>
      </c>
      <c r="P34" s="5" t="s">
        <v>258</v>
      </c>
      <c r="Q34" s="5" t="s">
        <v>259</v>
      </c>
      <c r="R34" s="5" t="s">
        <v>260</v>
      </c>
      <c r="S34" s="5" t="s">
        <v>261</v>
      </c>
      <c r="T34" s="36">
        <v>20000</v>
      </c>
      <c r="U34" s="36">
        <v>40000</v>
      </c>
      <c r="V34" s="36">
        <v>60000</v>
      </c>
      <c r="W34" s="36">
        <v>80000</v>
      </c>
      <c r="X34" s="36">
        <v>100000</v>
      </c>
      <c r="Y34" s="65">
        <v>120000</v>
      </c>
      <c r="Z34" s="65">
        <v>140000</v>
      </c>
      <c r="AA34" s="65">
        <v>160000</v>
      </c>
      <c r="AB34" s="65">
        <v>180000</v>
      </c>
      <c r="AC34" s="65">
        <f>AB34+20000</f>
        <v>200000</v>
      </c>
      <c r="AD34" s="65">
        <f t="shared" ref="AD34:AH34" si="53">AC34+20000</f>
        <v>220000</v>
      </c>
      <c r="AE34" s="65">
        <f t="shared" si="53"/>
        <v>240000</v>
      </c>
      <c r="AF34" s="65">
        <f t="shared" si="53"/>
        <v>260000</v>
      </c>
      <c r="AG34" s="65">
        <f t="shared" si="53"/>
        <v>280000</v>
      </c>
      <c r="AH34" s="65">
        <f t="shared" si="53"/>
        <v>300000</v>
      </c>
      <c r="AI34" s="6" t="s">
        <v>20</v>
      </c>
      <c r="AJ34" s="3" t="s">
        <v>21</v>
      </c>
    </row>
    <row r="35" spans="1:36" ht="14.6" x14ac:dyDescent="0.4">
      <c r="A35" s="7">
        <v>1</v>
      </c>
      <c r="B35" s="8" t="s">
        <v>277</v>
      </c>
      <c r="C35" s="191" t="s">
        <v>278</v>
      </c>
      <c r="D35" s="9">
        <f>VLOOKUP(C35,'[1]PREÇO ATUAL'!$A:$D,4,0)</f>
        <v>158.84</v>
      </c>
      <c r="E35" s="10">
        <v>1</v>
      </c>
      <c r="F35" s="10">
        <v>1</v>
      </c>
      <c r="G35" s="10">
        <v>1</v>
      </c>
      <c r="H35" s="10">
        <v>1</v>
      </c>
      <c r="I35" s="10">
        <v>1</v>
      </c>
      <c r="J35" s="10">
        <v>1</v>
      </c>
      <c r="K35" s="10">
        <v>1</v>
      </c>
      <c r="L35" s="10">
        <v>1</v>
      </c>
      <c r="M35" s="10">
        <v>1</v>
      </c>
      <c r="N35" s="10">
        <v>1</v>
      </c>
      <c r="O35" s="10"/>
      <c r="P35" s="10"/>
      <c r="Q35" s="10"/>
      <c r="R35" s="10"/>
      <c r="S35" s="10"/>
      <c r="T35" s="13">
        <f t="shared" ref="T35:AC35" si="54">$D$35*E35</f>
        <v>158.84</v>
      </c>
      <c r="U35" s="13">
        <f t="shared" si="54"/>
        <v>158.84</v>
      </c>
      <c r="V35" s="13">
        <f t="shared" si="54"/>
        <v>158.84</v>
      </c>
      <c r="W35" s="13">
        <f t="shared" si="54"/>
        <v>158.84</v>
      </c>
      <c r="X35" s="13">
        <f t="shared" si="54"/>
        <v>158.84</v>
      </c>
      <c r="Y35" s="72">
        <f t="shared" si="54"/>
        <v>158.84</v>
      </c>
      <c r="Z35" s="72">
        <f t="shared" si="54"/>
        <v>158.84</v>
      </c>
      <c r="AA35" s="72">
        <f t="shared" si="54"/>
        <v>158.84</v>
      </c>
      <c r="AB35" s="72">
        <f t="shared" si="54"/>
        <v>158.84</v>
      </c>
      <c r="AC35" s="72">
        <f t="shared" si="54"/>
        <v>158.84</v>
      </c>
      <c r="AD35" s="72">
        <f t="shared" ref="AD35:AH35" si="55">$D$35*O35</f>
        <v>0</v>
      </c>
      <c r="AE35" s="72">
        <f t="shared" si="55"/>
        <v>0</v>
      </c>
      <c r="AF35" s="72">
        <f t="shared" si="55"/>
        <v>0</v>
      </c>
      <c r="AG35" s="72">
        <f t="shared" si="55"/>
        <v>0</v>
      </c>
      <c r="AH35" s="72">
        <f t="shared" si="55"/>
        <v>0</v>
      </c>
      <c r="AI35" s="37">
        <f>AJ35/$AI$33</f>
        <v>0.18380004628558202</v>
      </c>
      <c r="AJ35" s="13">
        <f>SUM(T35:AC35)</f>
        <v>1588.3999999999999</v>
      </c>
    </row>
    <row r="36" spans="1:36" ht="14.6" x14ac:dyDescent="0.4">
      <c r="A36" s="15">
        <v>2</v>
      </c>
      <c r="B36" s="16" t="s">
        <v>289</v>
      </c>
      <c r="C36" s="192" t="s">
        <v>290</v>
      </c>
      <c r="D36" s="17">
        <f>VLOOKUP(C36,'[1]PREÇO ATUAL'!$A:$D,4,0)</f>
        <v>61.98</v>
      </c>
      <c r="E36" s="68"/>
      <c r="F36" s="68"/>
      <c r="G36" s="68"/>
      <c r="H36" s="18">
        <v>10</v>
      </c>
      <c r="I36" s="18"/>
      <c r="J36" s="18"/>
      <c r="K36" s="18"/>
      <c r="L36" s="18">
        <v>10</v>
      </c>
      <c r="M36" s="18"/>
      <c r="N36" s="18"/>
      <c r="O36" s="18"/>
      <c r="P36" s="18"/>
      <c r="Q36" s="18"/>
      <c r="R36" s="18"/>
      <c r="S36" s="18"/>
      <c r="T36" s="21">
        <f t="shared" ref="T36:AC36" si="56">$D$36*E36</f>
        <v>0</v>
      </c>
      <c r="U36" s="21">
        <f t="shared" si="56"/>
        <v>0</v>
      </c>
      <c r="V36" s="21">
        <f t="shared" si="56"/>
        <v>0</v>
      </c>
      <c r="W36" s="21">
        <f t="shared" si="56"/>
        <v>619.79999999999995</v>
      </c>
      <c r="X36" s="21">
        <f t="shared" si="56"/>
        <v>0</v>
      </c>
      <c r="Y36" s="73">
        <f t="shared" si="56"/>
        <v>0</v>
      </c>
      <c r="Z36" s="73">
        <f t="shared" si="56"/>
        <v>0</v>
      </c>
      <c r="AA36" s="73">
        <f t="shared" si="56"/>
        <v>619.79999999999995</v>
      </c>
      <c r="AB36" s="73">
        <f t="shared" si="56"/>
        <v>0</v>
      </c>
      <c r="AC36" s="73">
        <f t="shared" si="56"/>
        <v>0</v>
      </c>
      <c r="AD36" s="73">
        <f t="shared" ref="AD36:AH36" si="57">$D$36*O36</f>
        <v>0</v>
      </c>
      <c r="AE36" s="73">
        <f t="shared" si="57"/>
        <v>0</v>
      </c>
      <c r="AF36" s="73">
        <f t="shared" si="57"/>
        <v>0</v>
      </c>
      <c r="AG36" s="73">
        <f t="shared" si="57"/>
        <v>0</v>
      </c>
      <c r="AH36" s="73">
        <f t="shared" si="57"/>
        <v>0</v>
      </c>
      <c r="AI36" s="38">
        <f t="shared" ref="AI36:AI37" si="58">AJ36/$AI$33</f>
        <v>0.14343901874566073</v>
      </c>
      <c r="AJ36" s="21">
        <f>SUM(T36:AC36)</f>
        <v>1239.5999999999999</v>
      </c>
    </row>
    <row r="37" spans="1:36" ht="14.6" x14ac:dyDescent="0.4">
      <c r="A37" s="7">
        <v>3</v>
      </c>
      <c r="B37" s="8" t="s">
        <v>293</v>
      </c>
      <c r="C37" s="191" t="s">
        <v>39</v>
      </c>
      <c r="D37" s="9">
        <f>VLOOKUP(C37,'[1]PREÇO ATUAL'!$A:$D,4,0)</f>
        <v>342</v>
      </c>
      <c r="E37" s="45">
        <v>1.6</v>
      </c>
      <c r="F37" s="45">
        <v>1.6</v>
      </c>
      <c r="G37" s="45">
        <v>1.6</v>
      </c>
      <c r="H37" s="45">
        <v>2.1</v>
      </c>
      <c r="I37" s="45">
        <v>1.6</v>
      </c>
      <c r="J37" s="45">
        <v>1.6</v>
      </c>
      <c r="K37" s="45">
        <v>1.6</v>
      </c>
      <c r="L37" s="45">
        <v>2.1</v>
      </c>
      <c r="M37" s="45">
        <v>1.6</v>
      </c>
      <c r="N37" s="45">
        <v>1.6</v>
      </c>
      <c r="O37" s="45"/>
      <c r="P37" s="45"/>
      <c r="Q37" s="45"/>
      <c r="R37" s="45"/>
      <c r="S37" s="45"/>
      <c r="T37" s="13">
        <f>$D$37*E37</f>
        <v>547.20000000000005</v>
      </c>
      <c r="U37" s="13">
        <f t="shared" ref="U37:X37" si="59">$D$37*F37</f>
        <v>547.20000000000005</v>
      </c>
      <c r="V37" s="13">
        <f t="shared" si="59"/>
        <v>547.20000000000005</v>
      </c>
      <c r="W37" s="13">
        <f t="shared" si="59"/>
        <v>718.2</v>
      </c>
      <c r="X37" s="13">
        <f t="shared" si="59"/>
        <v>547.20000000000005</v>
      </c>
      <c r="Y37" s="72">
        <f t="shared" ref="Y37" si="60">$D$37*J37</f>
        <v>547.20000000000005</v>
      </c>
      <c r="Z37" s="72">
        <f t="shared" ref="Z37" si="61">$D$37*K37</f>
        <v>547.20000000000005</v>
      </c>
      <c r="AA37" s="72">
        <f t="shared" ref="AA37" si="62">$D$37*L37</f>
        <v>718.2</v>
      </c>
      <c r="AB37" s="72">
        <f t="shared" ref="AB37" si="63">$D$37*M37</f>
        <v>547.20000000000005</v>
      </c>
      <c r="AC37" s="72">
        <f>$D$37*N37</f>
        <v>547.20000000000005</v>
      </c>
      <c r="AD37" s="72">
        <f t="shared" ref="AD37:AH37" si="64">$D$37*O37</f>
        <v>0</v>
      </c>
      <c r="AE37" s="72">
        <f t="shared" si="64"/>
        <v>0</v>
      </c>
      <c r="AF37" s="72">
        <f t="shared" si="64"/>
        <v>0</v>
      </c>
      <c r="AG37" s="72">
        <f t="shared" si="64"/>
        <v>0</v>
      </c>
      <c r="AH37" s="72">
        <f t="shared" si="64"/>
        <v>0</v>
      </c>
      <c r="AI37" s="37">
        <f t="shared" si="58"/>
        <v>0.67276093496875711</v>
      </c>
      <c r="AJ37" s="13">
        <f>SUM(T37:AC37)</f>
        <v>5813.9999999999991</v>
      </c>
    </row>
    <row r="38" spans="1:36" ht="15.75" customHeight="1" x14ac:dyDescent="0.4"/>
    <row r="39" spans="1:36" ht="15.75" customHeight="1" x14ac:dyDescent="0.4"/>
    <row r="40" spans="1:36" ht="15.75" customHeight="1" x14ac:dyDescent="0.4"/>
    <row r="41" spans="1:36" ht="15.75" customHeight="1" x14ac:dyDescent="0.4"/>
    <row r="42" spans="1:36" ht="15.75" customHeight="1" x14ac:dyDescent="0.4"/>
    <row r="43" spans="1:36" ht="15.75" customHeight="1" x14ac:dyDescent="0.4">
      <c r="B43" s="74"/>
    </row>
    <row r="44" spans="1:36" ht="15.75" customHeight="1" x14ac:dyDescent="0.4"/>
    <row r="45" spans="1:36" ht="15.75" customHeight="1" x14ac:dyDescent="0.4"/>
    <row r="46" spans="1:36" ht="14.6" x14ac:dyDescent="0.4"/>
    <row r="47" spans="1:36" ht="14.6" x14ac:dyDescent="0.4"/>
    <row r="48" spans="1:36" ht="14.6" x14ac:dyDescent="0.4"/>
    <row r="49" ht="14.6" x14ac:dyDescent="0.4"/>
    <row r="50" ht="14.6" x14ac:dyDescent="0.4"/>
    <row r="51" ht="14.6" x14ac:dyDescent="0.4"/>
    <row r="52" ht="14.6" x14ac:dyDescent="0.4"/>
    <row r="53" ht="14.6" x14ac:dyDescent="0.4"/>
    <row r="54" ht="14.6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spans="16:16" ht="15.75" customHeight="1" x14ac:dyDescent="0.4"/>
    <row r="82" spans="16:16" ht="15.75" customHeight="1" x14ac:dyDescent="0.4">
      <c r="P82" s="218" t="s">
        <v>301</v>
      </c>
    </row>
    <row r="83" spans="16:16" ht="15.75" customHeight="1" x14ac:dyDescent="0.4"/>
    <row r="84" spans="16:16" ht="15.75" customHeight="1" x14ac:dyDescent="0.4"/>
    <row r="85" spans="16:16" ht="15.75" customHeight="1" x14ac:dyDescent="0.4"/>
    <row r="86" spans="16:16" ht="15.75" customHeight="1" x14ac:dyDescent="0.4"/>
    <row r="87" spans="16:16" ht="15.75" customHeight="1" x14ac:dyDescent="0.4"/>
    <row r="88" spans="16:16" ht="15.75" customHeight="1" x14ac:dyDescent="0.4"/>
    <row r="89" spans="16:16" ht="15.75" customHeight="1" x14ac:dyDescent="0.4"/>
    <row r="90" spans="16:16" ht="15.75" customHeight="1" x14ac:dyDescent="0.4"/>
    <row r="91" spans="16:16" ht="15.75" customHeight="1" x14ac:dyDescent="0.4"/>
    <row r="92" spans="16:16" ht="15.75" customHeight="1" x14ac:dyDescent="0.4"/>
    <row r="93" spans="16:16" ht="15.75" customHeight="1" x14ac:dyDescent="0.4"/>
    <row r="94" spans="16:16" ht="15.75" customHeight="1" x14ac:dyDescent="0.4"/>
    <row r="95" spans="16:16" ht="15.75" customHeight="1" x14ac:dyDescent="0.4"/>
    <row r="96" spans="16:1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  <row r="1001" ht="15.75" customHeight="1" x14ac:dyDescent="0.4"/>
    <row r="1002" ht="15.75" customHeight="1" x14ac:dyDescent="0.4"/>
    <row r="1003" ht="15.75" customHeight="1" x14ac:dyDescent="0.4"/>
    <row r="1004" ht="15.75" customHeight="1" x14ac:dyDescent="0.4"/>
    <row r="1005" ht="15.75" customHeight="1" x14ac:dyDescent="0.4"/>
    <row r="1006" ht="15.75" customHeight="1" x14ac:dyDescent="0.4"/>
    <row r="1007" ht="15.75" customHeight="1" x14ac:dyDescent="0.4"/>
    <row r="1008" ht="15.75" customHeight="1" x14ac:dyDescent="0.4"/>
    <row r="1009" ht="15.75" customHeight="1" x14ac:dyDescent="0.4"/>
    <row r="1010" ht="15.75" customHeight="1" x14ac:dyDescent="0.4"/>
    <row r="1011" ht="15.75" customHeight="1" x14ac:dyDescent="0.4"/>
  </sheetData>
  <mergeCells count="12">
    <mergeCell ref="AI33:AJ33"/>
    <mergeCell ref="A1:D2"/>
    <mergeCell ref="A32:D33"/>
    <mergeCell ref="E32:N33"/>
    <mergeCell ref="AI1:AJ1"/>
    <mergeCell ref="AI32:AJ32"/>
    <mergeCell ref="T32:AC32"/>
    <mergeCell ref="E15:N15"/>
    <mergeCell ref="AI2:AJ2"/>
    <mergeCell ref="A19:D20"/>
    <mergeCell ref="AI19:AJ19"/>
    <mergeCell ref="AI20:AJ20"/>
  </mergeCells>
  <hyperlinks>
    <hyperlink ref="AK1" location="'PREÇO NACIONAL'!A1" display="Voltar Capa" xr:uid="{EE671347-378B-4E9C-94EC-0E1B566D828C}"/>
  </hyperlinks>
  <pageMargins left="0.511811024" right="0.511811024" top="0.78740157499999996" bottom="0.78740157499999996" header="0" footer="0"/>
  <pageSetup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E231C-8E8E-4ED9-84E9-A6E7DC5EBA5E}">
  <sheetPr codeName="Planilha35">
    <tabColor rgb="FF00FF00"/>
  </sheetPr>
  <dimension ref="A1:AM994"/>
  <sheetViews>
    <sheetView showGridLines="0" tabSelected="1" workbookViewId="0">
      <pane xSplit="4" topLeftCell="E1" activePane="topRight" state="frozen"/>
      <selection activeCell="B23" sqref="B23"/>
      <selection pane="topRight" activeCell="E99" sqref="E99"/>
    </sheetView>
  </sheetViews>
  <sheetFormatPr defaultColWidth="14.3828125" defaultRowHeight="15" customHeight="1" x14ac:dyDescent="0.4"/>
  <cols>
    <col min="1" max="1" width="3.3046875" bestFit="1" customWidth="1"/>
    <col min="2" max="2" width="81.69140625" customWidth="1"/>
    <col min="3" max="3" width="16.84375" bestFit="1" customWidth="1"/>
    <col min="4" max="4" width="7.84375" bestFit="1" customWidth="1"/>
    <col min="5" max="7" width="5.3046875" bestFit="1" customWidth="1"/>
    <col min="8" max="14" width="5.15234375" bestFit="1" customWidth="1"/>
    <col min="15" max="19" width="5.15234375" customWidth="1"/>
    <col min="20" max="29" width="15.69140625" bestFit="1" customWidth="1"/>
    <col min="30" max="34" width="15.69140625" customWidth="1"/>
    <col min="35" max="35" width="7" bestFit="1" customWidth="1"/>
    <col min="36" max="36" width="15.53515625" bestFit="1" customWidth="1"/>
  </cols>
  <sheetData>
    <row r="1" spans="1:39" ht="15" customHeight="1" x14ac:dyDescent="0.4">
      <c r="A1" s="247" t="s">
        <v>0</v>
      </c>
      <c r="B1" s="223"/>
      <c r="C1" s="223"/>
      <c r="D1" s="234"/>
      <c r="E1" s="137" t="s">
        <v>3</v>
      </c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38" t="s">
        <v>4</v>
      </c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229" t="s">
        <v>5</v>
      </c>
      <c r="AJ1" s="229"/>
    </row>
    <row r="2" spans="1:39" ht="15" customHeight="1" x14ac:dyDescent="0.4">
      <c r="A2" s="262"/>
      <c r="B2" s="254"/>
      <c r="C2" s="254"/>
      <c r="D2" s="263"/>
      <c r="E2" s="130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2">
        <f t="shared" ref="T2:AC2" si="0">MROUND(SUM(T4:T14),1)</f>
        <v>2399</v>
      </c>
      <c r="U2" s="2">
        <f t="shared" si="0"/>
        <v>2343</v>
      </c>
      <c r="V2" s="2">
        <f t="shared" si="0"/>
        <v>2027</v>
      </c>
      <c r="W2" s="2">
        <f t="shared" si="0"/>
        <v>2377</v>
      </c>
      <c r="X2" s="2">
        <f t="shared" si="0"/>
        <v>2685</v>
      </c>
      <c r="Y2" s="2">
        <f t="shared" si="0"/>
        <v>2343</v>
      </c>
      <c r="Z2" s="2">
        <f t="shared" si="0"/>
        <v>2027</v>
      </c>
      <c r="AA2" s="2">
        <f t="shared" si="0"/>
        <v>4159</v>
      </c>
      <c r="AB2" s="2">
        <f t="shared" si="0"/>
        <v>2399</v>
      </c>
      <c r="AC2" s="2">
        <f t="shared" si="0"/>
        <v>2629</v>
      </c>
      <c r="AD2" s="161"/>
      <c r="AE2" s="161"/>
      <c r="AF2" s="161"/>
      <c r="AG2" s="161"/>
      <c r="AH2" s="161"/>
      <c r="AI2" s="221">
        <f>SUM(T2:AC2)</f>
        <v>25388</v>
      </c>
      <c r="AJ2" s="220"/>
    </row>
    <row r="3" spans="1:39" ht="14.6" x14ac:dyDescent="0.4">
      <c r="A3" s="3" t="s">
        <v>6</v>
      </c>
      <c r="B3" s="3" t="s">
        <v>7</v>
      </c>
      <c r="C3" s="3" t="s">
        <v>8</v>
      </c>
      <c r="D3" s="64" t="s">
        <v>9</v>
      </c>
      <c r="E3" s="36" t="s">
        <v>167</v>
      </c>
      <c r="F3" s="36" t="s">
        <v>168</v>
      </c>
      <c r="G3" s="36" t="s">
        <v>169</v>
      </c>
      <c r="H3" s="36" t="s">
        <v>170</v>
      </c>
      <c r="I3" s="36" t="s">
        <v>171</v>
      </c>
      <c r="J3" s="36" t="s">
        <v>172</v>
      </c>
      <c r="K3" s="36" t="s">
        <v>173</v>
      </c>
      <c r="L3" s="36" t="s">
        <v>174</v>
      </c>
      <c r="M3" s="36" t="s">
        <v>175</v>
      </c>
      <c r="N3" s="36" t="s">
        <v>176</v>
      </c>
      <c r="O3" s="36"/>
      <c r="P3" s="36"/>
      <c r="Q3" s="36"/>
      <c r="R3" s="36"/>
      <c r="S3" s="36"/>
      <c r="T3" s="36">
        <v>10000</v>
      </c>
      <c r="U3" s="36">
        <v>20000</v>
      </c>
      <c r="V3" s="36">
        <v>30000</v>
      </c>
      <c r="W3" s="36">
        <v>40000</v>
      </c>
      <c r="X3" s="36">
        <v>50000</v>
      </c>
      <c r="Y3" s="36">
        <v>60000</v>
      </c>
      <c r="Z3" s="36">
        <v>70000</v>
      </c>
      <c r="AA3" s="36">
        <v>80000</v>
      </c>
      <c r="AB3" s="36">
        <v>90000</v>
      </c>
      <c r="AC3" s="36">
        <v>100000</v>
      </c>
      <c r="AD3" s="65"/>
      <c r="AE3" s="65"/>
      <c r="AF3" s="65"/>
      <c r="AG3" s="65"/>
      <c r="AH3" s="65"/>
      <c r="AI3" s="6" t="s">
        <v>20</v>
      </c>
      <c r="AJ3" s="3" t="s">
        <v>21</v>
      </c>
      <c r="AL3">
        <v>1186</v>
      </c>
    </row>
    <row r="4" spans="1:39" ht="14.6" x14ac:dyDescent="0.4">
      <c r="A4" s="7">
        <v>1</v>
      </c>
      <c r="B4" s="8" t="s">
        <v>272</v>
      </c>
      <c r="C4" s="191" t="s">
        <v>225</v>
      </c>
      <c r="D4" s="9">
        <f>VLOOKUP(C4,'[1]PREÇO ATUAL'!$A:$D,4,0)</f>
        <v>119.9</v>
      </c>
      <c r="E4" s="10">
        <v>1</v>
      </c>
      <c r="F4" s="10">
        <v>1</v>
      </c>
      <c r="G4" s="10">
        <v>1</v>
      </c>
      <c r="H4" s="10">
        <v>1</v>
      </c>
      <c r="I4" s="10">
        <v>1</v>
      </c>
      <c r="J4" s="10">
        <v>1</v>
      </c>
      <c r="K4" s="10">
        <v>1</v>
      </c>
      <c r="L4" s="10">
        <v>1</v>
      </c>
      <c r="M4" s="10">
        <v>1</v>
      </c>
      <c r="N4" s="10">
        <v>1</v>
      </c>
      <c r="O4" s="10"/>
      <c r="P4" s="10"/>
      <c r="Q4" s="10"/>
      <c r="R4" s="10"/>
      <c r="S4" s="10"/>
      <c r="T4" s="13">
        <f t="shared" ref="T4:AC4" si="1">$D$4*E4</f>
        <v>119.9</v>
      </c>
      <c r="U4" s="13">
        <f t="shared" si="1"/>
        <v>119.9</v>
      </c>
      <c r="V4" s="13">
        <f t="shared" si="1"/>
        <v>119.9</v>
      </c>
      <c r="W4" s="13">
        <f t="shared" si="1"/>
        <v>119.9</v>
      </c>
      <c r="X4" s="13">
        <f t="shared" si="1"/>
        <v>119.9</v>
      </c>
      <c r="Y4" s="13">
        <f t="shared" si="1"/>
        <v>119.9</v>
      </c>
      <c r="Z4" s="13">
        <f t="shared" si="1"/>
        <v>119.9</v>
      </c>
      <c r="AA4" s="13">
        <f t="shared" si="1"/>
        <v>119.9</v>
      </c>
      <c r="AB4" s="13">
        <f t="shared" si="1"/>
        <v>119.9</v>
      </c>
      <c r="AC4" s="13">
        <f t="shared" si="1"/>
        <v>119.9</v>
      </c>
      <c r="AD4" s="72"/>
      <c r="AE4" s="72"/>
      <c r="AF4" s="72"/>
      <c r="AG4" s="72"/>
      <c r="AH4" s="72"/>
      <c r="AI4" s="37">
        <f t="shared" ref="AI4:AI14" si="2">AJ4/$AI$2</f>
        <v>4.7227036395147311E-2</v>
      </c>
      <c r="AJ4" s="13">
        <f t="shared" ref="AJ4:AJ14" si="3">SUM(T4:AC4)</f>
        <v>1199</v>
      </c>
      <c r="AL4">
        <v>820</v>
      </c>
      <c r="AM4">
        <f>AL4/AL3</f>
        <v>0.69139966273187181</v>
      </c>
    </row>
    <row r="5" spans="1:39" ht="14.6" x14ac:dyDescent="0.4">
      <c r="A5" s="15">
        <v>2</v>
      </c>
      <c r="B5" s="16" t="s">
        <v>271</v>
      </c>
      <c r="C5" s="192" t="s">
        <v>302</v>
      </c>
      <c r="D5" s="17">
        <f>VLOOKUP(C5,'[1]PREÇO ATUAL'!$A:$D,4,0)</f>
        <v>13.1274</v>
      </c>
      <c r="E5" s="18">
        <v>1</v>
      </c>
      <c r="F5" s="18">
        <v>1</v>
      </c>
      <c r="G5" s="18">
        <v>1</v>
      </c>
      <c r="H5" s="18">
        <v>1</v>
      </c>
      <c r="I5" s="18">
        <v>1</v>
      </c>
      <c r="J5" s="18">
        <v>1</v>
      </c>
      <c r="K5" s="18">
        <v>1</v>
      </c>
      <c r="L5" s="18">
        <v>1</v>
      </c>
      <c r="M5" s="18">
        <v>1</v>
      </c>
      <c r="N5" s="18">
        <v>1</v>
      </c>
      <c r="O5" s="18"/>
      <c r="P5" s="18"/>
      <c r="Q5" s="18"/>
      <c r="R5" s="18"/>
      <c r="S5" s="18"/>
      <c r="T5" s="21">
        <f t="shared" ref="T5:AC5" si="4">$D$5*E5</f>
        <v>13.1274</v>
      </c>
      <c r="U5" s="21">
        <f t="shared" si="4"/>
        <v>13.1274</v>
      </c>
      <c r="V5" s="21">
        <f t="shared" si="4"/>
        <v>13.1274</v>
      </c>
      <c r="W5" s="21">
        <f t="shared" si="4"/>
        <v>13.1274</v>
      </c>
      <c r="X5" s="21">
        <f t="shared" si="4"/>
        <v>13.1274</v>
      </c>
      <c r="Y5" s="21">
        <f t="shared" si="4"/>
        <v>13.1274</v>
      </c>
      <c r="Z5" s="21">
        <f t="shared" si="4"/>
        <v>13.1274</v>
      </c>
      <c r="AA5" s="21">
        <f t="shared" si="4"/>
        <v>13.1274</v>
      </c>
      <c r="AB5" s="21">
        <f t="shared" si="4"/>
        <v>13.1274</v>
      </c>
      <c r="AC5" s="21">
        <f t="shared" si="4"/>
        <v>13.1274</v>
      </c>
      <c r="AD5" s="73"/>
      <c r="AE5" s="73"/>
      <c r="AF5" s="73"/>
      <c r="AG5" s="73"/>
      <c r="AH5" s="73"/>
      <c r="AI5" s="38">
        <f t="shared" si="2"/>
        <v>5.1707105719237421E-3</v>
      </c>
      <c r="AJ5" s="21">
        <f t="shared" si="3"/>
        <v>131.27399999999997</v>
      </c>
      <c r="AL5">
        <f>AL3-AL4</f>
        <v>366</v>
      </c>
      <c r="AM5">
        <f>AL5/AL3</f>
        <v>0.30860033726812819</v>
      </c>
    </row>
    <row r="6" spans="1:39" ht="14.6" x14ac:dyDescent="0.4">
      <c r="A6" s="7">
        <v>3</v>
      </c>
      <c r="B6" s="8" t="s">
        <v>303</v>
      </c>
      <c r="C6" s="191" t="s">
        <v>304</v>
      </c>
      <c r="D6" s="9">
        <f>VLOOKUP(C6,'[1]PREÇO ATUAL'!$A:$D,4,0)</f>
        <v>337.69767676948788</v>
      </c>
      <c r="E6" s="10">
        <v>1</v>
      </c>
      <c r="F6" s="10">
        <v>1</v>
      </c>
      <c r="G6" s="10">
        <v>1</v>
      </c>
      <c r="H6" s="10">
        <v>1</v>
      </c>
      <c r="I6" s="10">
        <v>1</v>
      </c>
      <c r="J6" s="10">
        <v>1</v>
      </c>
      <c r="K6" s="10">
        <v>1</v>
      </c>
      <c r="L6" s="10">
        <v>1</v>
      </c>
      <c r="M6" s="10">
        <v>1</v>
      </c>
      <c r="N6" s="10">
        <v>1</v>
      </c>
      <c r="O6" s="10"/>
      <c r="P6" s="10"/>
      <c r="Q6" s="10"/>
      <c r="R6" s="10"/>
      <c r="S6" s="10"/>
      <c r="T6" s="13">
        <f t="shared" ref="T6:T8" si="5">D6*E6</f>
        <v>337.69767676948788</v>
      </c>
      <c r="U6" s="13">
        <f t="shared" ref="U6:AC6" si="6">$D$6*F6</f>
        <v>337.69767676948788</v>
      </c>
      <c r="V6" s="13">
        <f t="shared" si="6"/>
        <v>337.69767676948788</v>
      </c>
      <c r="W6" s="13">
        <f t="shared" si="6"/>
        <v>337.69767676948788</v>
      </c>
      <c r="X6" s="13">
        <f t="shared" si="6"/>
        <v>337.69767676948788</v>
      </c>
      <c r="Y6" s="13">
        <f t="shared" si="6"/>
        <v>337.69767676948788</v>
      </c>
      <c r="Z6" s="13">
        <f t="shared" si="6"/>
        <v>337.69767676948788</v>
      </c>
      <c r="AA6" s="13">
        <f t="shared" si="6"/>
        <v>337.69767676948788</v>
      </c>
      <c r="AB6" s="13">
        <f t="shared" si="6"/>
        <v>337.69767676948788</v>
      </c>
      <c r="AC6" s="13">
        <f t="shared" si="6"/>
        <v>337.69767676948788</v>
      </c>
      <c r="AD6" s="72"/>
      <c r="AE6" s="72"/>
      <c r="AF6" s="72"/>
      <c r="AG6" s="72"/>
      <c r="AH6" s="72"/>
      <c r="AI6" s="37">
        <f t="shared" si="2"/>
        <v>0.13301468283026935</v>
      </c>
      <c r="AJ6" s="13">
        <f t="shared" si="3"/>
        <v>3376.9767676948782</v>
      </c>
    </row>
    <row r="7" spans="1:39" ht="14.6" x14ac:dyDescent="0.4">
      <c r="A7" s="15">
        <v>4</v>
      </c>
      <c r="B7" s="16" t="s">
        <v>305</v>
      </c>
      <c r="C7" s="192" t="s">
        <v>306</v>
      </c>
      <c r="D7" s="17">
        <f>VLOOKUP(C7,'[1]PREÇO ATUAL'!$A:$D,4,0)</f>
        <v>315.89999999999998</v>
      </c>
      <c r="E7" s="18"/>
      <c r="F7" s="18">
        <v>1</v>
      </c>
      <c r="G7" s="18"/>
      <c r="H7" s="18">
        <v>1</v>
      </c>
      <c r="I7" s="18"/>
      <c r="J7" s="18">
        <v>1</v>
      </c>
      <c r="K7" s="18"/>
      <c r="L7" s="18">
        <v>1</v>
      </c>
      <c r="M7" s="18"/>
      <c r="N7" s="18">
        <v>1</v>
      </c>
      <c r="O7" s="18"/>
      <c r="P7" s="18"/>
      <c r="Q7" s="18"/>
      <c r="R7" s="18"/>
      <c r="S7" s="18"/>
      <c r="T7" s="21">
        <f t="shared" si="5"/>
        <v>0</v>
      </c>
      <c r="U7" s="21">
        <f t="shared" ref="U7:AC7" si="7">$D$7*F7</f>
        <v>315.89999999999998</v>
      </c>
      <c r="V7" s="21">
        <f t="shared" si="7"/>
        <v>0</v>
      </c>
      <c r="W7" s="21">
        <f t="shared" si="7"/>
        <v>315.89999999999998</v>
      </c>
      <c r="X7" s="21">
        <f t="shared" si="7"/>
        <v>0</v>
      </c>
      <c r="Y7" s="21">
        <f t="shared" si="7"/>
        <v>315.89999999999998</v>
      </c>
      <c r="Z7" s="21">
        <f t="shared" si="7"/>
        <v>0</v>
      </c>
      <c r="AA7" s="21">
        <f t="shared" si="7"/>
        <v>315.89999999999998</v>
      </c>
      <c r="AB7" s="21">
        <f t="shared" si="7"/>
        <v>0</v>
      </c>
      <c r="AC7" s="21">
        <f t="shared" si="7"/>
        <v>315.89999999999998</v>
      </c>
      <c r="AD7" s="73"/>
      <c r="AE7" s="73"/>
      <c r="AF7" s="73"/>
      <c r="AG7" s="73"/>
      <c r="AH7" s="73"/>
      <c r="AI7" s="38">
        <f t="shared" si="2"/>
        <v>6.2214432015125255E-2</v>
      </c>
      <c r="AJ7" s="21">
        <f t="shared" si="3"/>
        <v>1579.5</v>
      </c>
    </row>
    <row r="8" spans="1:39" ht="14.6" x14ac:dyDescent="0.4">
      <c r="A8" s="7">
        <v>5</v>
      </c>
      <c r="B8" s="8" t="s">
        <v>307</v>
      </c>
      <c r="C8" s="191" t="s">
        <v>233</v>
      </c>
      <c r="D8" s="9">
        <f>VLOOKUP(C8,'[1]PREÇO ATUAL'!$A:$D,4,0)</f>
        <v>581.33000000000004</v>
      </c>
      <c r="E8" s="10"/>
      <c r="F8" s="10"/>
      <c r="G8" s="10"/>
      <c r="H8" s="10"/>
      <c r="I8" s="10"/>
      <c r="J8" s="10"/>
      <c r="K8" s="10"/>
      <c r="L8" s="10">
        <v>1</v>
      </c>
      <c r="M8" s="10"/>
      <c r="N8" s="10"/>
      <c r="O8" s="10"/>
      <c r="P8" s="10"/>
      <c r="Q8" s="10"/>
      <c r="R8" s="10"/>
      <c r="S8" s="10"/>
      <c r="T8" s="13">
        <f t="shared" si="5"/>
        <v>0</v>
      </c>
      <c r="U8" s="13">
        <f t="shared" ref="U8:AC8" si="8">$D$8*F8</f>
        <v>0</v>
      </c>
      <c r="V8" s="13">
        <f t="shared" si="8"/>
        <v>0</v>
      </c>
      <c r="W8" s="13">
        <f t="shared" si="8"/>
        <v>0</v>
      </c>
      <c r="X8" s="13">
        <f t="shared" si="8"/>
        <v>0</v>
      </c>
      <c r="Y8" s="13">
        <f t="shared" si="8"/>
        <v>0</v>
      </c>
      <c r="Z8" s="13">
        <f t="shared" si="8"/>
        <v>0</v>
      </c>
      <c r="AA8" s="13">
        <f t="shared" si="8"/>
        <v>581.33000000000004</v>
      </c>
      <c r="AB8" s="13">
        <f t="shared" si="8"/>
        <v>0</v>
      </c>
      <c r="AC8" s="13">
        <f t="shared" si="8"/>
        <v>0</v>
      </c>
      <c r="AD8" s="72"/>
      <c r="AE8" s="72"/>
      <c r="AF8" s="72"/>
      <c r="AG8" s="72"/>
      <c r="AH8" s="72"/>
      <c r="AI8" s="37">
        <f t="shared" si="2"/>
        <v>2.2897825744446196E-2</v>
      </c>
      <c r="AJ8" s="13">
        <f t="shared" si="3"/>
        <v>581.33000000000004</v>
      </c>
    </row>
    <row r="9" spans="1:39" ht="24.9" x14ac:dyDescent="0.4">
      <c r="A9" s="15">
        <v>6</v>
      </c>
      <c r="B9" s="143" t="s">
        <v>308</v>
      </c>
      <c r="C9" s="192" t="s">
        <v>309</v>
      </c>
      <c r="D9" s="17">
        <f>VLOOKUP(C9,'[1]PREÇO ATUAL'!$A:$D,4,0)</f>
        <v>602.5</v>
      </c>
      <c r="E9" s="68"/>
      <c r="F9" s="68"/>
      <c r="G9" s="18"/>
      <c r="H9" s="18"/>
      <c r="I9" s="68"/>
      <c r="J9" s="18"/>
      <c r="K9" s="68"/>
      <c r="L9" s="18">
        <v>1</v>
      </c>
      <c r="M9" s="18"/>
      <c r="N9" s="68"/>
      <c r="O9" s="68"/>
      <c r="P9" s="68"/>
      <c r="Q9" s="68"/>
      <c r="R9" s="68"/>
      <c r="S9" s="68"/>
      <c r="T9" s="21">
        <f t="shared" ref="T9:AC9" si="9">$D$9*E9</f>
        <v>0</v>
      </c>
      <c r="U9" s="21">
        <f t="shared" si="9"/>
        <v>0</v>
      </c>
      <c r="V9" s="21">
        <f t="shared" si="9"/>
        <v>0</v>
      </c>
      <c r="W9" s="21">
        <f t="shared" si="9"/>
        <v>0</v>
      </c>
      <c r="X9" s="21">
        <f t="shared" si="9"/>
        <v>0</v>
      </c>
      <c r="Y9" s="21">
        <f t="shared" si="9"/>
        <v>0</v>
      </c>
      <c r="Z9" s="21">
        <f t="shared" si="9"/>
        <v>0</v>
      </c>
      <c r="AA9" s="21">
        <f t="shared" si="9"/>
        <v>602.5</v>
      </c>
      <c r="AB9" s="21">
        <f t="shared" si="9"/>
        <v>0</v>
      </c>
      <c r="AC9" s="21">
        <f t="shared" si="9"/>
        <v>0</v>
      </c>
      <c r="AD9" s="73"/>
      <c r="AE9" s="73"/>
      <c r="AF9" s="73"/>
      <c r="AG9" s="73"/>
      <c r="AH9" s="73"/>
      <c r="AI9" s="38">
        <f t="shared" si="2"/>
        <v>2.3731684260280446E-2</v>
      </c>
      <c r="AJ9" s="21">
        <f t="shared" si="3"/>
        <v>602.5</v>
      </c>
    </row>
    <row r="10" spans="1:39" ht="14.6" x14ac:dyDescent="0.4">
      <c r="A10" s="75">
        <v>7</v>
      </c>
      <c r="B10" s="76" t="s">
        <v>310</v>
      </c>
      <c r="C10" s="193" t="s">
        <v>311</v>
      </c>
      <c r="D10" s="77">
        <f>VLOOKUP(C10,'[1]PREÇO ATUAL'!$A:$D,4,0)</f>
        <v>122.51893409859807</v>
      </c>
      <c r="E10" s="78">
        <v>2.2000000000000002</v>
      </c>
      <c r="F10" s="118"/>
      <c r="G10" s="79"/>
      <c r="H10" s="79"/>
      <c r="I10" s="78">
        <v>2.2000000000000002</v>
      </c>
      <c r="J10" s="79"/>
      <c r="K10" s="118"/>
      <c r="L10" s="79"/>
      <c r="M10" s="78">
        <v>2.2000000000000002</v>
      </c>
      <c r="N10" s="118"/>
      <c r="O10" s="118"/>
      <c r="P10" s="118"/>
      <c r="Q10" s="118"/>
      <c r="R10" s="118"/>
      <c r="S10" s="118"/>
      <c r="T10" s="83">
        <f t="shared" ref="T10:AC10" si="10">$D$10*E10</f>
        <v>269.54165501691574</v>
      </c>
      <c r="U10" s="83">
        <f t="shared" si="10"/>
        <v>0</v>
      </c>
      <c r="V10" s="83">
        <f t="shared" si="10"/>
        <v>0</v>
      </c>
      <c r="W10" s="83">
        <f t="shared" si="10"/>
        <v>0</v>
      </c>
      <c r="X10" s="83">
        <f t="shared" si="10"/>
        <v>269.54165501691574</v>
      </c>
      <c r="Y10" s="83">
        <f t="shared" si="10"/>
        <v>0</v>
      </c>
      <c r="Z10" s="83">
        <f t="shared" si="10"/>
        <v>0</v>
      </c>
      <c r="AA10" s="83">
        <f t="shared" si="10"/>
        <v>0</v>
      </c>
      <c r="AB10" s="83">
        <f t="shared" si="10"/>
        <v>269.54165501691574</v>
      </c>
      <c r="AC10" s="83">
        <f t="shared" si="10"/>
        <v>0</v>
      </c>
      <c r="AD10" s="173"/>
      <c r="AE10" s="173"/>
      <c r="AF10" s="173"/>
      <c r="AG10" s="173"/>
      <c r="AH10" s="173"/>
      <c r="AI10" s="85">
        <f t="shared" si="2"/>
        <v>3.1850676108820988E-2</v>
      </c>
      <c r="AJ10" s="83">
        <f t="shared" si="3"/>
        <v>808.62496505074728</v>
      </c>
    </row>
    <row r="11" spans="1:39" ht="14.6" x14ac:dyDescent="0.4">
      <c r="A11" s="86">
        <v>8</v>
      </c>
      <c r="B11" s="87" t="s">
        <v>312</v>
      </c>
      <c r="C11" s="194" t="s">
        <v>311</v>
      </c>
      <c r="D11" s="88">
        <f>VLOOKUP(C11,'[1]PREÇO ATUAL'!$A:$D,4,0)</f>
        <v>122.51893409859807</v>
      </c>
      <c r="E11" s="120"/>
      <c r="F11" s="121"/>
      <c r="G11" s="121"/>
      <c r="H11" s="121"/>
      <c r="I11" s="89">
        <v>1.5</v>
      </c>
      <c r="J11" s="121"/>
      <c r="K11" s="121"/>
      <c r="L11" s="121"/>
      <c r="M11" s="121"/>
      <c r="N11" s="89">
        <v>1.5</v>
      </c>
      <c r="O11" s="89"/>
      <c r="P11" s="89"/>
      <c r="Q11" s="89"/>
      <c r="R11" s="89"/>
      <c r="S11" s="89"/>
      <c r="T11" s="90">
        <f t="shared" ref="T11:AC11" si="11">$D$11*E11</f>
        <v>0</v>
      </c>
      <c r="U11" s="90">
        <f t="shared" si="11"/>
        <v>0</v>
      </c>
      <c r="V11" s="90">
        <f t="shared" si="11"/>
        <v>0</v>
      </c>
      <c r="W11" s="90">
        <f t="shared" si="11"/>
        <v>0</v>
      </c>
      <c r="X11" s="90">
        <f t="shared" si="11"/>
        <v>183.77840114789711</v>
      </c>
      <c r="Y11" s="90">
        <f t="shared" si="11"/>
        <v>0</v>
      </c>
      <c r="Z11" s="90">
        <f t="shared" si="11"/>
        <v>0</v>
      </c>
      <c r="AA11" s="90">
        <f t="shared" si="11"/>
        <v>0</v>
      </c>
      <c r="AB11" s="90">
        <f t="shared" si="11"/>
        <v>0</v>
      </c>
      <c r="AC11" s="90">
        <f t="shared" si="11"/>
        <v>183.77840114789711</v>
      </c>
      <c r="AD11" s="174"/>
      <c r="AE11" s="174"/>
      <c r="AF11" s="174"/>
      <c r="AG11" s="174"/>
      <c r="AH11" s="174"/>
      <c r="AI11" s="92">
        <f t="shared" si="2"/>
        <v>1.4477580049464086E-2</v>
      </c>
      <c r="AJ11" s="90">
        <f t="shared" si="3"/>
        <v>367.55680229579423</v>
      </c>
    </row>
    <row r="12" spans="1:39" ht="15" customHeight="1" x14ac:dyDescent="0.4">
      <c r="A12" s="75">
        <v>9</v>
      </c>
      <c r="B12" s="76" t="s">
        <v>313</v>
      </c>
      <c r="C12" s="193" t="s">
        <v>268</v>
      </c>
      <c r="D12" s="77">
        <f>VLOOKUP(C12,'[1]PREÇO ATUAL'!$A:$D,4,0)</f>
        <v>32.700000000000003</v>
      </c>
      <c r="E12" s="78"/>
      <c r="F12" s="118"/>
      <c r="G12" s="79"/>
      <c r="H12" s="79"/>
      <c r="I12" s="78"/>
      <c r="J12" s="79"/>
      <c r="K12" s="118"/>
      <c r="L12" s="79"/>
      <c r="M12" s="78"/>
      <c r="N12" s="118"/>
      <c r="O12" s="118"/>
      <c r="P12" s="118"/>
      <c r="Q12" s="118"/>
      <c r="R12" s="118"/>
      <c r="S12" s="118"/>
      <c r="T12" s="83">
        <f t="shared" ref="T12:AC12" si="12">$D$12*E12</f>
        <v>0</v>
      </c>
      <c r="U12" s="83">
        <f t="shared" si="12"/>
        <v>0</v>
      </c>
      <c r="V12" s="83">
        <f t="shared" si="12"/>
        <v>0</v>
      </c>
      <c r="W12" s="83">
        <f t="shared" si="12"/>
        <v>0</v>
      </c>
      <c r="X12" s="83">
        <f t="shared" si="12"/>
        <v>0</v>
      </c>
      <c r="Y12" s="83">
        <f t="shared" si="12"/>
        <v>0</v>
      </c>
      <c r="Z12" s="83">
        <f t="shared" si="12"/>
        <v>0</v>
      </c>
      <c r="AA12" s="83">
        <f t="shared" si="12"/>
        <v>0</v>
      </c>
      <c r="AB12" s="83">
        <f t="shared" si="12"/>
        <v>0</v>
      </c>
      <c r="AC12" s="83">
        <f t="shared" si="12"/>
        <v>0</v>
      </c>
      <c r="AD12" s="173"/>
      <c r="AE12" s="173"/>
      <c r="AF12" s="173"/>
      <c r="AG12" s="173"/>
      <c r="AH12" s="173"/>
      <c r="AI12" s="85">
        <f t="shared" ref="AI12" si="13">AJ12/$AI$2</f>
        <v>0</v>
      </c>
      <c r="AJ12" s="83">
        <f t="shared" ref="AJ12" si="14">SUM(T12:AC12)</f>
        <v>0</v>
      </c>
    </row>
    <row r="13" spans="1:39" ht="14.6" x14ac:dyDescent="0.4">
      <c r="A13" s="86">
        <v>10</v>
      </c>
      <c r="B13" s="87" t="s">
        <v>314</v>
      </c>
      <c r="C13" s="194" t="s">
        <v>244</v>
      </c>
      <c r="D13" s="88">
        <f>VLOOKUP(C13,'[1]PREÇO ATUAL'!$A:$D,4,0)</f>
        <v>98.47</v>
      </c>
      <c r="E13" s="89">
        <v>6.6</v>
      </c>
      <c r="F13" s="89">
        <v>6.6</v>
      </c>
      <c r="G13" s="89">
        <v>6.6</v>
      </c>
      <c r="H13" s="89">
        <v>6.6</v>
      </c>
      <c r="I13" s="89">
        <v>6.6</v>
      </c>
      <c r="J13" s="89">
        <v>6.6</v>
      </c>
      <c r="K13" s="89">
        <v>6.6</v>
      </c>
      <c r="L13" s="89">
        <v>6.6</v>
      </c>
      <c r="M13" s="89">
        <v>6.6</v>
      </c>
      <c r="N13" s="89">
        <v>6.6</v>
      </c>
      <c r="O13" s="89"/>
      <c r="P13" s="89"/>
      <c r="Q13" s="89"/>
      <c r="R13" s="89"/>
      <c r="S13" s="89"/>
      <c r="T13" s="90">
        <f t="shared" ref="T13:AC13" si="15">$D$13*E13</f>
        <v>649.90199999999993</v>
      </c>
      <c r="U13" s="90">
        <f t="shared" si="15"/>
        <v>649.90199999999993</v>
      </c>
      <c r="V13" s="90">
        <f t="shared" si="15"/>
        <v>649.90199999999993</v>
      </c>
      <c r="W13" s="90">
        <f t="shared" si="15"/>
        <v>649.90199999999993</v>
      </c>
      <c r="X13" s="90">
        <f t="shared" si="15"/>
        <v>649.90199999999993</v>
      </c>
      <c r="Y13" s="90">
        <f t="shared" si="15"/>
        <v>649.90199999999993</v>
      </c>
      <c r="Z13" s="90">
        <f t="shared" si="15"/>
        <v>649.90199999999993</v>
      </c>
      <c r="AA13" s="90">
        <f t="shared" si="15"/>
        <v>649.90199999999993</v>
      </c>
      <c r="AB13" s="90">
        <f t="shared" si="15"/>
        <v>649.90199999999993</v>
      </c>
      <c r="AC13" s="90">
        <f t="shared" si="15"/>
        <v>649.90199999999993</v>
      </c>
      <c r="AD13" s="174"/>
      <c r="AE13" s="174"/>
      <c r="AF13" s="174"/>
      <c r="AG13" s="174"/>
      <c r="AH13" s="174"/>
      <c r="AI13" s="92">
        <f t="shared" si="2"/>
        <v>0.25598786828422876</v>
      </c>
      <c r="AJ13" s="90">
        <f t="shared" si="3"/>
        <v>6499.0199999999995</v>
      </c>
    </row>
    <row r="14" spans="1:39" ht="14.6" x14ac:dyDescent="0.4">
      <c r="A14" s="75">
        <v>11</v>
      </c>
      <c r="B14" s="76" t="s">
        <v>293</v>
      </c>
      <c r="C14" s="193" t="s">
        <v>39</v>
      </c>
      <c r="D14" s="77">
        <f>VLOOKUP(C14,'[1]PREÇO ATUAL'!$A:$D,4,0)</f>
        <v>342</v>
      </c>
      <c r="E14" s="119">
        <v>2.95</v>
      </c>
      <c r="F14" s="119">
        <v>2.65</v>
      </c>
      <c r="G14" s="119">
        <v>2.65</v>
      </c>
      <c r="H14" s="119">
        <v>2.75</v>
      </c>
      <c r="I14" s="119">
        <v>3.25</v>
      </c>
      <c r="J14" s="119">
        <v>2.65</v>
      </c>
      <c r="K14" s="119">
        <v>2.65</v>
      </c>
      <c r="L14" s="119">
        <v>4.5</v>
      </c>
      <c r="M14" s="119">
        <v>2.95</v>
      </c>
      <c r="N14" s="119">
        <v>2.95</v>
      </c>
      <c r="O14" s="119"/>
      <c r="P14" s="119"/>
      <c r="Q14" s="119"/>
      <c r="R14" s="119"/>
      <c r="S14" s="119"/>
      <c r="T14" s="83">
        <f t="shared" ref="T14:AC14" si="16">$D$14*E14</f>
        <v>1008.9000000000001</v>
      </c>
      <c r="U14" s="83">
        <f t="shared" si="16"/>
        <v>906.3</v>
      </c>
      <c r="V14" s="83">
        <f t="shared" si="16"/>
        <v>906.3</v>
      </c>
      <c r="W14" s="83">
        <f t="shared" si="16"/>
        <v>940.5</v>
      </c>
      <c r="X14" s="83">
        <f t="shared" si="16"/>
        <v>1111.5</v>
      </c>
      <c r="Y14" s="83">
        <f t="shared" si="16"/>
        <v>906.3</v>
      </c>
      <c r="Z14" s="83">
        <f t="shared" si="16"/>
        <v>906.3</v>
      </c>
      <c r="AA14" s="83">
        <f t="shared" si="16"/>
        <v>1539</v>
      </c>
      <c r="AB14" s="83">
        <f t="shared" si="16"/>
        <v>1008.9000000000001</v>
      </c>
      <c r="AC14" s="83">
        <f t="shared" si="16"/>
        <v>1008.9000000000001</v>
      </c>
      <c r="AD14" s="173"/>
      <c r="AE14" s="173"/>
      <c r="AF14" s="173"/>
      <c r="AG14" s="173"/>
      <c r="AH14" s="173"/>
      <c r="AI14" s="85">
        <f t="shared" si="2"/>
        <v>0.40345438789979515</v>
      </c>
      <c r="AJ14" s="83">
        <f t="shared" si="3"/>
        <v>10242.9</v>
      </c>
    </row>
    <row r="15" spans="1:39" ht="14.6" x14ac:dyDescent="0.4">
      <c r="H15" s="39"/>
      <c r="L15" s="39"/>
    </row>
    <row r="16" spans="1:39" ht="15.75" customHeight="1" x14ac:dyDescent="0.4"/>
    <row r="17" spans="1:39" ht="15" customHeight="1" x14ac:dyDescent="0.4">
      <c r="A17" s="247" t="s">
        <v>1</v>
      </c>
      <c r="B17" s="223"/>
      <c r="C17" s="223"/>
      <c r="D17" s="234"/>
      <c r="E17" s="255" t="s">
        <v>3</v>
      </c>
      <c r="F17" s="256"/>
      <c r="G17" s="256"/>
      <c r="H17" s="256"/>
      <c r="I17" s="256"/>
      <c r="J17" s="256"/>
      <c r="K17" s="256"/>
      <c r="L17" s="256"/>
      <c r="M17" s="256"/>
      <c r="N17" s="256"/>
      <c r="O17" s="164"/>
      <c r="P17" s="164"/>
      <c r="Q17" s="164"/>
      <c r="R17" s="164"/>
      <c r="S17" s="164"/>
      <c r="T17" s="258" t="s">
        <v>4</v>
      </c>
      <c r="U17" s="259"/>
      <c r="V17" s="259"/>
      <c r="W17" s="259"/>
      <c r="X17" s="259"/>
      <c r="Y17" s="259"/>
      <c r="Z17" s="259"/>
      <c r="AA17" s="259"/>
      <c r="AB17" s="259"/>
      <c r="AC17" s="259"/>
      <c r="AD17" s="165"/>
      <c r="AE17" s="165"/>
      <c r="AF17" s="165"/>
      <c r="AG17" s="165"/>
      <c r="AH17" s="165"/>
      <c r="AI17" s="229" t="s">
        <v>5</v>
      </c>
      <c r="AJ17" s="229"/>
    </row>
    <row r="18" spans="1:39" ht="15" customHeight="1" x14ac:dyDescent="0.4">
      <c r="A18" s="262"/>
      <c r="B18" s="254"/>
      <c r="C18" s="254"/>
      <c r="D18" s="263"/>
      <c r="E18" s="228"/>
      <c r="F18" s="229"/>
      <c r="G18" s="229"/>
      <c r="H18" s="229"/>
      <c r="I18" s="229"/>
      <c r="J18" s="229"/>
      <c r="K18" s="229"/>
      <c r="L18" s="229"/>
      <c r="M18" s="229"/>
      <c r="N18" s="229"/>
      <c r="O18" s="163"/>
      <c r="P18" s="163"/>
      <c r="Q18" s="163"/>
      <c r="R18" s="163"/>
      <c r="S18" s="163"/>
      <c r="T18" s="2">
        <f>MROUND(SUM(T20:T31),1)</f>
        <v>2399</v>
      </c>
      <c r="U18" s="2">
        <f t="shared" ref="U18:AC18" si="17">MROUND(SUM(U20:U31),1)</f>
        <v>2343</v>
      </c>
      <c r="V18" s="2">
        <f t="shared" si="17"/>
        <v>2027</v>
      </c>
      <c r="W18" s="2">
        <f t="shared" si="17"/>
        <v>2377</v>
      </c>
      <c r="X18" s="2">
        <f t="shared" si="17"/>
        <v>2685</v>
      </c>
      <c r="Y18" s="2">
        <f t="shared" si="17"/>
        <v>2343</v>
      </c>
      <c r="Z18" s="2">
        <f t="shared" si="17"/>
        <v>2027</v>
      </c>
      <c r="AA18" s="2">
        <f t="shared" si="17"/>
        <v>5161</v>
      </c>
      <c r="AB18" s="2">
        <f t="shared" si="17"/>
        <v>2399</v>
      </c>
      <c r="AC18" s="2">
        <f t="shared" si="17"/>
        <v>2629</v>
      </c>
      <c r="AD18" s="161"/>
      <c r="AE18" s="161"/>
      <c r="AF18" s="161"/>
      <c r="AG18" s="161"/>
      <c r="AH18" s="161"/>
      <c r="AI18" s="221">
        <f>SUM(T18:AC18)</f>
        <v>26390</v>
      </c>
      <c r="AJ18" s="220"/>
    </row>
    <row r="19" spans="1:39" ht="14.6" x14ac:dyDescent="0.4">
      <c r="A19" s="3" t="s">
        <v>6</v>
      </c>
      <c r="B19" s="3" t="s">
        <v>7</v>
      </c>
      <c r="C19" s="3" t="s">
        <v>8</v>
      </c>
      <c r="D19" s="64" t="s">
        <v>9</v>
      </c>
      <c r="E19" s="36" t="s">
        <v>167</v>
      </c>
      <c r="F19" s="36" t="s">
        <v>168</v>
      </c>
      <c r="G19" s="36" t="s">
        <v>169</v>
      </c>
      <c r="H19" s="36" t="s">
        <v>170</v>
      </c>
      <c r="I19" s="36" t="s">
        <v>171</v>
      </c>
      <c r="J19" s="36" t="s">
        <v>172</v>
      </c>
      <c r="K19" s="36" t="s">
        <v>173</v>
      </c>
      <c r="L19" s="36" t="s">
        <v>174</v>
      </c>
      <c r="M19" s="36" t="s">
        <v>175</v>
      </c>
      <c r="N19" s="36" t="s">
        <v>176</v>
      </c>
      <c r="O19" s="36"/>
      <c r="P19" s="36"/>
      <c r="Q19" s="36"/>
      <c r="R19" s="36"/>
      <c r="S19" s="36"/>
      <c r="T19" s="36">
        <v>10000</v>
      </c>
      <c r="U19" s="36">
        <v>20000</v>
      </c>
      <c r="V19" s="36">
        <v>30000</v>
      </c>
      <c r="W19" s="36">
        <v>40000</v>
      </c>
      <c r="X19" s="36">
        <v>50000</v>
      </c>
      <c r="Y19" s="36">
        <v>60000</v>
      </c>
      <c r="Z19" s="36">
        <v>70000</v>
      </c>
      <c r="AA19" s="36">
        <v>80000</v>
      </c>
      <c r="AB19" s="36">
        <v>90000</v>
      </c>
      <c r="AC19" s="36">
        <v>100000</v>
      </c>
      <c r="AD19" s="65"/>
      <c r="AE19" s="65"/>
      <c r="AF19" s="65"/>
      <c r="AG19" s="65"/>
      <c r="AH19" s="65"/>
      <c r="AI19" s="6" t="s">
        <v>20</v>
      </c>
      <c r="AJ19" s="3" t="s">
        <v>21</v>
      </c>
      <c r="AL19">
        <v>1186</v>
      </c>
    </row>
    <row r="20" spans="1:39" ht="14.6" x14ac:dyDescent="0.4">
      <c r="A20" s="7">
        <v>1</v>
      </c>
      <c r="B20" s="8" t="s">
        <v>272</v>
      </c>
      <c r="C20" s="191" t="s">
        <v>225</v>
      </c>
      <c r="D20" s="9">
        <f>VLOOKUP(C20,'[1]PREÇO ATUAL'!$A:$D,4,0)</f>
        <v>119.9</v>
      </c>
      <c r="E20" s="10">
        <v>1</v>
      </c>
      <c r="F20" s="10">
        <v>1</v>
      </c>
      <c r="G20" s="10">
        <v>1</v>
      </c>
      <c r="H20" s="10">
        <v>1</v>
      </c>
      <c r="I20" s="10">
        <v>1</v>
      </c>
      <c r="J20" s="10">
        <v>1</v>
      </c>
      <c r="K20" s="10">
        <v>1</v>
      </c>
      <c r="L20" s="10">
        <v>1</v>
      </c>
      <c r="M20" s="10">
        <v>1</v>
      </c>
      <c r="N20" s="10">
        <v>1</v>
      </c>
      <c r="O20" s="10"/>
      <c r="P20" s="10"/>
      <c r="Q20" s="10"/>
      <c r="R20" s="10"/>
      <c r="S20" s="10"/>
      <c r="T20" s="13">
        <f t="shared" ref="T20:AC20" si="18">$D$20*E20</f>
        <v>119.9</v>
      </c>
      <c r="U20" s="13">
        <f t="shared" si="18"/>
        <v>119.9</v>
      </c>
      <c r="V20" s="13">
        <f t="shared" si="18"/>
        <v>119.9</v>
      </c>
      <c r="W20" s="13">
        <f t="shared" si="18"/>
        <v>119.9</v>
      </c>
      <c r="X20" s="13">
        <f t="shared" si="18"/>
        <v>119.9</v>
      </c>
      <c r="Y20" s="13">
        <f t="shared" si="18"/>
        <v>119.9</v>
      </c>
      <c r="Z20" s="13">
        <f t="shared" si="18"/>
        <v>119.9</v>
      </c>
      <c r="AA20" s="13">
        <f t="shared" si="18"/>
        <v>119.9</v>
      </c>
      <c r="AB20" s="13">
        <f t="shared" si="18"/>
        <v>119.9</v>
      </c>
      <c r="AC20" s="13">
        <f t="shared" si="18"/>
        <v>119.9</v>
      </c>
      <c r="AD20" s="72"/>
      <c r="AE20" s="72"/>
      <c r="AF20" s="72"/>
      <c r="AG20" s="72"/>
      <c r="AH20" s="72"/>
      <c r="AI20" s="37">
        <f t="shared" ref="AI20:AI30" si="19">AJ20/$AI$2</f>
        <v>4.7227036395147311E-2</v>
      </c>
      <c r="AJ20" s="13">
        <f t="shared" ref="AJ20:AJ30" si="20">SUM(T20:AC20)</f>
        <v>1199</v>
      </c>
      <c r="AL20">
        <v>820</v>
      </c>
      <c r="AM20">
        <f>AL20/AL19</f>
        <v>0.69139966273187181</v>
      </c>
    </row>
    <row r="21" spans="1:39" ht="14.6" x14ac:dyDescent="0.4">
      <c r="A21" s="15">
        <v>2</v>
      </c>
      <c r="B21" s="16" t="s">
        <v>271</v>
      </c>
      <c r="C21" s="192" t="s">
        <v>302</v>
      </c>
      <c r="D21" s="17">
        <f>VLOOKUP(C21,'[1]PREÇO ATUAL'!$A:$D,4,0)</f>
        <v>13.1274</v>
      </c>
      <c r="E21" s="18">
        <v>1</v>
      </c>
      <c r="F21" s="18">
        <v>1</v>
      </c>
      <c r="G21" s="18">
        <v>1</v>
      </c>
      <c r="H21" s="18">
        <v>1</v>
      </c>
      <c r="I21" s="18">
        <v>1</v>
      </c>
      <c r="J21" s="18">
        <v>1</v>
      </c>
      <c r="K21" s="18">
        <v>1</v>
      </c>
      <c r="L21" s="18">
        <v>1</v>
      </c>
      <c r="M21" s="18">
        <v>1</v>
      </c>
      <c r="N21" s="18">
        <v>1</v>
      </c>
      <c r="O21" s="18"/>
      <c r="P21" s="18"/>
      <c r="Q21" s="18"/>
      <c r="R21" s="18"/>
      <c r="S21" s="18"/>
      <c r="T21" s="21">
        <f t="shared" ref="T21:AC21" si="21">$D$21*E21</f>
        <v>13.1274</v>
      </c>
      <c r="U21" s="21">
        <f t="shared" si="21"/>
        <v>13.1274</v>
      </c>
      <c r="V21" s="21">
        <f t="shared" si="21"/>
        <v>13.1274</v>
      </c>
      <c r="W21" s="21">
        <f t="shared" si="21"/>
        <v>13.1274</v>
      </c>
      <c r="X21" s="21">
        <f t="shared" si="21"/>
        <v>13.1274</v>
      </c>
      <c r="Y21" s="21">
        <f t="shared" si="21"/>
        <v>13.1274</v>
      </c>
      <c r="Z21" s="21">
        <f t="shared" si="21"/>
        <v>13.1274</v>
      </c>
      <c r="AA21" s="21">
        <f t="shared" si="21"/>
        <v>13.1274</v>
      </c>
      <c r="AB21" s="21">
        <f t="shared" si="21"/>
        <v>13.1274</v>
      </c>
      <c r="AC21" s="21">
        <f t="shared" si="21"/>
        <v>13.1274</v>
      </c>
      <c r="AD21" s="73"/>
      <c r="AE21" s="73"/>
      <c r="AF21" s="73"/>
      <c r="AG21" s="73"/>
      <c r="AH21" s="73"/>
      <c r="AI21" s="38">
        <f t="shared" si="19"/>
        <v>5.1707105719237421E-3</v>
      </c>
      <c r="AJ21" s="21">
        <f t="shared" si="20"/>
        <v>131.27399999999997</v>
      </c>
      <c r="AL21">
        <f>AL19-AL20</f>
        <v>366</v>
      </c>
      <c r="AM21">
        <f>AL21/AL19</f>
        <v>0.30860033726812819</v>
      </c>
    </row>
    <row r="22" spans="1:39" ht="14.6" x14ac:dyDescent="0.4">
      <c r="A22" s="7">
        <v>3</v>
      </c>
      <c r="B22" s="8" t="s">
        <v>303</v>
      </c>
      <c r="C22" s="191" t="s">
        <v>304</v>
      </c>
      <c r="D22" s="9">
        <f>VLOOKUP(C22,'[1]PREÇO ATUAL'!$A:$D,4,0)</f>
        <v>337.69767676948788</v>
      </c>
      <c r="E22" s="10">
        <v>1</v>
      </c>
      <c r="F22" s="10">
        <v>1</v>
      </c>
      <c r="G22" s="10">
        <v>1</v>
      </c>
      <c r="H22" s="10">
        <v>1</v>
      </c>
      <c r="I22" s="10">
        <v>1</v>
      </c>
      <c r="J22" s="10">
        <v>1</v>
      </c>
      <c r="K22" s="10">
        <v>1</v>
      </c>
      <c r="L22" s="10">
        <v>1</v>
      </c>
      <c r="M22" s="10">
        <v>1</v>
      </c>
      <c r="N22" s="10">
        <v>1</v>
      </c>
      <c r="O22" s="10"/>
      <c r="P22" s="10"/>
      <c r="Q22" s="10"/>
      <c r="R22" s="10"/>
      <c r="S22" s="10"/>
      <c r="T22" s="13">
        <f t="shared" ref="T22:T24" si="22">D22*E22</f>
        <v>337.69767676948788</v>
      </c>
      <c r="U22" s="13">
        <f t="shared" ref="U22" si="23">$D$6*F22</f>
        <v>337.69767676948788</v>
      </c>
      <c r="V22" s="13">
        <f t="shared" ref="V22" si="24">$D$6*G22</f>
        <v>337.69767676948788</v>
      </c>
      <c r="W22" s="13">
        <f t="shared" ref="W22" si="25">$D$6*H22</f>
        <v>337.69767676948788</v>
      </c>
      <c r="X22" s="13">
        <f t="shared" ref="X22" si="26">$D$6*I22</f>
        <v>337.69767676948788</v>
      </c>
      <c r="Y22" s="13">
        <f t="shared" ref="Y22" si="27">$D$6*J22</f>
        <v>337.69767676948788</v>
      </c>
      <c r="Z22" s="13">
        <f t="shared" ref="Z22" si="28">$D$6*K22</f>
        <v>337.69767676948788</v>
      </c>
      <c r="AA22" s="13">
        <f t="shared" ref="AA22" si="29">$D$6*L22</f>
        <v>337.69767676948788</v>
      </c>
      <c r="AB22" s="13">
        <f t="shared" ref="AB22" si="30">$D$6*M22</f>
        <v>337.69767676948788</v>
      </c>
      <c r="AC22" s="13">
        <f t="shared" ref="AC22" si="31">$D$6*N22</f>
        <v>337.69767676948788</v>
      </c>
      <c r="AD22" s="72"/>
      <c r="AE22" s="72"/>
      <c r="AF22" s="72"/>
      <c r="AG22" s="72"/>
      <c r="AH22" s="72"/>
      <c r="AI22" s="37">
        <f t="shared" si="19"/>
        <v>0.13301468283026935</v>
      </c>
      <c r="AJ22" s="13">
        <f t="shared" si="20"/>
        <v>3376.9767676948782</v>
      </c>
    </row>
    <row r="23" spans="1:39" ht="14.6" x14ac:dyDescent="0.4">
      <c r="A23" s="15">
        <v>4</v>
      </c>
      <c r="B23" s="16" t="s">
        <v>305</v>
      </c>
      <c r="C23" s="192" t="s">
        <v>306</v>
      </c>
      <c r="D23" s="17">
        <f>VLOOKUP(C23,'[1]PREÇO ATUAL'!$A:$D,4,0)</f>
        <v>315.89999999999998</v>
      </c>
      <c r="E23" s="18"/>
      <c r="F23" s="18">
        <v>1</v>
      </c>
      <c r="G23" s="18"/>
      <c r="H23" s="18">
        <v>1</v>
      </c>
      <c r="I23" s="18"/>
      <c r="J23" s="18">
        <v>1</v>
      </c>
      <c r="K23" s="18"/>
      <c r="L23" s="18">
        <v>1</v>
      </c>
      <c r="M23" s="18"/>
      <c r="N23" s="18">
        <v>1</v>
      </c>
      <c r="O23" s="18"/>
      <c r="P23" s="18"/>
      <c r="Q23" s="18"/>
      <c r="R23" s="18"/>
      <c r="S23" s="18"/>
      <c r="T23" s="21">
        <f t="shared" si="22"/>
        <v>0</v>
      </c>
      <c r="U23" s="21">
        <f t="shared" ref="U23" si="32">$D$7*F23</f>
        <v>315.89999999999998</v>
      </c>
      <c r="V23" s="21">
        <f t="shared" ref="V23" si="33">$D$7*G23</f>
        <v>0</v>
      </c>
      <c r="W23" s="21">
        <f t="shared" ref="W23" si="34">$D$7*H23</f>
        <v>315.89999999999998</v>
      </c>
      <c r="X23" s="21">
        <f t="shared" ref="X23" si="35">$D$7*I23</f>
        <v>0</v>
      </c>
      <c r="Y23" s="21">
        <f t="shared" ref="Y23" si="36">$D$7*J23</f>
        <v>315.89999999999998</v>
      </c>
      <c r="Z23" s="21">
        <f t="shared" ref="Z23" si="37">$D$7*K23</f>
        <v>0</v>
      </c>
      <c r="AA23" s="21">
        <f t="shared" ref="AA23" si="38">$D$7*L23</f>
        <v>315.89999999999998</v>
      </c>
      <c r="AB23" s="21">
        <f t="shared" ref="AB23" si="39">$D$7*M23</f>
        <v>0</v>
      </c>
      <c r="AC23" s="21">
        <f t="shared" ref="AC23" si="40">$D$7*N23</f>
        <v>315.89999999999998</v>
      </c>
      <c r="AD23" s="73"/>
      <c r="AE23" s="73"/>
      <c r="AF23" s="73"/>
      <c r="AG23" s="73"/>
      <c r="AH23" s="73"/>
      <c r="AI23" s="38">
        <f t="shared" si="19"/>
        <v>6.2214432015125255E-2</v>
      </c>
      <c r="AJ23" s="21">
        <f t="shared" si="20"/>
        <v>1579.5</v>
      </c>
    </row>
    <row r="24" spans="1:39" ht="14.6" x14ac:dyDescent="0.4">
      <c r="A24" s="7">
        <v>5</v>
      </c>
      <c r="B24" s="8" t="s">
        <v>307</v>
      </c>
      <c r="C24" s="191" t="s">
        <v>233</v>
      </c>
      <c r="D24" s="9">
        <f>VLOOKUP(C24,'[1]PREÇO ATUAL'!$A:$D,4,0)</f>
        <v>581.33000000000004</v>
      </c>
      <c r="E24" s="10"/>
      <c r="F24" s="10"/>
      <c r="G24" s="10"/>
      <c r="H24" s="10"/>
      <c r="I24" s="10"/>
      <c r="J24" s="10"/>
      <c r="K24" s="10"/>
      <c r="L24" s="10">
        <v>1</v>
      </c>
      <c r="M24" s="10"/>
      <c r="N24" s="10"/>
      <c r="O24" s="10"/>
      <c r="P24" s="10"/>
      <c r="Q24" s="10"/>
      <c r="R24" s="10"/>
      <c r="S24" s="10"/>
      <c r="T24" s="13">
        <f t="shared" si="22"/>
        <v>0</v>
      </c>
      <c r="U24" s="13">
        <f t="shared" ref="U24" si="41">$D$8*F24</f>
        <v>0</v>
      </c>
      <c r="V24" s="13">
        <f t="shared" ref="V24" si="42">$D$8*G24</f>
        <v>0</v>
      </c>
      <c r="W24" s="13">
        <f t="shared" ref="W24" si="43">$D$8*H24</f>
        <v>0</v>
      </c>
      <c r="X24" s="13">
        <f t="shared" ref="X24" si="44">$D$8*I24</f>
        <v>0</v>
      </c>
      <c r="Y24" s="13">
        <f t="shared" ref="Y24" si="45">$D$8*J24</f>
        <v>0</v>
      </c>
      <c r="Z24" s="13">
        <f t="shared" ref="Z24" si="46">$D$8*K24</f>
        <v>0</v>
      </c>
      <c r="AA24" s="13">
        <f t="shared" ref="AA24" si="47">$D$8*L24</f>
        <v>581.33000000000004</v>
      </c>
      <c r="AB24" s="13">
        <f t="shared" ref="AB24" si="48">$D$8*M24</f>
        <v>0</v>
      </c>
      <c r="AC24" s="13">
        <f t="shared" ref="AC24" si="49">$D$8*N24</f>
        <v>0</v>
      </c>
      <c r="AD24" s="72"/>
      <c r="AE24" s="72"/>
      <c r="AF24" s="72"/>
      <c r="AG24" s="72"/>
      <c r="AH24" s="72"/>
      <c r="AI24" s="37">
        <f t="shared" si="19"/>
        <v>2.2897825744446196E-2</v>
      </c>
      <c r="AJ24" s="13">
        <f t="shared" si="20"/>
        <v>581.33000000000004</v>
      </c>
    </row>
    <row r="25" spans="1:39" ht="22.75" x14ac:dyDescent="0.4">
      <c r="A25" s="15">
        <v>6</v>
      </c>
      <c r="B25" s="143" t="s">
        <v>315</v>
      </c>
      <c r="C25" s="192" t="s">
        <v>309</v>
      </c>
      <c r="D25" s="17">
        <f>VLOOKUP(C25,'[1]PREÇO ATUAL'!$A:$D,4,0)</f>
        <v>602.5</v>
      </c>
      <c r="E25" s="68"/>
      <c r="F25" s="68"/>
      <c r="G25" s="18"/>
      <c r="H25" s="18"/>
      <c r="I25" s="68"/>
      <c r="J25" s="18"/>
      <c r="K25" s="68"/>
      <c r="L25" s="18">
        <v>1</v>
      </c>
      <c r="M25" s="18"/>
      <c r="N25" s="68"/>
      <c r="O25" s="68"/>
      <c r="P25" s="68"/>
      <c r="Q25" s="68"/>
      <c r="R25" s="68"/>
      <c r="S25" s="68"/>
      <c r="T25" s="21">
        <f t="shared" ref="T25:AC25" si="50">$D$25*E25</f>
        <v>0</v>
      </c>
      <c r="U25" s="21">
        <f t="shared" si="50"/>
        <v>0</v>
      </c>
      <c r="V25" s="21">
        <f t="shared" si="50"/>
        <v>0</v>
      </c>
      <c r="W25" s="21">
        <f t="shared" si="50"/>
        <v>0</v>
      </c>
      <c r="X25" s="21">
        <f t="shared" si="50"/>
        <v>0</v>
      </c>
      <c r="Y25" s="21">
        <f t="shared" si="50"/>
        <v>0</v>
      </c>
      <c r="Z25" s="21">
        <f t="shared" si="50"/>
        <v>0</v>
      </c>
      <c r="AA25" s="21">
        <f t="shared" si="50"/>
        <v>602.5</v>
      </c>
      <c r="AB25" s="21">
        <f t="shared" si="50"/>
        <v>0</v>
      </c>
      <c r="AC25" s="21">
        <f t="shared" si="50"/>
        <v>0</v>
      </c>
      <c r="AD25" s="73"/>
      <c r="AE25" s="73"/>
      <c r="AF25" s="73"/>
      <c r="AG25" s="73"/>
      <c r="AH25" s="73"/>
      <c r="AI25" s="38">
        <f t="shared" si="19"/>
        <v>2.3731684260280446E-2</v>
      </c>
      <c r="AJ25" s="21">
        <f t="shared" si="20"/>
        <v>602.5</v>
      </c>
    </row>
    <row r="26" spans="1:39" ht="14.6" x14ac:dyDescent="0.4">
      <c r="A26" s="75">
        <v>7</v>
      </c>
      <c r="B26" s="76" t="s">
        <v>310</v>
      </c>
      <c r="C26" s="193" t="s">
        <v>311</v>
      </c>
      <c r="D26" s="77">
        <f>VLOOKUP(C26,'[1]PREÇO ATUAL'!$A:$D,4,0)</f>
        <v>122.51893409859807</v>
      </c>
      <c r="E26" s="78">
        <v>2.2000000000000002</v>
      </c>
      <c r="F26" s="118"/>
      <c r="G26" s="79"/>
      <c r="H26" s="79"/>
      <c r="I26" s="78">
        <v>2.2000000000000002</v>
      </c>
      <c r="J26" s="79"/>
      <c r="K26" s="118"/>
      <c r="L26" s="79"/>
      <c r="M26" s="78">
        <v>2.2000000000000002</v>
      </c>
      <c r="N26" s="118"/>
      <c r="O26" s="118"/>
      <c r="P26" s="118"/>
      <c r="Q26" s="118"/>
      <c r="R26" s="118"/>
      <c r="S26" s="118"/>
      <c r="T26" s="83">
        <f t="shared" ref="T26:AC26" si="51">$D$26*E26</f>
        <v>269.54165501691574</v>
      </c>
      <c r="U26" s="83">
        <f t="shared" si="51"/>
        <v>0</v>
      </c>
      <c r="V26" s="83">
        <f t="shared" si="51"/>
        <v>0</v>
      </c>
      <c r="W26" s="83">
        <f t="shared" si="51"/>
        <v>0</v>
      </c>
      <c r="X26" s="83">
        <f t="shared" si="51"/>
        <v>269.54165501691574</v>
      </c>
      <c r="Y26" s="83">
        <f t="shared" si="51"/>
        <v>0</v>
      </c>
      <c r="Z26" s="83">
        <f t="shared" si="51"/>
        <v>0</v>
      </c>
      <c r="AA26" s="83">
        <f t="shared" si="51"/>
        <v>0</v>
      </c>
      <c r="AB26" s="83">
        <f t="shared" si="51"/>
        <v>269.54165501691574</v>
      </c>
      <c r="AC26" s="83">
        <f t="shared" si="51"/>
        <v>0</v>
      </c>
      <c r="AD26" s="173"/>
      <c r="AE26" s="173"/>
      <c r="AF26" s="173"/>
      <c r="AG26" s="173"/>
      <c r="AH26" s="173"/>
      <c r="AI26" s="85">
        <f t="shared" si="19"/>
        <v>3.1850676108820988E-2</v>
      </c>
      <c r="AJ26" s="83">
        <f t="shared" si="20"/>
        <v>808.62496505074728</v>
      </c>
    </row>
    <row r="27" spans="1:39" ht="14.6" x14ac:dyDescent="0.4">
      <c r="A27" s="86">
        <v>8</v>
      </c>
      <c r="B27" s="87" t="s">
        <v>312</v>
      </c>
      <c r="C27" s="194" t="s">
        <v>311</v>
      </c>
      <c r="D27" s="88">
        <f>VLOOKUP(C27,'[1]PREÇO ATUAL'!$A:$D,4,0)</f>
        <v>122.51893409859807</v>
      </c>
      <c r="E27" s="120"/>
      <c r="F27" s="121"/>
      <c r="G27" s="121"/>
      <c r="H27" s="121"/>
      <c r="I27" s="89">
        <v>1.5</v>
      </c>
      <c r="J27" s="121"/>
      <c r="K27" s="121"/>
      <c r="L27" s="121"/>
      <c r="M27" s="121"/>
      <c r="N27" s="89">
        <v>1.5</v>
      </c>
      <c r="O27" s="89"/>
      <c r="P27" s="89"/>
      <c r="Q27" s="89"/>
      <c r="R27" s="89"/>
      <c r="S27" s="89"/>
      <c r="T27" s="90">
        <f t="shared" ref="T27:AC27" si="52">$D$27*E27</f>
        <v>0</v>
      </c>
      <c r="U27" s="90">
        <f t="shared" si="52"/>
        <v>0</v>
      </c>
      <c r="V27" s="90">
        <f t="shared" si="52"/>
        <v>0</v>
      </c>
      <c r="W27" s="90">
        <f t="shared" si="52"/>
        <v>0</v>
      </c>
      <c r="X27" s="90">
        <f t="shared" si="52"/>
        <v>183.77840114789711</v>
      </c>
      <c r="Y27" s="90">
        <f t="shared" si="52"/>
        <v>0</v>
      </c>
      <c r="Z27" s="90">
        <f t="shared" si="52"/>
        <v>0</v>
      </c>
      <c r="AA27" s="90">
        <f t="shared" si="52"/>
        <v>0</v>
      </c>
      <c r="AB27" s="90">
        <f t="shared" si="52"/>
        <v>0</v>
      </c>
      <c r="AC27" s="90">
        <f t="shared" si="52"/>
        <v>183.77840114789711</v>
      </c>
      <c r="AD27" s="174"/>
      <c r="AE27" s="174"/>
      <c r="AF27" s="174"/>
      <c r="AG27" s="174"/>
      <c r="AH27" s="174"/>
      <c r="AI27" s="92">
        <f t="shared" si="19"/>
        <v>1.4477580049464086E-2</v>
      </c>
      <c r="AJ27" s="90">
        <f t="shared" si="20"/>
        <v>367.55680229579423</v>
      </c>
    </row>
    <row r="28" spans="1:39" ht="15" customHeight="1" x14ac:dyDescent="0.4">
      <c r="A28" s="75">
        <v>9</v>
      </c>
      <c r="B28" s="76" t="s">
        <v>313</v>
      </c>
      <c r="C28" s="193" t="s">
        <v>268</v>
      </c>
      <c r="D28" s="77">
        <f>VLOOKUP(C28,'[1]PREÇO ATUAL'!$A:$D,4,0)</f>
        <v>32.700000000000003</v>
      </c>
      <c r="E28" s="78"/>
      <c r="F28" s="118"/>
      <c r="G28" s="79"/>
      <c r="H28" s="79"/>
      <c r="I28" s="78"/>
      <c r="J28" s="79"/>
      <c r="K28" s="118"/>
      <c r="L28" s="79"/>
      <c r="M28" s="78"/>
      <c r="N28" s="118"/>
      <c r="O28" s="118"/>
      <c r="P28" s="118"/>
      <c r="Q28" s="118"/>
      <c r="R28" s="118"/>
      <c r="S28" s="118"/>
      <c r="T28" s="83">
        <f t="shared" ref="T28:AC28" si="53">$D$28*E28</f>
        <v>0</v>
      </c>
      <c r="U28" s="83">
        <f t="shared" si="53"/>
        <v>0</v>
      </c>
      <c r="V28" s="83">
        <f t="shared" si="53"/>
        <v>0</v>
      </c>
      <c r="W28" s="83">
        <f t="shared" si="53"/>
        <v>0</v>
      </c>
      <c r="X28" s="83">
        <f t="shared" si="53"/>
        <v>0</v>
      </c>
      <c r="Y28" s="83">
        <f t="shared" si="53"/>
        <v>0</v>
      </c>
      <c r="Z28" s="83">
        <f t="shared" si="53"/>
        <v>0</v>
      </c>
      <c r="AA28" s="83">
        <f t="shared" si="53"/>
        <v>0</v>
      </c>
      <c r="AB28" s="83">
        <f t="shared" si="53"/>
        <v>0</v>
      </c>
      <c r="AC28" s="83">
        <f t="shared" si="53"/>
        <v>0</v>
      </c>
      <c r="AD28" s="173"/>
      <c r="AE28" s="173"/>
      <c r="AF28" s="173"/>
      <c r="AG28" s="173"/>
      <c r="AH28" s="173"/>
      <c r="AI28" s="85">
        <f t="shared" si="19"/>
        <v>0</v>
      </c>
      <c r="AJ28" s="83">
        <f t="shared" si="20"/>
        <v>0</v>
      </c>
    </row>
    <row r="29" spans="1:39" ht="14.6" x14ac:dyDescent="0.4">
      <c r="A29" s="86">
        <v>10</v>
      </c>
      <c r="B29" s="87" t="s">
        <v>314</v>
      </c>
      <c r="C29" s="194" t="s">
        <v>244</v>
      </c>
      <c r="D29" s="88">
        <f>VLOOKUP(C29,'[1]PREÇO ATUAL'!$A:$D,4,0)</f>
        <v>98.47</v>
      </c>
      <c r="E29" s="89">
        <v>6.6</v>
      </c>
      <c r="F29" s="89">
        <v>6.6</v>
      </c>
      <c r="G29" s="89">
        <v>6.6</v>
      </c>
      <c r="H29" s="89">
        <v>6.6</v>
      </c>
      <c r="I29" s="89">
        <v>6.6</v>
      </c>
      <c r="J29" s="89">
        <v>6.6</v>
      </c>
      <c r="K29" s="89">
        <v>6.6</v>
      </c>
      <c r="L29" s="89">
        <v>6.6</v>
      </c>
      <c r="M29" s="89">
        <v>6.6</v>
      </c>
      <c r="N29" s="89">
        <v>6.6</v>
      </c>
      <c r="O29" s="89"/>
      <c r="P29" s="89"/>
      <c r="Q29" s="89"/>
      <c r="R29" s="89"/>
      <c r="S29" s="89"/>
      <c r="T29" s="90">
        <f t="shared" ref="T29:AC29" si="54">$D$29*E29</f>
        <v>649.90199999999993</v>
      </c>
      <c r="U29" s="90">
        <f t="shared" si="54"/>
        <v>649.90199999999993</v>
      </c>
      <c r="V29" s="90">
        <f t="shared" si="54"/>
        <v>649.90199999999993</v>
      </c>
      <c r="W29" s="90">
        <f t="shared" si="54"/>
        <v>649.90199999999993</v>
      </c>
      <c r="X29" s="90">
        <f t="shared" si="54"/>
        <v>649.90199999999993</v>
      </c>
      <c r="Y29" s="90">
        <f t="shared" si="54"/>
        <v>649.90199999999993</v>
      </c>
      <c r="Z29" s="90">
        <f t="shared" si="54"/>
        <v>649.90199999999993</v>
      </c>
      <c r="AA29" s="90">
        <f t="shared" si="54"/>
        <v>649.90199999999993</v>
      </c>
      <c r="AB29" s="90">
        <f t="shared" si="54"/>
        <v>649.90199999999993</v>
      </c>
      <c r="AC29" s="90">
        <f t="shared" si="54"/>
        <v>649.90199999999993</v>
      </c>
      <c r="AD29" s="174"/>
      <c r="AE29" s="174"/>
      <c r="AF29" s="174"/>
      <c r="AG29" s="174"/>
      <c r="AH29" s="174"/>
      <c r="AI29" s="92">
        <f t="shared" si="19"/>
        <v>0.25598786828422876</v>
      </c>
      <c r="AJ29" s="90">
        <f t="shared" si="20"/>
        <v>6499.0199999999995</v>
      </c>
    </row>
    <row r="30" spans="1:39" ht="14.6" x14ac:dyDescent="0.4">
      <c r="A30" s="75">
        <v>11</v>
      </c>
      <c r="B30" s="76" t="s">
        <v>293</v>
      </c>
      <c r="C30" s="193" t="s">
        <v>39</v>
      </c>
      <c r="D30" s="77">
        <f>VLOOKUP(C30,'[1]PREÇO ATUAL'!$A:$D,4,0)</f>
        <v>342</v>
      </c>
      <c r="E30" s="119">
        <v>2.95</v>
      </c>
      <c r="F30" s="119">
        <v>2.65</v>
      </c>
      <c r="G30" s="119">
        <v>2.65</v>
      </c>
      <c r="H30" s="119">
        <v>2.75</v>
      </c>
      <c r="I30" s="119">
        <v>3.25</v>
      </c>
      <c r="J30" s="119">
        <v>2.65</v>
      </c>
      <c r="K30" s="119">
        <v>2.65</v>
      </c>
      <c r="L30" s="119">
        <v>5.2</v>
      </c>
      <c r="M30" s="119">
        <v>2.95</v>
      </c>
      <c r="N30" s="119">
        <v>2.95</v>
      </c>
      <c r="O30" s="119"/>
      <c r="P30" s="119"/>
      <c r="Q30" s="119"/>
      <c r="R30" s="119"/>
      <c r="S30" s="119"/>
      <c r="T30" s="83">
        <f t="shared" ref="T30:AC30" si="55">$D$30*E30</f>
        <v>1008.9000000000001</v>
      </c>
      <c r="U30" s="83">
        <f t="shared" si="55"/>
        <v>906.3</v>
      </c>
      <c r="V30" s="83">
        <f t="shared" si="55"/>
        <v>906.3</v>
      </c>
      <c r="W30" s="83">
        <f t="shared" si="55"/>
        <v>940.5</v>
      </c>
      <c r="X30" s="83">
        <f t="shared" si="55"/>
        <v>1111.5</v>
      </c>
      <c r="Y30" s="83">
        <f t="shared" si="55"/>
        <v>906.3</v>
      </c>
      <c r="Z30" s="83">
        <f t="shared" si="55"/>
        <v>906.3</v>
      </c>
      <c r="AA30" s="83">
        <f t="shared" si="55"/>
        <v>1778.4</v>
      </c>
      <c r="AB30" s="83">
        <f t="shared" si="55"/>
        <v>1008.9000000000001</v>
      </c>
      <c r="AC30" s="83">
        <f t="shared" si="55"/>
        <v>1008.9000000000001</v>
      </c>
      <c r="AD30" s="173"/>
      <c r="AE30" s="173"/>
      <c r="AF30" s="173"/>
      <c r="AG30" s="173"/>
      <c r="AH30" s="173"/>
      <c r="AI30" s="85">
        <f t="shared" si="19"/>
        <v>0.41288403970379706</v>
      </c>
      <c r="AJ30" s="83">
        <f t="shared" si="20"/>
        <v>10482.299999999999</v>
      </c>
    </row>
    <row r="31" spans="1:39" ht="14.6" x14ac:dyDescent="0.4">
      <c r="A31" s="86">
        <v>12</v>
      </c>
      <c r="B31" s="144" t="s">
        <v>316</v>
      </c>
      <c r="C31" s="194" t="s">
        <v>317</v>
      </c>
      <c r="D31" s="88">
        <f>VLOOKUP(C31,'[1]PREÇO ATUAL'!$A:$D,4,0)</f>
        <v>108.90736101994595</v>
      </c>
      <c r="E31" s="89"/>
      <c r="F31" s="89"/>
      <c r="G31" s="89"/>
      <c r="H31" s="89"/>
      <c r="I31" s="89"/>
      <c r="J31" s="89"/>
      <c r="K31" s="89"/>
      <c r="L31" s="89">
        <v>7</v>
      </c>
      <c r="M31" s="89"/>
      <c r="N31" s="89"/>
      <c r="O31" s="89"/>
      <c r="P31" s="89"/>
      <c r="Q31" s="89"/>
      <c r="R31" s="89"/>
      <c r="S31" s="89"/>
      <c r="T31" s="90">
        <f t="shared" ref="T31:AC31" si="56">$D$31*E31</f>
        <v>0</v>
      </c>
      <c r="U31" s="90">
        <f t="shared" si="56"/>
        <v>0</v>
      </c>
      <c r="V31" s="90">
        <f t="shared" si="56"/>
        <v>0</v>
      </c>
      <c r="W31" s="90">
        <f t="shared" si="56"/>
        <v>0</v>
      </c>
      <c r="X31" s="90">
        <f t="shared" si="56"/>
        <v>0</v>
      </c>
      <c r="Y31" s="90">
        <f t="shared" si="56"/>
        <v>0</v>
      </c>
      <c r="Z31" s="90">
        <f t="shared" si="56"/>
        <v>0</v>
      </c>
      <c r="AA31" s="90">
        <f t="shared" si="56"/>
        <v>762.35152713962168</v>
      </c>
      <c r="AB31" s="90">
        <f t="shared" si="56"/>
        <v>0</v>
      </c>
      <c r="AC31" s="90">
        <f t="shared" si="56"/>
        <v>0</v>
      </c>
      <c r="AD31" s="174"/>
      <c r="AE31" s="174"/>
      <c r="AF31" s="174"/>
      <c r="AG31" s="174"/>
      <c r="AH31" s="174"/>
      <c r="AI31" s="92">
        <f t="shared" ref="AI31" si="57">AJ31/$AI$2</f>
        <v>3.0028026120199374E-2</v>
      </c>
      <c r="AJ31" s="90">
        <f t="shared" ref="AJ31" si="58">SUM(T31:AC31)</f>
        <v>762.35152713962168</v>
      </c>
    </row>
    <row r="32" spans="1:39" ht="15.75" customHeight="1" x14ac:dyDescent="0.4">
      <c r="H32" s="39"/>
      <c r="L32" s="39"/>
    </row>
    <row r="33" spans="1:36" ht="15.75" customHeight="1" x14ac:dyDescent="0.4">
      <c r="A33" s="222" t="s">
        <v>318</v>
      </c>
      <c r="B33" s="223"/>
      <c r="C33" s="223"/>
      <c r="D33" s="234"/>
      <c r="E33" s="126" t="s">
        <v>3</v>
      </c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5" t="s">
        <v>4</v>
      </c>
      <c r="U33" s="125"/>
      <c r="V33" s="125"/>
      <c r="W33" s="125"/>
      <c r="X33" s="125"/>
      <c r="Y33" s="125"/>
      <c r="Z33" s="125"/>
      <c r="AA33" s="125"/>
      <c r="AB33" s="125"/>
      <c r="AC33" s="125"/>
      <c r="AD33" s="139"/>
      <c r="AE33" s="139"/>
      <c r="AF33" s="139"/>
      <c r="AG33" s="139"/>
      <c r="AH33" s="139"/>
      <c r="AI33" s="229" t="s">
        <v>5</v>
      </c>
      <c r="AJ33" s="229"/>
    </row>
    <row r="34" spans="1:36" ht="15.75" customHeight="1" x14ac:dyDescent="0.4">
      <c r="A34" s="224"/>
      <c r="B34" s="225"/>
      <c r="C34" s="225"/>
      <c r="D34" s="235"/>
      <c r="E34" s="141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2">
        <f t="shared" ref="T34:AH34" si="59">MROUND(SUM(T36:T46),1)</f>
        <v>1868</v>
      </c>
      <c r="U34" s="2">
        <f t="shared" si="59"/>
        <v>1768</v>
      </c>
      <c r="V34" s="2">
        <f t="shared" si="59"/>
        <v>1538</v>
      </c>
      <c r="W34" s="2">
        <f t="shared" si="59"/>
        <v>1888</v>
      </c>
      <c r="X34" s="2">
        <f t="shared" si="59"/>
        <v>1555</v>
      </c>
      <c r="Y34" s="2">
        <f t="shared" si="59"/>
        <v>2207</v>
      </c>
      <c r="Z34" s="2">
        <f t="shared" si="59"/>
        <v>1538</v>
      </c>
      <c r="AA34" s="2">
        <f t="shared" si="59"/>
        <v>1888</v>
      </c>
      <c r="AB34" s="2">
        <f t="shared" si="59"/>
        <v>1538</v>
      </c>
      <c r="AC34" s="2">
        <f t="shared" si="59"/>
        <v>1768</v>
      </c>
      <c r="AD34" s="2">
        <f t="shared" si="59"/>
        <v>1555</v>
      </c>
      <c r="AE34" s="2">
        <f t="shared" si="59"/>
        <v>3068</v>
      </c>
      <c r="AF34" s="2">
        <f t="shared" si="59"/>
        <v>1641</v>
      </c>
      <c r="AG34" s="2">
        <f t="shared" si="59"/>
        <v>1768</v>
      </c>
      <c r="AH34" s="2">
        <f t="shared" si="59"/>
        <v>1641</v>
      </c>
      <c r="AI34" s="221">
        <f>SUM(T34:AH34)</f>
        <v>27229</v>
      </c>
      <c r="AJ34" s="220"/>
    </row>
    <row r="35" spans="1:36" ht="15.75" customHeight="1" x14ac:dyDescent="0.4">
      <c r="A35" s="3" t="s">
        <v>6</v>
      </c>
      <c r="B35" s="3" t="s">
        <v>7</v>
      </c>
      <c r="C35" s="3" t="s">
        <v>8</v>
      </c>
      <c r="D35" s="4" t="s">
        <v>9</v>
      </c>
      <c r="E35" s="5" t="s">
        <v>10</v>
      </c>
      <c r="F35" s="5" t="s">
        <v>11</v>
      </c>
      <c r="G35" s="5" t="s">
        <v>12</v>
      </c>
      <c r="H35" s="5" t="s">
        <v>13</v>
      </c>
      <c r="I35" s="5" t="s">
        <v>14</v>
      </c>
      <c r="J35" s="5" t="s">
        <v>15</v>
      </c>
      <c r="K35" s="5" t="s">
        <v>16</v>
      </c>
      <c r="L35" s="5" t="s">
        <v>17</v>
      </c>
      <c r="M35" s="170" t="s">
        <v>18</v>
      </c>
      <c r="N35" s="5" t="s">
        <v>19</v>
      </c>
      <c r="O35" s="148" t="s">
        <v>257</v>
      </c>
      <c r="P35" s="5" t="s">
        <v>258</v>
      </c>
      <c r="Q35" s="5" t="s">
        <v>259</v>
      </c>
      <c r="R35" s="5" t="s">
        <v>260</v>
      </c>
      <c r="S35" s="5" t="s">
        <v>261</v>
      </c>
      <c r="T35" s="36">
        <v>10000</v>
      </c>
      <c r="U35" s="36">
        <v>20000</v>
      </c>
      <c r="V35" s="36">
        <v>30000</v>
      </c>
      <c r="W35" s="36">
        <v>40000</v>
      </c>
      <c r="X35" s="36">
        <v>50000</v>
      </c>
      <c r="Y35" s="36">
        <v>60000</v>
      </c>
      <c r="Z35" s="36">
        <v>70000</v>
      </c>
      <c r="AA35" s="36">
        <v>80000</v>
      </c>
      <c r="AB35" s="36">
        <v>90000</v>
      </c>
      <c r="AC35" s="36">
        <v>100000</v>
      </c>
      <c r="AD35" s="65">
        <f>AC35+10000</f>
        <v>110000</v>
      </c>
      <c r="AE35" s="65">
        <f t="shared" ref="AE35:AH35" si="60">AD35+10000</f>
        <v>120000</v>
      </c>
      <c r="AF35" s="65">
        <f t="shared" si="60"/>
        <v>130000</v>
      </c>
      <c r="AG35" s="65">
        <f t="shared" si="60"/>
        <v>140000</v>
      </c>
      <c r="AH35" s="65">
        <f t="shared" si="60"/>
        <v>150000</v>
      </c>
      <c r="AI35" s="6" t="s">
        <v>20</v>
      </c>
      <c r="AJ35" s="3" t="s">
        <v>21</v>
      </c>
    </row>
    <row r="36" spans="1:36" ht="15.75" customHeight="1" x14ac:dyDescent="0.4">
      <c r="A36" s="7">
        <v>1</v>
      </c>
      <c r="B36" s="8" t="s">
        <v>216</v>
      </c>
      <c r="C36" s="185" t="s">
        <v>207</v>
      </c>
      <c r="D36" s="9">
        <f>VLOOKUP(C36,'[1]PREÇO ATUAL'!$A:$D,4,0)</f>
        <v>123</v>
      </c>
      <c r="E36" s="10">
        <v>1</v>
      </c>
      <c r="F36" s="10">
        <v>1</v>
      </c>
      <c r="G36" s="10">
        <v>1</v>
      </c>
      <c r="H36" s="10">
        <v>1</v>
      </c>
      <c r="I36" s="10">
        <v>1</v>
      </c>
      <c r="J36" s="10">
        <v>1</v>
      </c>
      <c r="K36" s="10">
        <v>1</v>
      </c>
      <c r="L36" s="10">
        <v>1</v>
      </c>
      <c r="M36" s="11">
        <v>1</v>
      </c>
      <c r="N36" s="10">
        <v>1</v>
      </c>
      <c r="O36" s="10">
        <v>1</v>
      </c>
      <c r="P36" s="10">
        <v>1</v>
      </c>
      <c r="Q36" s="10">
        <v>1</v>
      </c>
      <c r="R36" s="10">
        <v>1</v>
      </c>
      <c r="S36" s="10">
        <v>1</v>
      </c>
      <c r="T36" s="13">
        <f t="shared" ref="T36:T45" si="61">$D36*E36</f>
        <v>123</v>
      </c>
      <c r="U36" s="13">
        <f t="shared" ref="U36:U45" si="62">$D36*F36</f>
        <v>123</v>
      </c>
      <c r="V36" s="13">
        <f t="shared" ref="V36:V45" si="63">$D36*G36</f>
        <v>123</v>
      </c>
      <c r="W36" s="13">
        <f t="shared" ref="W36:W45" si="64">$D36*H36</f>
        <v>123</v>
      </c>
      <c r="X36" s="13">
        <f t="shared" ref="X36:X45" si="65">$D36*I36</f>
        <v>123</v>
      </c>
      <c r="Y36" s="13">
        <f t="shared" ref="Y36:Y45" si="66">$D36*J36</f>
        <v>123</v>
      </c>
      <c r="Z36" s="13">
        <f t="shared" ref="Z36:Z45" si="67">$D36*K36</f>
        <v>123</v>
      </c>
      <c r="AA36" s="13">
        <f t="shared" ref="AA36:AA45" si="68">$D36*L36</f>
        <v>123</v>
      </c>
      <c r="AB36" s="13">
        <f t="shared" ref="AB36:AB45" si="69">$D36*M36</f>
        <v>123</v>
      </c>
      <c r="AC36" s="13">
        <f t="shared" ref="AC36:AC45" si="70">$D36*N36</f>
        <v>123</v>
      </c>
      <c r="AD36" s="13">
        <f t="shared" ref="AD36:AH46" si="71">$D36*O36</f>
        <v>123</v>
      </c>
      <c r="AE36" s="13">
        <f t="shared" si="71"/>
        <v>123</v>
      </c>
      <c r="AF36" s="13">
        <f t="shared" si="71"/>
        <v>123</v>
      </c>
      <c r="AG36" s="13">
        <f t="shared" si="71"/>
        <v>123</v>
      </c>
      <c r="AH36" s="13">
        <f t="shared" si="71"/>
        <v>123</v>
      </c>
      <c r="AI36" s="37">
        <f t="shared" ref="AI36:AI46" si="72">AJ36/$AI$2</f>
        <v>7.2672128564676225E-2</v>
      </c>
      <c r="AJ36" s="13">
        <f>SUM(T36:AH36)</f>
        <v>1845</v>
      </c>
    </row>
    <row r="37" spans="1:36" ht="15.75" customHeight="1" x14ac:dyDescent="0.4">
      <c r="A37" s="15">
        <v>2</v>
      </c>
      <c r="B37" s="16" t="s">
        <v>217</v>
      </c>
      <c r="C37" s="186" t="s">
        <v>199</v>
      </c>
      <c r="D37" s="17">
        <f>VLOOKUP(C37,'[1]PREÇO ATUAL'!$A:$D,4,0)</f>
        <v>379</v>
      </c>
      <c r="E37" s="18">
        <v>1</v>
      </c>
      <c r="F37" s="18">
        <v>1</v>
      </c>
      <c r="G37" s="18">
        <v>1</v>
      </c>
      <c r="H37" s="18">
        <v>1</v>
      </c>
      <c r="I37" s="18">
        <v>1</v>
      </c>
      <c r="J37" s="18">
        <v>1</v>
      </c>
      <c r="K37" s="18">
        <v>1</v>
      </c>
      <c r="L37" s="18">
        <v>1</v>
      </c>
      <c r="M37" s="19">
        <v>1</v>
      </c>
      <c r="N37" s="18">
        <v>1</v>
      </c>
      <c r="O37" s="18">
        <v>1</v>
      </c>
      <c r="P37" s="18">
        <v>1</v>
      </c>
      <c r="Q37" s="18">
        <v>1</v>
      </c>
      <c r="R37" s="18">
        <v>1</v>
      </c>
      <c r="S37" s="18">
        <v>1</v>
      </c>
      <c r="T37" s="21">
        <f t="shared" si="61"/>
        <v>379</v>
      </c>
      <c r="U37" s="21">
        <f t="shared" si="62"/>
        <v>379</v>
      </c>
      <c r="V37" s="21">
        <f t="shared" si="63"/>
        <v>379</v>
      </c>
      <c r="W37" s="21">
        <f t="shared" si="64"/>
        <v>379</v>
      </c>
      <c r="X37" s="21">
        <f t="shared" si="65"/>
        <v>379</v>
      </c>
      <c r="Y37" s="21">
        <f t="shared" si="66"/>
        <v>379</v>
      </c>
      <c r="Z37" s="21">
        <f t="shared" si="67"/>
        <v>379</v>
      </c>
      <c r="AA37" s="21">
        <f t="shared" si="68"/>
        <v>379</v>
      </c>
      <c r="AB37" s="21">
        <f t="shared" si="69"/>
        <v>379</v>
      </c>
      <c r="AC37" s="21">
        <f t="shared" si="70"/>
        <v>379</v>
      </c>
      <c r="AD37" s="21">
        <f t="shared" si="71"/>
        <v>379</v>
      </c>
      <c r="AE37" s="21">
        <f t="shared" si="71"/>
        <v>379</v>
      </c>
      <c r="AF37" s="21">
        <f t="shared" si="71"/>
        <v>379</v>
      </c>
      <c r="AG37" s="21">
        <f t="shared" si="71"/>
        <v>379</v>
      </c>
      <c r="AH37" s="21">
        <f t="shared" si="71"/>
        <v>379</v>
      </c>
      <c r="AI37" s="38">
        <f t="shared" si="72"/>
        <v>0.2239246888293682</v>
      </c>
      <c r="AJ37" s="21">
        <f t="shared" ref="AJ37:AJ46" si="73">SUM(T37:AH37)</f>
        <v>5685</v>
      </c>
    </row>
    <row r="38" spans="1:36" ht="15.75" customHeight="1" x14ac:dyDescent="0.4">
      <c r="A38" s="7">
        <v>3</v>
      </c>
      <c r="B38" s="8" t="s">
        <v>262</v>
      </c>
      <c r="C38" s="185" t="s">
        <v>319</v>
      </c>
      <c r="D38" s="9">
        <f>VLOOKUP(C38,'[1]PREÇO ATUAL'!$A:$D,4,0)</f>
        <v>212.95</v>
      </c>
      <c r="E38" s="10"/>
      <c r="F38" s="10">
        <v>1</v>
      </c>
      <c r="G38" s="10"/>
      <c r="H38" s="10">
        <v>1</v>
      </c>
      <c r="I38" s="10"/>
      <c r="J38" s="10">
        <v>1</v>
      </c>
      <c r="K38" s="10"/>
      <c r="L38" s="10">
        <v>1</v>
      </c>
      <c r="M38" s="11"/>
      <c r="N38" s="10">
        <v>1</v>
      </c>
      <c r="O38" s="67"/>
      <c r="P38" s="10">
        <v>1</v>
      </c>
      <c r="Q38" s="10"/>
      <c r="R38" s="10">
        <v>1</v>
      </c>
      <c r="S38" s="10"/>
      <c r="T38" s="13">
        <f t="shared" si="61"/>
        <v>0</v>
      </c>
      <c r="U38" s="13">
        <f>$D38*F38</f>
        <v>212.95</v>
      </c>
      <c r="V38" s="13">
        <f t="shared" si="63"/>
        <v>0</v>
      </c>
      <c r="W38" s="13">
        <f t="shared" si="64"/>
        <v>212.95</v>
      </c>
      <c r="X38" s="13">
        <f t="shared" si="65"/>
        <v>0</v>
      </c>
      <c r="Y38" s="13">
        <f t="shared" si="66"/>
        <v>212.95</v>
      </c>
      <c r="Z38" s="13">
        <f t="shared" si="67"/>
        <v>0</v>
      </c>
      <c r="AA38" s="13">
        <f t="shared" si="68"/>
        <v>212.95</v>
      </c>
      <c r="AB38" s="13">
        <f t="shared" si="69"/>
        <v>0</v>
      </c>
      <c r="AC38" s="13">
        <f t="shared" si="70"/>
        <v>212.95</v>
      </c>
      <c r="AD38" s="13">
        <f t="shared" si="71"/>
        <v>0</v>
      </c>
      <c r="AE38" s="13">
        <f>$D38*P38</f>
        <v>212.95</v>
      </c>
      <c r="AF38" s="13">
        <f t="shared" si="71"/>
        <v>0</v>
      </c>
      <c r="AG38" s="13">
        <f t="shared" si="71"/>
        <v>212.95</v>
      </c>
      <c r="AH38" s="13">
        <f t="shared" si="71"/>
        <v>0</v>
      </c>
      <c r="AI38" s="37">
        <f t="shared" ref="AI38" si="74">AJ38/$AI$2</f>
        <v>5.8714747124625814E-2</v>
      </c>
      <c r="AJ38" s="13">
        <f t="shared" si="73"/>
        <v>1490.65</v>
      </c>
    </row>
    <row r="39" spans="1:36" ht="33" x14ac:dyDescent="0.4">
      <c r="A39" s="86">
        <v>4</v>
      </c>
      <c r="B39" s="144" t="s">
        <v>320</v>
      </c>
      <c r="C39" s="189" t="s">
        <v>321</v>
      </c>
      <c r="D39" s="88">
        <f>VLOOKUP(C39,'[1]PREÇO ATUAL'!$A:$D,4,0)</f>
        <v>103.45</v>
      </c>
      <c r="E39" s="108">
        <v>2.2000000000000002</v>
      </c>
      <c r="F39" s="98"/>
      <c r="G39" s="98"/>
      <c r="H39" s="98"/>
      <c r="I39" s="99"/>
      <c r="J39" s="99"/>
      <c r="K39" s="99"/>
      <c r="L39" s="99"/>
      <c r="M39" s="99"/>
      <c r="N39" s="98"/>
      <c r="O39" s="169"/>
      <c r="P39" s="99"/>
      <c r="Q39" s="99"/>
      <c r="R39" s="99"/>
      <c r="S39" s="99"/>
      <c r="T39" s="90">
        <f>$D39*E39</f>
        <v>227.59000000000003</v>
      </c>
      <c r="U39" s="90">
        <f t="shared" si="62"/>
        <v>0</v>
      </c>
      <c r="V39" s="90">
        <f t="shared" si="63"/>
        <v>0</v>
      </c>
      <c r="W39" s="90">
        <f t="shared" si="64"/>
        <v>0</v>
      </c>
      <c r="X39" s="90">
        <f t="shared" si="65"/>
        <v>0</v>
      </c>
      <c r="Y39" s="90">
        <f t="shared" si="66"/>
        <v>0</v>
      </c>
      <c r="Z39" s="90">
        <f t="shared" si="67"/>
        <v>0</v>
      </c>
      <c r="AA39" s="90">
        <f t="shared" si="68"/>
        <v>0</v>
      </c>
      <c r="AB39" s="90">
        <f t="shared" si="69"/>
        <v>0</v>
      </c>
      <c r="AC39" s="90">
        <f t="shared" si="70"/>
        <v>0</v>
      </c>
      <c r="AD39" s="90">
        <f t="shared" si="71"/>
        <v>0</v>
      </c>
      <c r="AE39" s="90">
        <f t="shared" si="71"/>
        <v>0</v>
      </c>
      <c r="AF39" s="90">
        <f t="shared" si="71"/>
        <v>0</v>
      </c>
      <c r="AG39" s="90">
        <f t="shared" si="71"/>
        <v>0</v>
      </c>
      <c r="AH39" s="90">
        <f t="shared" si="71"/>
        <v>0</v>
      </c>
      <c r="AI39" s="92">
        <f t="shared" si="72"/>
        <v>8.9644714038128268E-3</v>
      </c>
      <c r="AJ39" s="90">
        <f t="shared" si="73"/>
        <v>227.59000000000003</v>
      </c>
    </row>
    <row r="40" spans="1:36" ht="24.9" x14ac:dyDescent="0.4">
      <c r="A40" s="7">
        <v>5</v>
      </c>
      <c r="B40" s="142" t="s">
        <v>322</v>
      </c>
      <c r="C40" s="185" t="s">
        <v>323</v>
      </c>
      <c r="D40" s="9">
        <f>VLOOKUP(C40,'[1]PREÇO ATUAL'!$A:$D,4,0)</f>
        <v>165.76</v>
      </c>
      <c r="E40" s="45"/>
      <c r="F40" s="45"/>
      <c r="G40" s="45"/>
      <c r="H40" s="45"/>
      <c r="I40" s="45"/>
      <c r="J40" s="45">
        <v>2.5</v>
      </c>
      <c r="K40" s="45"/>
      <c r="L40" s="45"/>
      <c r="M40" s="46"/>
      <c r="N40" s="45"/>
      <c r="O40" s="171"/>
      <c r="P40" s="45"/>
      <c r="Q40" s="45"/>
      <c r="R40" s="45"/>
      <c r="S40" s="45"/>
      <c r="T40" s="13">
        <f t="shared" ref="T40:T42" si="75">$D40*E40</f>
        <v>0</v>
      </c>
      <c r="U40" s="13">
        <f t="shared" ref="U40:U42" si="76">$D40*F40</f>
        <v>0</v>
      </c>
      <c r="V40" s="13">
        <f t="shared" ref="V40:V42" si="77">$D40*G40</f>
        <v>0</v>
      </c>
      <c r="W40" s="13">
        <f t="shared" ref="W40:W42" si="78">$D40*H40</f>
        <v>0</v>
      </c>
      <c r="X40" s="13">
        <f t="shared" ref="X40:X42" si="79">$D40*I40</f>
        <v>0</v>
      </c>
      <c r="Y40" s="13">
        <f>$D40*J40</f>
        <v>414.4</v>
      </c>
      <c r="Z40" s="13">
        <f t="shared" ref="Z40:Z42" si="80">$D40*K40</f>
        <v>0</v>
      </c>
      <c r="AA40" s="13">
        <f t="shared" ref="AA40:AA42" si="81">$D40*L40</f>
        <v>0</v>
      </c>
      <c r="AB40" s="13">
        <f t="shared" ref="AB40:AB42" si="82">$D40*M40</f>
        <v>0</v>
      </c>
      <c r="AC40" s="13">
        <f t="shared" ref="AC40:AC42" si="83">$D40*N40</f>
        <v>0</v>
      </c>
      <c r="AD40" s="13">
        <f t="shared" ref="AD40:AD42" si="84">$D40*O40</f>
        <v>0</v>
      </c>
      <c r="AE40" s="13">
        <f t="shared" ref="AE40:AE42" si="85">$D40*P40</f>
        <v>0</v>
      </c>
      <c r="AF40" s="13">
        <f t="shared" ref="AF40:AF42" si="86">$D40*Q40</f>
        <v>0</v>
      </c>
      <c r="AG40" s="13">
        <f t="shared" ref="AG40:AG42" si="87">$D40*R40</f>
        <v>0</v>
      </c>
      <c r="AH40" s="13">
        <f t="shared" ref="AH40:AH42" si="88">$D40*S40</f>
        <v>0</v>
      </c>
      <c r="AI40" s="37">
        <f t="shared" ref="AI40:AI42" si="89">AJ40/$AI$2</f>
        <v>1.6322672128564676E-2</v>
      </c>
      <c r="AJ40" s="13">
        <f t="shared" ref="AJ40:AJ42" si="90">SUM(T40:AH40)</f>
        <v>414.4</v>
      </c>
    </row>
    <row r="41" spans="1:36" ht="22.75" x14ac:dyDescent="0.4">
      <c r="A41" s="86">
        <v>6</v>
      </c>
      <c r="B41" s="144" t="s">
        <v>264</v>
      </c>
      <c r="C41" s="189" t="s">
        <v>324</v>
      </c>
      <c r="D41" s="88">
        <f>VLOOKUP(C41,'[1]PREÇO ATUAL'!$A:$D,4,0)</f>
        <v>283.39</v>
      </c>
      <c r="E41" s="98"/>
      <c r="F41" s="98"/>
      <c r="G41" s="98"/>
      <c r="H41" s="98"/>
      <c r="I41" s="99"/>
      <c r="J41" s="99"/>
      <c r="K41" s="99"/>
      <c r="L41" s="99"/>
      <c r="M41" s="99"/>
      <c r="N41" s="98"/>
      <c r="O41" s="169"/>
      <c r="P41" s="99"/>
      <c r="Q41" s="99"/>
      <c r="R41" s="99"/>
      <c r="S41" s="99"/>
      <c r="T41" s="90">
        <f t="shared" si="75"/>
        <v>0</v>
      </c>
      <c r="U41" s="90">
        <f t="shared" si="76"/>
        <v>0</v>
      </c>
      <c r="V41" s="90">
        <f t="shared" si="77"/>
        <v>0</v>
      </c>
      <c r="W41" s="90">
        <f t="shared" si="78"/>
        <v>0</v>
      </c>
      <c r="X41" s="90">
        <f t="shared" si="79"/>
        <v>0</v>
      </c>
      <c r="Y41" s="90">
        <f t="shared" ref="Y41:Y42" si="91">$D41*J41</f>
        <v>0</v>
      </c>
      <c r="Z41" s="90">
        <f t="shared" si="80"/>
        <v>0</v>
      </c>
      <c r="AA41" s="90">
        <f t="shared" si="81"/>
        <v>0</v>
      </c>
      <c r="AB41" s="90">
        <f t="shared" si="82"/>
        <v>0</v>
      </c>
      <c r="AC41" s="90">
        <f t="shared" si="83"/>
        <v>0</v>
      </c>
      <c r="AD41" s="90">
        <f t="shared" si="84"/>
        <v>0</v>
      </c>
      <c r="AE41" s="90">
        <f t="shared" si="85"/>
        <v>0</v>
      </c>
      <c r="AF41" s="90">
        <f t="shared" si="86"/>
        <v>0</v>
      </c>
      <c r="AG41" s="90">
        <f t="shared" si="87"/>
        <v>0</v>
      </c>
      <c r="AH41" s="90">
        <f t="shared" si="88"/>
        <v>0</v>
      </c>
      <c r="AI41" s="92">
        <f t="shared" si="89"/>
        <v>0</v>
      </c>
      <c r="AJ41" s="90">
        <f t="shared" si="90"/>
        <v>0</v>
      </c>
    </row>
    <row r="42" spans="1:36" ht="22.75" x14ac:dyDescent="0.4">
      <c r="A42" s="7">
        <v>7</v>
      </c>
      <c r="B42" s="142" t="s">
        <v>325</v>
      </c>
      <c r="C42" s="185" t="s">
        <v>213</v>
      </c>
      <c r="D42" s="9">
        <f>VLOOKUP(C42,'[1]PREÇO ATUAL'!$A:$D,4,0)</f>
        <v>567.54999999999995</v>
      </c>
      <c r="E42" s="10"/>
      <c r="F42" s="10"/>
      <c r="G42" s="10"/>
      <c r="H42" s="10"/>
      <c r="I42" s="10"/>
      <c r="J42" s="10"/>
      <c r="K42" s="10"/>
      <c r="L42" s="10"/>
      <c r="M42" s="11"/>
      <c r="N42" s="10"/>
      <c r="O42" s="67"/>
      <c r="P42" s="10"/>
      <c r="Q42" s="10"/>
      <c r="R42" s="10"/>
      <c r="S42" s="10"/>
      <c r="T42" s="13">
        <f t="shared" si="75"/>
        <v>0</v>
      </c>
      <c r="U42" s="13">
        <f t="shared" si="76"/>
        <v>0</v>
      </c>
      <c r="V42" s="13">
        <f t="shared" si="77"/>
        <v>0</v>
      </c>
      <c r="W42" s="13">
        <f t="shared" si="78"/>
        <v>0</v>
      </c>
      <c r="X42" s="13">
        <f t="shared" si="79"/>
        <v>0</v>
      </c>
      <c r="Y42" s="13">
        <f t="shared" si="91"/>
        <v>0</v>
      </c>
      <c r="Z42" s="13">
        <f t="shared" si="80"/>
        <v>0</v>
      </c>
      <c r="AA42" s="13">
        <f t="shared" si="81"/>
        <v>0</v>
      </c>
      <c r="AB42" s="13">
        <f t="shared" si="82"/>
        <v>0</v>
      </c>
      <c r="AC42" s="13">
        <f t="shared" si="83"/>
        <v>0</v>
      </c>
      <c r="AD42" s="13">
        <f t="shared" si="84"/>
        <v>0</v>
      </c>
      <c r="AE42" s="13">
        <f t="shared" si="85"/>
        <v>0</v>
      </c>
      <c r="AF42" s="13">
        <f t="shared" si="86"/>
        <v>0</v>
      </c>
      <c r="AG42" s="13">
        <f t="shared" si="87"/>
        <v>0</v>
      </c>
      <c r="AH42" s="13">
        <f t="shared" si="88"/>
        <v>0</v>
      </c>
      <c r="AI42" s="37">
        <f t="shared" si="89"/>
        <v>0</v>
      </c>
      <c r="AJ42" s="13">
        <f t="shared" si="90"/>
        <v>0</v>
      </c>
    </row>
    <row r="43" spans="1:36" ht="22.75" x14ac:dyDescent="0.4">
      <c r="A43" s="86">
        <v>8</v>
      </c>
      <c r="B43" s="144" t="s">
        <v>326</v>
      </c>
      <c r="C43" s="189" t="s">
        <v>327</v>
      </c>
      <c r="D43" s="88">
        <f>VLOOKUP(C43,'[1]PREÇO ATUAL'!$A:$D,4,0)</f>
        <v>97.748169473968517</v>
      </c>
      <c r="E43" s="108"/>
      <c r="F43" s="108"/>
      <c r="G43" s="108"/>
      <c r="H43" s="108"/>
      <c r="I43" s="107"/>
      <c r="J43" s="107"/>
      <c r="K43" s="107"/>
      <c r="L43" s="107"/>
      <c r="M43" s="107"/>
      <c r="N43" s="108"/>
      <c r="O43" s="172"/>
      <c r="P43" s="107"/>
      <c r="Q43" s="107"/>
      <c r="R43" s="107"/>
      <c r="S43" s="107"/>
      <c r="T43" s="90">
        <f t="shared" si="61"/>
        <v>0</v>
      </c>
      <c r="U43" s="90">
        <f t="shared" si="62"/>
        <v>0</v>
      </c>
      <c r="V43" s="90">
        <f t="shared" si="63"/>
        <v>0</v>
      </c>
      <c r="W43" s="90">
        <f t="shared" si="64"/>
        <v>0</v>
      </c>
      <c r="X43" s="90">
        <f t="shared" si="65"/>
        <v>0</v>
      </c>
      <c r="Y43" s="90">
        <f t="shared" si="66"/>
        <v>0</v>
      </c>
      <c r="Z43" s="90">
        <f t="shared" si="67"/>
        <v>0</v>
      </c>
      <c r="AA43" s="90">
        <f t="shared" si="68"/>
        <v>0</v>
      </c>
      <c r="AB43" s="90">
        <f t="shared" si="69"/>
        <v>0</v>
      </c>
      <c r="AC43" s="90">
        <f t="shared" si="70"/>
        <v>0</v>
      </c>
      <c r="AD43" s="90">
        <f t="shared" si="71"/>
        <v>0</v>
      </c>
      <c r="AE43" s="90">
        <f t="shared" si="71"/>
        <v>0</v>
      </c>
      <c r="AF43" s="90">
        <f t="shared" si="71"/>
        <v>0</v>
      </c>
      <c r="AG43" s="90">
        <f t="shared" si="71"/>
        <v>0</v>
      </c>
      <c r="AH43" s="90">
        <f t="shared" si="71"/>
        <v>0</v>
      </c>
      <c r="AI43" s="92">
        <f t="shared" si="72"/>
        <v>0</v>
      </c>
      <c r="AJ43" s="90">
        <f t="shared" si="73"/>
        <v>0</v>
      </c>
    </row>
    <row r="44" spans="1:36" ht="22.75" x14ac:dyDescent="0.4">
      <c r="A44" s="7">
        <v>9</v>
      </c>
      <c r="B44" s="142" t="s">
        <v>328</v>
      </c>
      <c r="C44" s="185" t="s">
        <v>268</v>
      </c>
      <c r="D44" s="9">
        <f>VLOOKUP(C44,'[1]PREÇO ATUAL'!$A:$D,4,0)</f>
        <v>32.700000000000003</v>
      </c>
      <c r="E44" s="45"/>
      <c r="F44" s="45"/>
      <c r="G44" s="45"/>
      <c r="H44" s="45"/>
      <c r="I44" s="45"/>
      <c r="J44" s="45"/>
      <c r="K44" s="45"/>
      <c r="L44" s="45"/>
      <c r="M44" s="46"/>
      <c r="N44" s="45"/>
      <c r="O44" s="171"/>
      <c r="P44" s="45"/>
      <c r="Q44" s="45"/>
      <c r="R44" s="45"/>
      <c r="S44" s="45"/>
      <c r="T44" s="13">
        <f t="shared" si="61"/>
        <v>0</v>
      </c>
      <c r="U44" s="13">
        <f t="shared" si="62"/>
        <v>0</v>
      </c>
      <c r="V44" s="13">
        <f t="shared" si="63"/>
        <v>0</v>
      </c>
      <c r="W44" s="13">
        <f t="shared" si="64"/>
        <v>0</v>
      </c>
      <c r="X44" s="13">
        <f t="shared" si="65"/>
        <v>0</v>
      </c>
      <c r="Y44" s="13">
        <f t="shared" si="66"/>
        <v>0</v>
      </c>
      <c r="Z44" s="13">
        <f t="shared" si="67"/>
        <v>0</v>
      </c>
      <c r="AA44" s="13">
        <f t="shared" si="68"/>
        <v>0</v>
      </c>
      <c r="AB44" s="13">
        <f t="shared" si="69"/>
        <v>0</v>
      </c>
      <c r="AC44" s="13">
        <f t="shared" si="70"/>
        <v>0</v>
      </c>
      <c r="AD44" s="13">
        <f t="shared" si="71"/>
        <v>0</v>
      </c>
      <c r="AE44" s="13">
        <f t="shared" si="71"/>
        <v>0</v>
      </c>
      <c r="AF44" s="13">
        <f t="shared" si="71"/>
        <v>0</v>
      </c>
      <c r="AG44" s="13">
        <f t="shared" si="71"/>
        <v>0</v>
      </c>
      <c r="AH44" s="13">
        <f t="shared" si="71"/>
        <v>0</v>
      </c>
      <c r="AI44" s="37">
        <f t="shared" si="72"/>
        <v>0</v>
      </c>
      <c r="AJ44" s="13">
        <f t="shared" si="73"/>
        <v>0</v>
      </c>
    </row>
    <row r="45" spans="1:36" ht="14.6" x14ac:dyDescent="0.4">
      <c r="A45" s="86">
        <v>10</v>
      </c>
      <c r="B45" s="144" t="s">
        <v>299</v>
      </c>
      <c r="C45" s="189" t="s">
        <v>204</v>
      </c>
      <c r="D45" s="88">
        <f>VLOOKUP(C45,'[1]PREÇO ATUAL'!$A:$D,4,0)</f>
        <v>110.2557468128982</v>
      </c>
      <c r="E45" s="108">
        <v>4.9000000000000004</v>
      </c>
      <c r="F45" s="108">
        <v>4.9000000000000004</v>
      </c>
      <c r="G45" s="108">
        <v>4.9000000000000004</v>
      </c>
      <c r="H45" s="108">
        <v>4.9000000000000004</v>
      </c>
      <c r="I45" s="107">
        <v>4.9000000000000004</v>
      </c>
      <c r="J45" s="107">
        <v>4.9000000000000004</v>
      </c>
      <c r="K45" s="107">
        <v>4.9000000000000004</v>
      </c>
      <c r="L45" s="107">
        <v>4.9000000000000004</v>
      </c>
      <c r="M45" s="107">
        <v>4.9000000000000004</v>
      </c>
      <c r="N45" s="108">
        <v>4.9000000000000004</v>
      </c>
      <c r="O45" s="172">
        <v>4.9000000000000004</v>
      </c>
      <c r="P45" s="107">
        <v>4.9000000000000004</v>
      </c>
      <c r="Q45" s="107">
        <v>4.9000000000000004</v>
      </c>
      <c r="R45" s="107">
        <v>4.9000000000000004</v>
      </c>
      <c r="S45" s="107">
        <v>4.9000000000000004</v>
      </c>
      <c r="T45" s="90">
        <f t="shared" si="61"/>
        <v>540.25315938320125</v>
      </c>
      <c r="U45" s="90">
        <f t="shared" si="62"/>
        <v>540.25315938320125</v>
      </c>
      <c r="V45" s="90">
        <f t="shared" si="63"/>
        <v>540.25315938320125</v>
      </c>
      <c r="W45" s="90">
        <f t="shared" si="64"/>
        <v>540.25315938320125</v>
      </c>
      <c r="X45" s="90">
        <f t="shared" si="65"/>
        <v>540.25315938320125</v>
      </c>
      <c r="Y45" s="90">
        <f t="shared" si="66"/>
        <v>540.25315938320125</v>
      </c>
      <c r="Z45" s="90">
        <f t="shared" si="67"/>
        <v>540.25315938320125</v>
      </c>
      <c r="AA45" s="90">
        <f t="shared" si="68"/>
        <v>540.25315938320125</v>
      </c>
      <c r="AB45" s="90">
        <f t="shared" si="69"/>
        <v>540.25315938320125</v>
      </c>
      <c r="AC45" s="90">
        <f t="shared" si="70"/>
        <v>540.25315938320125</v>
      </c>
      <c r="AD45" s="90">
        <f t="shared" si="71"/>
        <v>540.25315938320125</v>
      </c>
      <c r="AE45" s="90">
        <f t="shared" si="71"/>
        <v>540.25315938320125</v>
      </c>
      <c r="AF45" s="90">
        <f t="shared" si="71"/>
        <v>540.25315938320125</v>
      </c>
      <c r="AG45" s="90">
        <f t="shared" si="71"/>
        <v>540.25315938320125</v>
      </c>
      <c r="AH45" s="90">
        <f t="shared" si="71"/>
        <v>540.25315938320125</v>
      </c>
      <c r="AI45" s="92">
        <f t="shared" si="72"/>
        <v>0.31919794354608538</v>
      </c>
      <c r="AJ45" s="90">
        <f t="shared" si="73"/>
        <v>8103.7973907480164</v>
      </c>
    </row>
    <row r="46" spans="1:36" ht="15.75" customHeight="1" x14ac:dyDescent="0.4">
      <c r="A46" s="7">
        <v>11</v>
      </c>
      <c r="B46" s="8" t="s">
        <v>38</v>
      </c>
      <c r="C46" s="185" t="s">
        <v>39</v>
      </c>
      <c r="D46" s="9">
        <f>VLOOKUP(C46,'[1]PREÇO ATUAL'!$A:$D,4,0)</f>
        <v>342</v>
      </c>
      <c r="E46" s="45">
        <v>1.75</v>
      </c>
      <c r="F46" s="45">
        <v>1.5</v>
      </c>
      <c r="G46" s="45">
        <v>1.45</v>
      </c>
      <c r="H46" s="45">
        <v>1.85</v>
      </c>
      <c r="I46" s="45">
        <v>1.5</v>
      </c>
      <c r="J46" s="45">
        <v>1.57</v>
      </c>
      <c r="K46" s="45">
        <v>1.45</v>
      </c>
      <c r="L46" s="45">
        <v>1.85</v>
      </c>
      <c r="M46" s="46">
        <v>1.45</v>
      </c>
      <c r="N46" s="45">
        <v>1.5</v>
      </c>
      <c r="O46" s="171">
        <v>1.5</v>
      </c>
      <c r="P46" s="45">
        <v>5.3</v>
      </c>
      <c r="Q46" s="45">
        <v>1.75</v>
      </c>
      <c r="R46" s="45">
        <v>1.5</v>
      </c>
      <c r="S46" s="45">
        <v>1.75</v>
      </c>
      <c r="T46" s="13">
        <f>D46*E46</f>
        <v>598.5</v>
      </c>
      <c r="U46" s="13">
        <f>$D46*F46</f>
        <v>513</v>
      </c>
      <c r="V46" s="13">
        <f>$D46*G46</f>
        <v>495.9</v>
      </c>
      <c r="W46" s="13">
        <f>$D46*H46</f>
        <v>632.70000000000005</v>
      </c>
      <c r="X46" s="13">
        <f>$D46*I46</f>
        <v>513</v>
      </c>
      <c r="Y46" s="13">
        <f>$D46*J46</f>
        <v>536.94000000000005</v>
      </c>
      <c r="Z46" s="13">
        <f t="shared" ref="Z46:AC46" si="92">$D46*K46</f>
        <v>495.9</v>
      </c>
      <c r="AA46" s="13">
        <f t="shared" si="92"/>
        <v>632.70000000000005</v>
      </c>
      <c r="AB46" s="13">
        <f t="shared" si="92"/>
        <v>495.9</v>
      </c>
      <c r="AC46" s="13">
        <f t="shared" si="92"/>
        <v>513</v>
      </c>
      <c r="AD46" s="13">
        <f t="shared" si="71"/>
        <v>513</v>
      </c>
      <c r="AE46" s="13">
        <f t="shared" si="71"/>
        <v>1812.6</v>
      </c>
      <c r="AF46" s="13">
        <f t="shared" si="71"/>
        <v>598.5</v>
      </c>
      <c r="AG46" s="13">
        <f t="shared" si="71"/>
        <v>513</v>
      </c>
      <c r="AH46" s="13">
        <f t="shared" si="71"/>
        <v>598.5</v>
      </c>
      <c r="AI46" s="37">
        <f t="shared" si="72"/>
        <v>0.37274066488104612</v>
      </c>
      <c r="AJ46" s="13">
        <f t="shared" si="73"/>
        <v>9463.14</v>
      </c>
    </row>
    <row r="47" spans="1:36" ht="15.75" customHeight="1" x14ac:dyDescent="0.4"/>
    <row r="48" spans="1:36" ht="15.75" customHeight="1" x14ac:dyDescent="0.4">
      <c r="A48" s="211" t="s">
        <v>329</v>
      </c>
      <c r="B48" s="212"/>
      <c r="C48" s="212"/>
      <c r="D48" s="212"/>
      <c r="E48" s="133" t="s">
        <v>3</v>
      </c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5" t="s">
        <v>4</v>
      </c>
      <c r="U48" s="125"/>
      <c r="V48" s="125"/>
      <c r="W48" s="125"/>
      <c r="X48" s="125"/>
      <c r="Y48" s="125"/>
      <c r="Z48" s="125"/>
      <c r="AA48" s="125"/>
      <c r="AB48" s="125"/>
      <c r="AC48" s="125"/>
      <c r="AD48" s="139"/>
      <c r="AE48" s="139"/>
      <c r="AF48" s="139"/>
      <c r="AG48" s="139"/>
      <c r="AH48" s="139"/>
      <c r="AI48" s="229" t="s">
        <v>5</v>
      </c>
      <c r="AJ48" s="229"/>
    </row>
    <row r="49" spans="1:36" ht="15.75" customHeight="1" x14ac:dyDescent="0.4">
      <c r="A49" s="215"/>
      <c r="B49" s="215"/>
      <c r="C49" s="215"/>
      <c r="D49" s="215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2">
        <f t="shared" ref="T49:AH49" si="93">MROUND(SUM(T51:T60),1)</f>
        <v>1868</v>
      </c>
      <c r="U49" s="2">
        <f t="shared" si="93"/>
        <v>1768</v>
      </c>
      <c r="V49" s="2">
        <f t="shared" si="93"/>
        <v>1538</v>
      </c>
      <c r="W49" s="2">
        <f t="shared" si="93"/>
        <v>1888</v>
      </c>
      <c r="X49" s="2">
        <f t="shared" si="93"/>
        <v>1555</v>
      </c>
      <c r="Y49" s="2">
        <f t="shared" si="93"/>
        <v>1792</v>
      </c>
      <c r="Z49" s="2">
        <f t="shared" si="93"/>
        <v>1538</v>
      </c>
      <c r="AA49" s="2">
        <f t="shared" si="93"/>
        <v>1888</v>
      </c>
      <c r="AB49" s="2">
        <f t="shared" si="93"/>
        <v>1538</v>
      </c>
      <c r="AC49" s="2">
        <f t="shared" si="93"/>
        <v>1768</v>
      </c>
      <c r="AD49" s="2">
        <f t="shared" si="93"/>
        <v>1555</v>
      </c>
      <c r="AE49" s="2">
        <f t="shared" si="93"/>
        <v>3068</v>
      </c>
      <c r="AF49" s="2">
        <f t="shared" si="93"/>
        <v>1641</v>
      </c>
      <c r="AG49" s="2">
        <f t="shared" si="93"/>
        <v>1768</v>
      </c>
      <c r="AH49" s="2">
        <f t="shared" si="93"/>
        <v>1641</v>
      </c>
      <c r="AI49" s="221">
        <f>SUM(T49:AH49)</f>
        <v>26814</v>
      </c>
      <c r="AJ49" s="220"/>
    </row>
    <row r="50" spans="1:36" ht="15.75" customHeight="1" x14ac:dyDescent="0.4">
      <c r="A50" s="3" t="s">
        <v>6</v>
      </c>
      <c r="B50" s="3" t="s">
        <v>7</v>
      </c>
      <c r="C50" s="3" t="s">
        <v>8</v>
      </c>
      <c r="D50" s="4" t="s">
        <v>9</v>
      </c>
      <c r="E50" s="5" t="s">
        <v>10</v>
      </c>
      <c r="F50" s="5" t="s">
        <v>11</v>
      </c>
      <c r="G50" s="5" t="s">
        <v>12</v>
      </c>
      <c r="H50" s="5" t="s">
        <v>13</v>
      </c>
      <c r="I50" s="5" t="s">
        <v>14</v>
      </c>
      <c r="J50" s="5" t="s">
        <v>15</v>
      </c>
      <c r="K50" s="5" t="s">
        <v>16</v>
      </c>
      <c r="L50" s="5" t="s">
        <v>17</v>
      </c>
      <c r="M50" s="170" t="s">
        <v>18</v>
      </c>
      <c r="N50" s="5" t="s">
        <v>19</v>
      </c>
      <c r="O50" s="148" t="s">
        <v>257</v>
      </c>
      <c r="P50" s="5" t="s">
        <v>258</v>
      </c>
      <c r="Q50" s="5" t="s">
        <v>259</v>
      </c>
      <c r="R50" s="5" t="s">
        <v>260</v>
      </c>
      <c r="S50" s="5" t="s">
        <v>261</v>
      </c>
      <c r="T50" s="36">
        <v>10000</v>
      </c>
      <c r="U50" s="36">
        <v>20000</v>
      </c>
      <c r="V50" s="36">
        <v>30000</v>
      </c>
      <c r="W50" s="36">
        <v>40000</v>
      </c>
      <c r="X50" s="36">
        <v>50000</v>
      </c>
      <c r="Y50" s="36">
        <v>60000</v>
      </c>
      <c r="Z50" s="36">
        <v>70000</v>
      </c>
      <c r="AA50" s="36">
        <v>80000</v>
      </c>
      <c r="AB50" s="36">
        <v>90000</v>
      </c>
      <c r="AC50" s="36">
        <v>100000</v>
      </c>
      <c r="AD50" s="65">
        <f>AC50+10000</f>
        <v>110000</v>
      </c>
      <c r="AE50" s="65">
        <f t="shared" ref="AE50" si="94">AD50+10000</f>
        <v>120000</v>
      </c>
      <c r="AF50" s="65">
        <f t="shared" ref="AF50" si="95">AE50+10000</f>
        <v>130000</v>
      </c>
      <c r="AG50" s="65">
        <f t="shared" ref="AG50" si="96">AF50+10000</f>
        <v>140000</v>
      </c>
      <c r="AH50" s="65">
        <f t="shared" ref="AH50" si="97">AG50+10000</f>
        <v>150000</v>
      </c>
      <c r="AI50" s="6" t="s">
        <v>20</v>
      </c>
      <c r="AJ50" s="3" t="s">
        <v>21</v>
      </c>
    </row>
    <row r="51" spans="1:36" ht="15.75" customHeight="1" x14ac:dyDescent="0.4">
      <c r="A51" s="7">
        <v>1</v>
      </c>
      <c r="B51" s="8" t="s">
        <v>216</v>
      </c>
      <c r="C51" s="185" t="s">
        <v>207</v>
      </c>
      <c r="D51" s="9">
        <f>VLOOKUP(C51,'[1]PREÇO ATUAL'!$A:$D,4,0)</f>
        <v>123</v>
      </c>
      <c r="E51" s="10">
        <v>1</v>
      </c>
      <c r="F51" s="10">
        <v>1</v>
      </c>
      <c r="G51" s="10">
        <v>1</v>
      </c>
      <c r="H51" s="10">
        <v>1</v>
      </c>
      <c r="I51" s="10">
        <v>1</v>
      </c>
      <c r="J51" s="10">
        <v>1</v>
      </c>
      <c r="K51" s="10">
        <v>1</v>
      </c>
      <c r="L51" s="10">
        <v>1</v>
      </c>
      <c r="M51" s="11">
        <v>1</v>
      </c>
      <c r="N51" s="10">
        <v>1</v>
      </c>
      <c r="O51" s="10">
        <v>1</v>
      </c>
      <c r="P51" s="10">
        <v>1</v>
      </c>
      <c r="Q51" s="10">
        <v>1</v>
      </c>
      <c r="R51" s="10">
        <v>1</v>
      </c>
      <c r="S51" s="10">
        <v>1</v>
      </c>
      <c r="T51" s="13">
        <f t="shared" ref="T51:T59" si="98">$D51*E51</f>
        <v>123</v>
      </c>
      <c r="U51" s="13">
        <f t="shared" ref="U51:U59" si="99">$D51*F51</f>
        <v>123</v>
      </c>
      <c r="V51" s="13">
        <f t="shared" ref="V51:V59" si="100">$D51*G51</f>
        <v>123</v>
      </c>
      <c r="W51" s="13">
        <f t="shared" ref="W51:W59" si="101">$D51*H51</f>
        <v>123</v>
      </c>
      <c r="X51" s="13">
        <f t="shared" ref="X51:X59" si="102">$D51*I51</f>
        <v>123</v>
      </c>
      <c r="Y51" s="13">
        <f t="shared" ref="Y51:Y59" si="103">$D51*J51</f>
        <v>123</v>
      </c>
      <c r="Z51" s="13">
        <f t="shared" ref="Z51:Z60" si="104">$D51*K51</f>
        <v>123</v>
      </c>
      <c r="AA51" s="13">
        <f t="shared" ref="AA51:AA60" si="105">$D51*L51</f>
        <v>123</v>
      </c>
      <c r="AB51" s="13">
        <f t="shared" ref="AB51:AB60" si="106">$D51*M51</f>
        <v>123</v>
      </c>
      <c r="AC51" s="13">
        <f t="shared" ref="AC51:AC60" si="107">$D51*N51</f>
        <v>123</v>
      </c>
      <c r="AD51" s="13">
        <f t="shared" ref="AD51:AD60" si="108">$D51*O51</f>
        <v>123</v>
      </c>
      <c r="AE51" s="13">
        <f t="shared" ref="AE51:AE52" si="109">$D51*P51</f>
        <v>123</v>
      </c>
      <c r="AF51" s="13">
        <f t="shared" ref="AF51:AF60" si="110">$D51*Q51</f>
        <v>123</v>
      </c>
      <c r="AG51" s="13">
        <f t="shared" ref="AG51:AG60" si="111">$D51*R51</f>
        <v>123</v>
      </c>
      <c r="AH51" s="13">
        <f t="shared" ref="AH51:AH60" si="112">$D51*S51</f>
        <v>123</v>
      </c>
      <c r="AI51" s="37">
        <f t="shared" ref="AI51:AI60" si="113">AJ51/$AI$2</f>
        <v>7.2672128564676225E-2</v>
      </c>
      <c r="AJ51" s="13">
        <f>SUM(T51:AH51)</f>
        <v>1845</v>
      </c>
    </row>
    <row r="52" spans="1:36" ht="14.6" x14ac:dyDescent="0.4">
      <c r="A52" s="15">
        <v>2</v>
      </c>
      <c r="B52" s="143" t="s">
        <v>217</v>
      </c>
      <c r="C52" s="186" t="s">
        <v>199</v>
      </c>
      <c r="D52" s="17">
        <f>VLOOKUP(C52,'[1]PREÇO ATUAL'!$A:$D,4,0)</f>
        <v>379</v>
      </c>
      <c r="E52" s="18">
        <v>1</v>
      </c>
      <c r="F52" s="18">
        <v>1</v>
      </c>
      <c r="G52" s="18">
        <v>1</v>
      </c>
      <c r="H52" s="18">
        <v>1</v>
      </c>
      <c r="I52" s="18">
        <v>1</v>
      </c>
      <c r="J52" s="18">
        <v>1</v>
      </c>
      <c r="K52" s="18">
        <v>1</v>
      </c>
      <c r="L52" s="18">
        <v>1</v>
      </c>
      <c r="M52" s="19">
        <v>1</v>
      </c>
      <c r="N52" s="18">
        <v>1</v>
      </c>
      <c r="O52" s="18">
        <v>1</v>
      </c>
      <c r="P52" s="18">
        <v>1</v>
      </c>
      <c r="Q52" s="18">
        <v>1</v>
      </c>
      <c r="R52" s="18">
        <v>1</v>
      </c>
      <c r="S52" s="18">
        <v>1</v>
      </c>
      <c r="T52" s="21">
        <f t="shared" si="98"/>
        <v>379</v>
      </c>
      <c r="U52" s="21">
        <f t="shared" si="99"/>
        <v>379</v>
      </c>
      <c r="V52" s="21">
        <f t="shared" si="100"/>
        <v>379</v>
      </c>
      <c r="W52" s="21">
        <f t="shared" si="101"/>
        <v>379</v>
      </c>
      <c r="X52" s="21">
        <f t="shared" si="102"/>
        <v>379</v>
      </c>
      <c r="Y52" s="21">
        <f t="shared" si="103"/>
        <v>379</v>
      </c>
      <c r="Z52" s="21">
        <f t="shared" si="104"/>
        <v>379</v>
      </c>
      <c r="AA52" s="21">
        <f t="shared" si="105"/>
        <v>379</v>
      </c>
      <c r="AB52" s="21">
        <f t="shared" si="106"/>
        <v>379</v>
      </c>
      <c r="AC52" s="21">
        <f t="shared" si="107"/>
        <v>379</v>
      </c>
      <c r="AD52" s="21">
        <f t="shared" si="108"/>
        <v>379</v>
      </c>
      <c r="AE52" s="21">
        <f t="shared" si="109"/>
        <v>379</v>
      </c>
      <c r="AF52" s="21">
        <f t="shared" si="110"/>
        <v>379</v>
      </c>
      <c r="AG52" s="21">
        <f t="shared" si="111"/>
        <v>379</v>
      </c>
      <c r="AH52" s="21">
        <f t="shared" si="112"/>
        <v>379</v>
      </c>
      <c r="AI52" s="38">
        <f t="shared" si="113"/>
        <v>0.2239246888293682</v>
      </c>
      <c r="AJ52" s="21">
        <f t="shared" ref="AJ52:AJ60" si="114">SUM(T52:AH52)</f>
        <v>5685</v>
      </c>
    </row>
    <row r="53" spans="1:36" ht="14.6" x14ac:dyDescent="0.4">
      <c r="A53" s="7">
        <v>3</v>
      </c>
      <c r="B53" s="142" t="s">
        <v>262</v>
      </c>
      <c r="C53" s="185" t="s">
        <v>319</v>
      </c>
      <c r="D53" s="9">
        <f>VLOOKUP(C53,'[1]PREÇO ATUAL'!$A:$D,4,0)</f>
        <v>212.95</v>
      </c>
      <c r="E53" s="10"/>
      <c r="F53" s="10">
        <v>1</v>
      </c>
      <c r="G53" s="10"/>
      <c r="H53" s="10">
        <v>1</v>
      </c>
      <c r="I53" s="10"/>
      <c r="J53" s="10">
        <v>1</v>
      </c>
      <c r="K53" s="10"/>
      <c r="L53" s="10">
        <v>1</v>
      </c>
      <c r="M53" s="11"/>
      <c r="N53" s="10">
        <v>1</v>
      </c>
      <c r="O53" s="67"/>
      <c r="P53" s="10">
        <v>1</v>
      </c>
      <c r="Q53" s="10"/>
      <c r="R53" s="10">
        <v>1</v>
      </c>
      <c r="S53" s="10"/>
      <c r="T53" s="13">
        <f t="shared" si="98"/>
        <v>0</v>
      </c>
      <c r="U53" s="13">
        <f t="shared" si="99"/>
        <v>212.95</v>
      </c>
      <c r="V53" s="13">
        <f t="shared" si="100"/>
        <v>0</v>
      </c>
      <c r="W53" s="13">
        <f t="shared" si="101"/>
        <v>212.95</v>
      </c>
      <c r="X53" s="13">
        <f t="shared" si="102"/>
        <v>0</v>
      </c>
      <c r="Y53" s="13">
        <f t="shared" si="103"/>
        <v>212.95</v>
      </c>
      <c r="Z53" s="13">
        <f t="shared" si="104"/>
        <v>0</v>
      </c>
      <c r="AA53" s="13">
        <f t="shared" si="105"/>
        <v>212.95</v>
      </c>
      <c r="AB53" s="13">
        <f t="shared" si="106"/>
        <v>0</v>
      </c>
      <c r="AC53" s="13">
        <f t="shared" si="107"/>
        <v>212.95</v>
      </c>
      <c r="AD53" s="13">
        <f t="shared" si="108"/>
        <v>0</v>
      </c>
      <c r="AE53" s="13">
        <f>$D53*P53</f>
        <v>212.95</v>
      </c>
      <c r="AF53" s="13">
        <f t="shared" si="110"/>
        <v>0</v>
      </c>
      <c r="AG53" s="13">
        <f t="shared" si="111"/>
        <v>212.95</v>
      </c>
      <c r="AH53" s="13">
        <f t="shared" si="112"/>
        <v>0</v>
      </c>
      <c r="AI53" s="37">
        <f t="shared" si="113"/>
        <v>5.8714747124625814E-2</v>
      </c>
      <c r="AJ53" s="13">
        <f t="shared" si="114"/>
        <v>1490.65</v>
      </c>
    </row>
    <row r="54" spans="1:36" ht="33" x14ac:dyDescent="0.4">
      <c r="A54" s="15">
        <v>4</v>
      </c>
      <c r="B54" s="143" t="s">
        <v>320</v>
      </c>
      <c r="C54" s="186" t="s">
        <v>321</v>
      </c>
      <c r="D54" s="17">
        <f>VLOOKUP(C54,'[1]PREÇO ATUAL'!$A:$D,4,0)</f>
        <v>103.45</v>
      </c>
      <c r="E54" s="28">
        <v>2.2000000000000002</v>
      </c>
      <c r="F54" s="28"/>
      <c r="G54" s="28"/>
      <c r="H54" s="28"/>
      <c r="I54" s="28"/>
      <c r="J54" s="28"/>
      <c r="K54" s="28"/>
      <c r="L54" s="28"/>
      <c r="M54" s="29"/>
      <c r="N54" s="28"/>
      <c r="O54" s="28"/>
      <c r="P54" s="28"/>
      <c r="Q54" s="28"/>
      <c r="R54" s="28"/>
      <c r="S54" s="28"/>
      <c r="T54" s="21">
        <f t="shared" si="98"/>
        <v>227.59000000000003</v>
      </c>
      <c r="U54" s="21">
        <f t="shared" si="99"/>
        <v>0</v>
      </c>
      <c r="V54" s="21">
        <f t="shared" si="100"/>
        <v>0</v>
      </c>
      <c r="W54" s="21">
        <f t="shared" si="101"/>
        <v>0</v>
      </c>
      <c r="X54" s="21">
        <f t="shared" si="102"/>
        <v>0</v>
      </c>
      <c r="Y54" s="21">
        <f t="shared" si="103"/>
        <v>0</v>
      </c>
      <c r="Z54" s="21">
        <f t="shared" si="104"/>
        <v>0</v>
      </c>
      <c r="AA54" s="21">
        <f t="shared" si="105"/>
        <v>0</v>
      </c>
      <c r="AB54" s="21">
        <f t="shared" si="106"/>
        <v>0</v>
      </c>
      <c r="AC54" s="21">
        <f t="shared" si="107"/>
        <v>0</v>
      </c>
      <c r="AD54" s="21">
        <f t="shared" si="108"/>
        <v>0</v>
      </c>
      <c r="AE54" s="21">
        <f t="shared" ref="AE54:AE60" si="115">$D54*P54</f>
        <v>0</v>
      </c>
      <c r="AF54" s="21">
        <f t="shared" si="110"/>
        <v>0</v>
      </c>
      <c r="AG54" s="21">
        <f t="shared" si="111"/>
        <v>0</v>
      </c>
      <c r="AH54" s="21">
        <f t="shared" si="112"/>
        <v>0</v>
      </c>
      <c r="AI54" s="38">
        <f t="shared" si="113"/>
        <v>8.9644714038128268E-3</v>
      </c>
      <c r="AJ54" s="21">
        <f t="shared" si="114"/>
        <v>227.59000000000003</v>
      </c>
    </row>
    <row r="55" spans="1:36" ht="14.6" x14ac:dyDescent="0.4">
      <c r="A55" s="7">
        <v>5</v>
      </c>
      <c r="B55" s="142" t="s">
        <v>128</v>
      </c>
      <c r="C55" s="185" t="s">
        <v>324</v>
      </c>
      <c r="D55" s="9">
        <f>VLOOKUP(C55,'[1]PREÇO ATUAL'!$A:$D,4,0)</f>
        <v>283.39</v>
      </c>
      <c r="E55" s="45"/>
      <c r="F55" s="45"/>
      <c r="G55" s="45"/>
      <c r="H55" s="45"/>
      <c r="I55" s="45"/>
      <c r="J55" s="45"/>
      <c r="K55" s="45"/>
      <c r="L55" s="45"/>
      <c r="M55" s="46"/>
      <c r="N55" s="45"/>
      <c r="O55" s="171"/>
      <c r="P55" s="45"/>
      <c r="Q55" s="45"/>
      <c r="R55" s="45"/>
      <c r="S55" s="45"/>
      <c r="T55" s="13">
        <f t="shared" ref="T55:AH56" si="116">$D55*E55</f>
        <v>0</v>
      </c>
      <c r="U55" s="13">
        <f t="shared" si="116"/>
        <v>0</v>
      </c>
      <c r="V55" s="13">
        <f t="shared" si="116"/>
        <v>0</v>
      </c>
      <c r="W55" s="13">
        <f t="shared" si="116"/>
        <v>0</v>
      </c>
      <c r="X55" s="13">
        <f t="shared" si="116"/>
        <v>0</v>
      </c>
      <c r="Y55" s="13">
        <f t="shared" si="116"/>
        <v>0</v>
      </c>
      <c r="Z55" s="13">
        <f t="shared" si="116"/>
        <v>0</v>
      </c>
      <c r="AA55" s="13">
        <f t="shared" si="116"/>
        <v>0</v>
      </c>
      <c r="AB55" s="13">
        <f t="shared" si="116"/>
        <v>0</v>
      </c>
      <c r="AC55" s="13">
        <f t="shared" si="116"/>
        <v>0</v>
      </c>
      <c r="AD55" s="13">
        <f t="shared" si="116"/>
        <v>0</v>
      </c>
      <c r="AE55" s="13">
        <f t="shared" si="116"/>
        <v>0</v>
      </c>
      <c r="AF55" s="13">
        <f t="shared" si="116"/>
        <v>0</v>
      </c>
      <c r="AG55" s="13">
        <f t="shared" si="116"/>
        <v>0</v>
      </c>
      <c r="AH55" s="13">
        <f t="shared" si="116"/>
        <v>0</v>
      </c>
      <c r="AI55" s="37">
        <f>AJ55/$AI$2</f>
        <v>0</v>
      </c>
      <c r="AJ55" s="13">
        <f>SUM(T55:AH55)</f>
        <v>0</v>
      </c>
    </row>
    <row r="56" spans="1:36" ht="22.75" x14ac:dyDescent="0.4">
      <c r="A56" s="15">
        <v>6</v>
      </c>
      <c r="B56" s="143" t="s">
        <v>330</v>
      </c>
      <c r="C56" s="186" t="s">
        <v>213</v>
      </c>
      <c r="D56" s="17">
        <f>VLOOKUP(C56,'[1]PREÇO ATUAL'!$A:$D,4,0)</f>
        <v>567.54999999999995</v>
      </c>
      <c r="E56" s="28"/>
      <c r="F56" s="28"/>
      <c r="G56" s="28"/>
      <c r="H56" s="28"/>
      <c r="I56" s="28"/>
      <c r="J56" s="28"/>
      <c r="K56" s="28"/>
      <c r="L56" s="28"/>
      <c r="M56" s="29"/>
      <c r="N56" s="28"/>
      <c r="O56" s="28"/>
      <c r="P56" s="28"/>
      <c r="Q56" s="28"/>
      <c r="R56" s="28"/>
      <c r="S56" s="28"/>
      <c r="T56" s="21">
        <f t="shared" si="116"/>
        <v>0</v>
      </c>
      <c r="U56" s="21">
        <f t="shared" si="116"/>
        <v>0</v>
      </c>
      <c r="V56" s="21">
        <f t="shared" si="116"/>
        <v>0</v>
      </c>
      <c r="W56" s="21">
        <f t="shared" si="116"/>
        <v>0</v>
      </c>
      <c r="X56" s="21">
        <f t="shared" si="116"/>
        <v>0</v>
      </c>
      <c r="Y56" s="21">
        <f t="shared" si="116"/>
        <v>0</v>
      </c>
      <c r="Z56" s="21">
        <f t="shared" si="116"/>
        <v>0</v>
      </c>
      <c r="AA56" s="21">
        <f t="shared" si="116"/>
        <v>0</v>
      </c>
      <c r="AB56" s="21">
        <f t="shared" si="116"/>
        <v>0</v>
      </c>
      <c r="AC56" s="21">
        <f t="shared" si="116"/>
        <v>0</v>
      </c>
      <c r="AD56" s="21">
        <f t="shared" si="116"/>
        <v>0</v>
      </c>
      <c r="AE56" s="21">
        <f t="shared" si="116"/>
        <v>0</v>
      </c>
      <c r="AF56" s="21">
        <f t="shared" si="116"/>
        <v>0</v>
      </c>
      <c r="AG56" s="21">
        <f t="shared" si="116"/>
        <v>0</v>
      </c>
      <c r="AH56" s="21">
        <f t="shared" si="116"/>
        <v>0</v>
      </c>
      <c r="AI56" s="38">
        <f>AJ56/$AI$2</f>
        <v>0</v>
      </c>
      <c r="AJ56" s="21">
        <f>SUM(T56:AH56)</f>
        <v>0</v>
      </c>
    </row>
    <row r="57" spans="1:36" ht="22.75" x14ac:dyDescent="0.4">
      <c r="A57" s="7">
        <v>7</v>
      </c>
      <c r="B57" s="142" t="s">
        <v>326</v>
      </c>
      <c r="C57" s="185" t="s">
        <v>327</v>
      </c>
      <c r="D57" s="9">
        <f>VLOOKUP(C57,'[1]PREÇO ATUAL'!$A:$D,4,0)</f>
        <v>97.748169473968517</v>
      </c>
      <c r="E57" s="45"/>
      <c r="F57" s="45"/>
      <c r="G57" s="45"/>
      <c r="H57" s="45"/>
      <c r="I57" s="45"/>
      <c r="J57" s="45"/>
      <c r="K57" s="45"/>
      <c r="L57" s="45"/>
      <c r="M57" s="46"/>
      <c r="N57" s="45"/>
      <c r="O57" s="171"/>
      <c r="P57" s="45"/>
      <c r="Q57" s="45"/>
      <c r="R57" s="45"/>
      <c r="S57" s="45"/>
      <c r="T57" s="13">
        <f t="shared" si="98"/>
        <v>0</v>
      </c>
      <c r="U57" s="13">
        <f t="shared" si="99"/>
        <v>0</v>
      </c>
      <c r="V57" s="13">
        <f t="shared" si="100"/>
        <v>0</v>
      </c>
      <c r="W57" s="13">
        <f t="shared" si="101"/>
        <v>0</v>
      </c>
      <c r="X57" s="13">
        <f t="shared" si="102"/>
        <v>0</v>
      </c>
      <c r="Y57" s="13">
        <f t="shared" si="103"/>
        <v>0</v>
      </c>
      <c r="Z57" s="13">
        <f t="shared" si="104"/>
        <v>0</v>
      </c>
      <c r="AA57" s="13">
        <f t="shared" si="105"/>
        <v>0</v>
      </c>
      <c r="AB57" s="13">
        <f t="shared" si="106"/>
        <v>0</v>
      </c>
      <c r="AC57" s="13">
        <f t="shared" si="107"/>
        <v>0</v>
      </c>
      <c r="AD57" s="13">
        <f t="shared" si="108"/>
        <v>0</v>
      </c>
      <c r="AE57" s="13">
        <f t="shared" si="115"/>
        <v>0</v>
      </c>
      <c r="AF57" s="13">
        <f t="shared" si="110"/>
        <v>0</v>
      </c>
      <c r="AG57" s="13">
        <f t="shared" si="111"/>
        <v>0</v>
      </c>
      <c r="AH57" s="13">
        <f t="shared" si="112"/>
        <v>0</v>
      </c>
      <c r="AI57" s="37">
        <f t="shared" si="113"/>
        <v>0</v>
      </c>
      <c r="AJ57" s="13">
        <f t="shared" si="114"/>
        <v>0</v>
      </c>
    </row>
    <row r="58" spans="1:36" ht="22.75" x14ac:dyDescent="0.4">
      <c r="A58" s="15">
        <v>8</v>
      </c>
      <c r="B58" s="143" t="s">
        <v>331</v>
      </c>
      <c r="C58" s="186" t="s">
        <v>268</v>
      </c>
      <c r="D58" s="17">
        <f>VLOOKUP(C58,'[1]PREÇO ATUAL'!$A:$D,4,0)</f>
        <v>32.700000000000003</v>
      </c>
      <c r="E58" s="28"/>
      <c r="F58" s="28"/>
      <c r="G58" s="28"/>
      <c r="H58" s="28"/>
      <c r="I58" s="28"/>
      <c r="J58" s="28"/>
      <c r="K58" s="28"/>
      <c r="L58" s="28"/>
      <c r="M58" s="29"/>
      <c r="N58" s="28"/>
      <c r="O58" s="28"/>
      <c r="P58" s="28"/>
      <c r="Q58" s="28"/>
      <c r="R58" s="28"/>
      <c r="S58" s="28"/>
      <c r="T58" s="21">
        <f t="shared" si="98"/>
        <v>0</v>
      </c>
      <c r="U58" s="21">
        <f t="shared" si="99"/>
        <v>0</v>
      </c>
      <c r="V58" s="21">
        <f t="shared" si="100"/>
        <v>0</v>
      </c>
      <c r="W58" s="21">
        <f t="shared" si="101"/>
        <v>0</v>
      </c>
      <c r="X58" s="21">
        <f t="shared" si="102"/>
        <v>0</v>
      </c>
      <c r="Y58" s="21">
        <f t="shared" si="103"/>
        <v>0</v>
      </c>
      <c r="Z58" s="21">
        <f t="shared" si="104"/>
        <v>0</v>
      </c>
      <c r="AA58" s="21">
        <f t="shared" si="105"/>
        <v>0</v>
      </c>
      <c r="AB58" s="21">
        <f t="shared" si="106"/>
        <v>0</v>
      </c>
      <c r="AC58" s="21">
        <f t="shared" si="107"/>
        <v>0</v>
      </c>
      <c r="AD58" s="21">
        <f t="shared" si="108"/>
        <v>0</v>
      </c>
      <c r="AE58" s="21">
        <f t="shared" si="115"/>
        <v>0</v>
      </c>
      <c r="AF58" s="21">
        <f t="shared" si="110"/>
        <v>0</v>
      </c>
      <c r="AG58" s="21">
        <f t="shared" si="111"/>
        <v>0</v>
      </c>
      <c r="AH58" s="21">
        <f t="shared" si="112"/>
        <v>0</v>
      </c>
      <c r="AI58" s="38">
        <f t="shared" si="113"/>
        <v>0</v>
      </c>
      <c r="AJ58" s="21">
        <f t="shared" si="114"/>
        <v>0</v>
      </c>
    </row>
    <row r="59" spans="1:36" ht="14.6" x14ac:dyDescent="0.4">
      <c r="A59" s="7">
        <v>9</v>
      </c>
      <c r="B59" s="142" t="s">
        <v>299</v>
      </c>
      <c r="C59" s="185" t="s">
        <v>204</v>
      </c>
      <c r="D59" s="9">
        <f>VLOOKUP(C59,'[1]PREÇO ATUAL'!$A:$D,4,0)</f>
        <v>110.2557468128982</v>
      </c>
      <c r="E59" s="45">
        <v>4.9000000000000004</v>
      </c>
      <c r="F59" s="45">
        <v>4.9000000000000004</v>
      </c>
      <c r="G59" s="45">
        <v>4.9000000000000004</v>
      </c>
      <c r="H59" s="45">
        <v>4.9000000000000004</v>
      </c>
      <c r="I59" s="45">
        <v>4.9000000000000004</v>
      </c>
      <c r="J59" s="45">
        <v>4.9000000000000004</v>
      </c>
      <c r="K59" s="45">
        <v>4.9000000000000004</v>
      </c>
      <c r="L59" s="45">
        <v>4.9000000000000004</v>
      </c>
      <c r="M59" s="46">
        <v>4.9000000000000004</v>
      </c>
      <c r="N59" s="45">
        <v>4.9000000000000004</v>
      </c>
      <c r="O59" s="171">
        <v>4.9000000000000004</v>
      </c>
      <c r="P59" s="45">
        <v>4.9000000000000004</v>
      </c>
      <c r="Q59" s="45">
        <v>4.9000000000000004</v>
      </c>
      <c r="R59" s="45">
        <v>4.9000000000000004</v>
      </c>
      <c r="S59" s="45">
        <v>4.9000000000000004</v>
      </c>
      <c r="T59" s="13">
        <f t="shared" si="98"/>
        <v>540.25315938320125</v>
      </c>
      <c r="U59" s="13">
        <f t="shared" si="99"/>
        <v>540.25315938320125</v>
      </c>
      <c r="V59" s="13">
        <f t="shared" si="100"/>
        <v>540.25315938320125</v>
      </c>
      <c r="W59" s="13">
        <f t="shared" si="101"/>
        <v>540.25315938320125</v>
      </c>
      <c r="X59" s="13">
        <f t="shared" si="102"/>
        <v>540.25315938320125</v>
      </c>
      <c r="Y59" s="13">
        <f t="shared" si="103"/>
        <v>540.25315938320125</v>
      </c>
      <c r="Z59" s="13">
        <f t="shared" si="104"/>
        <v>540.25315938320125</v>
      </c>
      <c r="AA59" s="13">
        <f t="shared" si="105"/>
        <v>540.25315938320125</v>
      </c>
      <c r="AB59" s="13">
        <f t="shared" si="106"/>
        <v>540.25315938320125</v>
      </c>
      <c r="AC59" s="13">
        <f t="shared" si="107"/>
        <v>540.25315938320125</v>
      </c>
      <c r="AD59" s="13">
        <f t="shared" si="108"/>
        <v>540.25315938320125</v>
      </c>
      <c r="AE59" s="13">
        <f t="shared" si="115"/>
        <v>540.25315938320125</v>
      </c>
      <c r="AF59" s="13">
        <f t="shared" si="110"/>
        <v>540.25315938320125</v>
      </c>
      <c r="AG59" s="13">
        <f t="shared" si="111"/>
        <v>540.25315938320125</v>
      </c>
      <c r="AH59" s="13">
        <f t="shared" si="112"/>
        <v>540.25315938320125</v>
      </c>
      <c r="AI59" s="37">
        <f t="shared" si="113"/>
        <v>0.31919794354608538</v>
      </c>
      <c r="AJ59" s="13">
        <f t="shared" si="114"/>
        <v>8103.7973907480164</v>
      </c>
    </row>
    <row r="60" spans="1:36" ht="14.6" x14ac:dyDescent="0.4">
      <c r="A60" s="15">
        <v>10</v>
      </c>
      <c r="B60" s="143" t="s">
        <v>38</v>
      </c>
      <c r="C60" s="186" t="s">
        <v>39</v>
      </c>
      <c r="D60" s="17">
        <f>VLOOKUP(C60,'[1]PREÇO ATUAL'!$A:$D,4,0)</f>
        <v>342</v>
      </c>
      <c r="E60" s="28">
        <v>1.75</v>
      </c>
      <c r="F60" s="28">
        <v>1.5</v>
      </c>
      <c r="G60" s="28">
        <v>1.45</v>
      </c>
      <c r="H60" s="28">
        <v>1.85</v>
      </c>
      <c r="I60" s="28">
        <v>1.5</v>
      </c>
      <c r="J60" s="28">
        <v>1.57</v>
      </c>
      <c r="K60" s="28">
        <v>1.45</v>
      </c>
      <c r="L60" s="28">
        <v>1.85</v>
      </c>
      <c r="M60" s="29">
        <v>1.45</v>
      </c>
      <c r="N60" s="28">
        <v>1.5</v>
      </c>
      <c r="O60" s="28">
        <v>1.5</v>
      </c>
      <c r="P60" s="28">
        <v>5.3</v>
      </c>
      <c r="Q60" s="28">
        <v>1.75</v>
      </c>
      <c r="R60" s="28">
        <v>1.5</v>
      </c>
      <c r="S60" s="28">
        <v>1.75</v>
      </c>
      <c r="T60" s="21">
        <f>D60*E60</f>
        <v>598.5</v>
      </c>
      <c r="U60" s="21">
        <f>$D60*F60</f>
        <v>513</v>
      </c>
      <c r="V60" s="21">
        <f>$D60*G60</f>
        <v>495.9</v>
      </c>
      <c r="W60" s="21">
        <f>$D60*H60</f>
        <v>632.70000000000005</v>
      </c>
      <c r="X60" s="21">
        <f>$D60*I60</f>
        <v>513</v>
      </c>
      <c r="Y60" s="21">
        <f>$D60*J60</f>
        <v>536.94000000000005</v>
      </c>
      <c r="Z60" s="21">
        <f t="shared" si="104"/>
        <v>495.9</v>
      </c>
      <c r="AA60" s="21">
        <f t="shared" si="105"/>
        <v>632.70000000000005</v>
      </c>
      <c r="AB60" s="21">
        <f t="shared" si="106"/>
        <v>495.9</v>
      </c>
      <c r="AC60" s="21">
        <f t="shared" si="107"/>
        <v>513</v>
      </c>
      <c r="AD60" s="21">
        <f t="shared" si="108"/>
        <v>513</v>
      </c>
      <c r="AE60" s="21">
        <f t="shared" si="115"/>
        <v>1812.6</v>
      </c>
      <c r="AF60" s="21">
        <f t="shared" si="110"/>
        <v>598.5</v>
      </c>
      <c r="AG60" s="21">
        <f t="shared" si="111"/>
        <v>513</v>
      </c>
      <c r="AH60" s="21">
        <f t="shared" si="112"/>
        <v>598.5</v>
      </c>
      <c r="AI60" s="38">
        <f t="shared" si="113"/>
        <v>0.37274066488104612</v>
      </c>
      <c r="AJ60" s="21">
        <f t="shared" si="114"/>
        <v>9463.14</v>
      </c>
    </row>
    <row r="61" spans="1:36" ht="14.6" x14ac:dyDescent="0.4"/>
    <row r="62" spans="1:36" ht="15.75" customHeight="1" x14ac:dyDescent="0.4">
      <c r="A62" s="211" t="s">
        <v>332</v>
      </c>
      <c r="B62" s="212"/>
      <c r="C62" s="212"/>
      <c r="D62" s="212"/>
      <c r="E62" s="126" t="s">
        <v>3</v>
      </c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5" t="s">
        <v>4</v>
      </c>
      <c r="U62" s="125"/>
      <c r="V62" s="125"/>
      <c r="W62" s="125"/>
      <c r="X62" s="125"/>
      <c r="Y62" s="125"/>
      <c r="Z62" s="125"/>
      <c r="AA62" s="125"/>
      <c r="AB62" s="125"/>
      <c r="AC62" s="125"/>
      <c r="AD62" s="139"/>
      <c r="AE62" s="139"/>
      <c r="AF62" s="139"/>
      <c r="AG62" s="139"/>
      <c r="AH62" s="139"/>
      <c r="AI62" s="229" t="s">
        <v>5</v>
      </c>
      <c r="AJ62" s="229"/>
    </row>
    <row r="63" spans="1:36" ht="15.75" customHeight="1" x14ac:dyDescent="0.4">
      <c r="A63" s="215"/>
      <c r="B63" s="215"/>
      <c r="C63" s="215"/>
      <c r="D63" s="215"/>
      <c r="E63" s="141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2">
        <f t="shared" ref="T63:AH63" si="117">MROUND(SUM(T65:T77),1)</f>
        <v>2028</v>
      </c>
      <c r="U63" s="2">
        <f t="shared" si="117"/>
        <v>1928</v>
      </c>
      <c r="V63" s="2">
        <f t="shared" si="117"/>
        <v>1698</v>
      </c>
      <c r="W63" s="2">
        <f t="shared" si="117"/>
        <v>2047</v>
      </c>
      <c r="X63" s="2">
        <f t="shared" si="117"/>
        <v>1920</v>
      </c>
      <c r="Y63" s="2">
        <f t="shared" si="117"/>
        <v>2393</v>
      </c>
      <c r="Z63" s="2">
        <f t="shared" si="117"/>
        <v>1698</v>
      </c>
      <c r="AA63" s="2">
        <f t="shared" si="117"/>
        <v>2047</v>
      </c>
      <c r="AB63" s="2">
        <f t="shared" si="117"/>
        <v>1800</v>
      </c>
      <c r="AC63" s="2">
        <f t="shared" si="117"/>
        <v>2030</v>
      </c>
      <c r="AD63" s="2">
        <f t="shared" si="117"/>
        <v>1715</v>
      </c>
      <c r="AE63" s="2">
        <f t="shared" si="117"/>
        <v>3227</v>
      </c>
      <c r="AF63" s="2">
        <f t="shared" si="117"/>
        <v>1800</v>
      </c>
      <c r="AG63" s="2">
        <f t="shared" si="117"/>
        <v>1928</v>
      </c>
      <c r="AH63" s="2">
        <f t="shared" si="117"/>
        <v>1800</v>
      </c>
      <c r="AI63" s="221">
        <f>SUM(T63:AH63)</f>
        <v>30059</v>
      </c>
      <c r="AJ63" s="220"/>
    </row>
    <row r="64" spans="1:36" ht="15.75" customHeight="1" x14ac:dyDescent="0.4">
      <c r="A64" s="3" t="s">
        <v>6</v>
      </c>
      <c r="B64" s="3" t="s">
        <v>7</v>
      </c>
      <c r="C64" s="3" t="s">
        <v>8</v>
      </c>
      <c r="D64" s="4" t="s">
        <v>9</v>
      </c>
      <c r="E64" s="5" t="s">
        <v>10</v>
      </c>
      <c r="F64" s="5" t="s">
        <v>11</v>
      </c>
      <c r="G64" s="5" t="s">
        <v>12</v>
      </c>
      <c r="H64" s="5" t="s">
        <v>13</v>
      </c>
      <c r="I64" s="5" t="s">
        <v>14</v>
      </c>
      <c r="J64" s="5" t="s">
        <v>15</v>
      </c>
      <c r="K64" s="5" t="s">
        <v>16</v>
      </c>
      <c r="L64" s="5" t="s">
        <v>17</v>
      </c>
      <c r="M64" s="170" t="s">
        <v>18</v>
      </c>
      <c r="N64" s="5" t="s">
        <v>19</v>
      </c>
      <c r="O64" s="148" t="s">
        <v>257</v>
      </c>
      <c r="P64" s="5" t="s">
        <v>258</v>
      </c>
      <c r="Q64" s="5" t="s">
        <v>259</v>
      </c>
      <c r="R64" s="5" t="s">
        <v>260</v>
      </c>
      <c r="S64" s="5" t="s">
        <v>261</v>
      </c>
      <c r="T64" s="36">
        <v>10000</v>
      </c>
      <c r="U64" s="36">
        <v>20000</v>
      </c>
      <c r="V64" s="36">
        <v>30000</v>
      </c>
      <c r="W64" s="36">
        <v>40000</v>
      </c>
      <c r="X64" s="36">
        <v>50000</v>
      </c>
      <c r="Y64" s="36">
        <v>60000</v>
      </c>
      <c r="Z64" s="36">
        <v>70000</v>
      </c>
      <c r="AA64" s="36">
        <v>80000</v>
      </c>
      <c r="AB64" s="36">
        <v>90000</v>
      </c>
      <c r="AC64" s="36">
        <v>100000</v>
      </c>
      <c r="AD64" s="65">
        <f>AC64+10000</f>
        <v>110000</v>
      </c>
      <c r="AE64" s="65">
        <f t="shared" ref="AE64" si="118">AD64+10000</f>
        <v>120000</v>
      </c>
      <c r="AF64" s="65">
        <f t="shared" ref="AF64" si="119">AE64+10000</f>
        <v>130000</v>
      </c>
      <c r="AG64" s="65">
        <f t="shared" ref="AG64" si="120">AF64+10000</f>
        <v>140000</v>
      </c>
      <c r="AH64" s="65">
        <f t="shared" ref="AH64" si="121">AG64+10000</f>
        <v>150000</v>
      </c>
      <c r="AI64" s="6" t="s">
        <v>20</v>
      </c>
      <c r="AJ64" s="3" t="s">
        <v>21</v>
      </c>
    </row>
    <row r="65" spans="1:36" ht="14.6" x14ac:dyDescent="0.4">
      <c r="A65" s="7">
        <v>1</v>
      </c>
      <c r="B65" s="142" t="s">
        <v>216</v>
      </c>
      <c r="C65" s="185" t="s">
        <v>207</v>
      </c>
      <c r="D65" s="9">
        <f>VLOOKUP(C65,'[1]PREÇO ATUAL'!$A:$D,4,0)</f>
        <v>123</v>
      </c>
      <c r="E65" s="10">
        <v>1</v>
      </c>
      <c r="F65" s="10">
        <v>1</v>
      </c>
      <c r="G65" s="10">
        <v>1</v>
      </c>
      <c r="H65" s="10">
        <v>1</v>
      </c>
      <c r="I65" s="10">
        <v>1</v>
      </c>
      <c r="J65" s="10">
        <v>1</v>
      </c>
      <c r="K65" s="10">
        <v>1</v>
      </c>
      <c r="L65" s="10">
        <v>1</v>
      </c>
      <c r="M65" s="11">
        <v>1</v>
      </c>
      <c r="N65" s="10">
        <v>1</v>
      </c>
      <c r="O65" s="10">
        <v>1</v>
      </c>
      <c r="P65" s="10">
        <v>1</v>
      </c>
      <c r="Q65" s="10">
        <v>1</v>
      </c>
      <c r="R65" s="10">
        <v>1</v>
      </c>
      <c r="S65" s="10">
        <v>1</v>
      </c>
      <c r="T65" s="13">
        <f t="shared" ref="T65:T76" si="122">$D65*E65</f>
        <v>123</v>
      </c>
      <c r="U65" s="13">
        <f t="shared" ref="U65:U76" si="123">$D65*F65</f>
        <v>123</v>
      </c>
      <c r="V65" s="13">
        <f t="shared" ref="V65:V76" si="124">$D65*G65</f>
        <v>123</v>
      </c>
      <c r="W65" s="13">
        <f t="shared" ref="W65:W76" si="125">$D65*H65</f>
        <v>123</v>
      </c>
      <c r="X65" s="13">
        <f t="shared" ref="X65:X76" si="126">$D65*I65</f>
        <v>123</v>
      </c>
      <c r="Y65" s="13">
        <f t="shared" ref="Y65:Y70" si="127">$D65*J65</f>
        <v>123</v>
      </c>
      <c r="Z65" s="13">
        <f t="shared" ref="Z65:Z77" si="128">$D65*K65</f>
        <v>123</v>
      </c>
      <c r="AA65" s="13">
        <f t="shared" ref="AA65:AA77" si="129">$D65*L65</f>
        <v>123</v>
      </c>
      <c r="AB65" s="13">
        <f t="shared" ref="AB65:AB77" si="130">$D65*M65</f>
        <v>123</v>
      </c>
      <c r="AC65" s="13">
        <f t="shared" ref="AC65:AC77" si="131">$D65*N65</f>
        <v>123</v>
      </c>
      <c r="AD65" s="13">
        <f t="shared" ref="AD65:AD77" si="132">$D65*O65</f>
        <v>123</v>
      </c>
      <c r="AE65" s="13">
        <f t="shared" ref="AE65:AE66" si="133">$D65*P65</f>
        <v>123</v>
      </c>
      <c r="AF65" s="13">
        <f t="shared" ref="AF65:AF77" si="134">$D65*Q65</f>
        <v>123</v>
      </c>
      <c r="AG65" s="13">
        <f t="shared" ref="AG65:AG77" si="135">$D65*R65</f>
        <v>123</v>
      </c>
      <c r="AH65" s="13">
        <f t="shared" ref="AH65:AH77" si="136">$D65*S65</f>
        <v>123</v>
      </c>
      <c r="AI65" s="37">
        <f t="shared" ref="AI65:AI77" si="137">AJ65/$AI$2</f>
        <v>7.2672128564676225E-2</v>
      </c>
      <c r="AJ65" s="13">
        <f>SUM(T65:AH65)</f>
        <v>1845</v>
      </c>
    </row>
    <row r="66" spans="1:36" ht="14.6" x14ac:dyDescent="0.4">
      <c r="A66" s="15">
        <v>2</v>
      </c>
      <c r="B66" s="143" t="s">
        <v>217</v>
      </c>
      <c r="C66" s="186" t="s">
        <v>199</v>
      </c>
      <c r="D66" s="17">
        <f>VLOOKUP(C66,'[1]PREÇO ATUAL'!$A:$D,4,0)</f>
        <v>379</v>
      </c>
      <c r="E66" s="18">
        <v>1</v>
      </c>
      <c r="F66" s="18">
        <v>1</v>
      </c>
      <c r="G66" s="18">
        <v>1</v>
      </c>
      <c r="H66" s="18">
        <v>1</v>
      </c>
      <c r="I66" s="18">
        <v>1</v>
      </c>
      <c r="J66" s="18">
        <v>1</v>
      </c>
      <c r="K66" s="18">
        <v>1</v>
      </c>
      <c r="L66" s="18">
        <v>1</v>
      </c>
      <c r="M66" s="19">
        <v>1</v>
      </c>
      <c r="N66" s="18">
        <v>1</v>
      </c>
      <c r="O66" s="18">
        <v>1</v>
      </c>
      <c r="P66" s="18">
        <v>1</v>
      </c>
      <c r="Q66" s="18">
        <v>1</v>
      </c>
      <c r="R66" s="18">
        <v>1</v>
      </c>
      <c r="S66" s="18">
        <v>1</v>
      </c>
      <c r="T66" s="21">
        <f t="shared" si="122"/>
        <v>379</v>
      </c>
      <c r="U66" s="21">
        <f t="shared" si="123"/>
        <v>379</v>
      </c>
      <c r="V66" s="21">
        <f t="shared" si="124"/>
        <v>379</v>
      </c>
      <c r="W66" s="21">
        <f t="shared" si="125"/>
        <v>379</v>
      </c>
      <c r="X66" s="21">
        <f t="shared" si="126"/>
        <v>379</v>
      </c>
      <c r="Y66" s="21">
        <f t="shared" si="127"/>
        <v>379</v>
      </c>
      <c r="Z66" s="21">
        <f t="shared" si="128"/>
        <v>379</v>
      </c>
      <c r="AA66" s="21">
        <f t="shared" si="129"/>
        <v>379</v>
      </c>
      <c r="AB66" s="21">
        <f t="shared" si="130"/>
        <v>379</v>
      </c>
      <c r="AC66" s="21">
        <f t="shared" si="131"/>
        <v>379</v>
      </c>
      <c r="AD66" s="21">
        <f t="shared" si="132"/>
        <v>379</v>
      </c>
      <c r="AE66" s="21">
        <f t="shared" si="133"/>
        <v>379</v>
      </c>
      <c r="AF66" s="21">
        <f t="shared" si="134"/>
        <v>379</v>
      </c>
      <c r="AG66" s="21">
        <f t="shared" si="135"/>
        <v>379</v>
      </c>
      <c r="AH66" s="21">
        <f t="shared" si="136"/>
        <v>379</v>
      </c>
      <c r="AI66" s="38">
        <f t="shared" si="137"/>
        <v>0.2239246888293682</v>
      </c>
      <c r="AJ66" s="21">
        <f t="shared" ref="AJ66:AJ77" si="138">SUM(T66:AH66)</f>
        <v>5685</v>
      </c>
    </row>
    <row r="67" spans="1:36" ht="14.6" x14ac:dyDescent="0.4">
      <c r="A67" s="7">
        <v>3</v>
      </c>
      <c r="B67" s="142" t="s">
        <v>262</v>
      </c>
      <c r="C67" s="185" t="s">
        <v>319</v>
      </c>
      <c r="D67" s="9">
        <f>VLOOKUP(C67,'[1]PREÇO ATUAL'!$A:$D,4,0)</f>
        <v>212.95</v>
      </c>
      <c r="E67" s="10"/>
      <c r="F67" s="10">
        <v>1</v>
      </c>
      <c r="G67" s="10"/>
      <c r="H67" s="10">
        <v>1</v>
      </c>
      <c r="I67" s="10"/>
      <c r="J67" s="10">
        <v>1</v>
      </c>
      <c r="K67" s="10"/>
      <c r="L67" s="10">
        <v>1</v>
      </c>
      <c r="M67" s="11"/>
      <c r="N67" s="10">
        <v>1</v>
      </c>
      <c r="O67" s="10"/>
      <c r="P67" s="10">
        <v>1</v>
      </c>
      <c r="Q67" s="10"/>
      <c r="R67" s="10">
        <v>1</v>
      </c>
      <c r="S67" s="10"/>
      <c r="T67" s="13">
        <f t="shared" si="122"/>
        <v>0</v>
      </c>
      <c r="U67" s="13">
        <f t="shared" si="123"/>
        <v>212.95</v>
      </c>
      <c r="V67" s="13">
        <f t="shared" si="124"/>
        <v>0</v>
      </c>
      <c r="W67" s="13">
        <f t="shared" si="125"/>
        <v>212.95</v>
      </c>
      <c r="X67" s="13">
        <f t="shared" si="126"/>
        <v>0</v>
      </c>
      <c r="Y67" s="13">
        <f t="shared" si="127"/>
        <v>212.95</v>
      </c>
      <c r="Z67" s="13">
        <f t="shared" si="128"/>
        <v>0</v>
      </c>
      <c r="AA67" s="13">
        <f t="shared" si="129"/>
        <v>212.95</v>
      </c>
      <c r="AB67" s="13">
        <f t="shared" si="130"/>
        <v>0</v>
      </c>
      <c r="AC67" s="13">
        <f t="shared" si="131"/>
        <v>212.95</v>
      </c>
      <c r="AD67" s="13">
        <f t="shared" si="132"/>
        <v>0</v>
      </c>
      <c r="AE67" s="13">
        <f>$D67*P67</f>
        <v>212.95</v>
      </c>
      <c r="AF67" s="13">
        <f t="shared" si="134"/>
        <v>0</v>
      </c>
      <c r="AG67" s="13">
        <f t="shared" si="135"/>
        <v>212.95</v>
      </c>
      <c r="AH67" s="13">
        <f t="shared" si="136"/>
        <v>0</v>
      </c>
      <c r="AI67" s="37">
        <f t="shared" si="137"/>
        <v>5.8714747124625814E-2</v>
      </c>
      <c r="AJ67" s="13">
        <f t="shared" si="138"/>
        <v>1490.65</v>
      </c>
    </row>
    <row r="68" spans="1:36" ht="24.9" x14ac:dyDescent="0.4">
      <c r="A68" s="15">
        <v>4</v>
      </c>
      <c r="B68" s="143" t="s">
        <v>218</v>
      </c>
      <c r="C68" s="186" t="s">
        <v>219</v>
      </c>
      <c r="D68" s="17">
        <f>VLOOKUP(C68,'[1]PREÇO ATUAL'!$A:$D,4,0)</f>
        <v>79.962999999999994</v>
      </c>
      <c r="E68" s="18">
        <v>1</v>
      </c>
      <c r="F68" s="18">
        <v>1</v>
      </c>
      <c r="G68" s="18">
        <v>1</v>
      </c>
      <c r="H68" s="18">
        <v>1</v>
      </c>
      <c r="I68" s="18">
        <v>1</v>
      </c>
      <c r="J68" s="18">
        <v>1</v>
      </c>
      <c r="K68" s="18">
        <v>1</v>
      </c>
      <c r="L68" s="18">
        <v>1</v>
      </c>
      <c r="M68" s="19">
        <v>1</v>
      </c>
      <c r="N68" s="18">
        <v>1</v>
      </c>
      <c r="O68" s="18">
        <v>1</v>
      </c>
      <c r="P68" s="18">
        <v>1</v>
      </c>
      <c r="Q68" s="18">
        <v>1</v>
      </c>
      <c r="R68" s="18">
        <v>1</v>
      </c>
      <c r="S68" s="18">
        <v>1</v>
      </c>
      <c r="T68" s="21">
        <f t="shared" ref="T68:T69" si="139">$D68*E68</f>
        <v>79.962999999999994</v>
      </c>
      <c r="U68" s="21">
        <f t="shared" ref="U68:U69" si="140">$D68*F68</f>
        <v>79.962999999999994</v>
      </c>
      <c r="V68" s="21">
        <f t="shared" ref="V68:V69" si="141">$D68*G68</f>
        <v>79.962999999999994</v>
      </c>
      <c r="W68" s="21">
        <f t="shared" ref="W68:W69" si="142">$D68*H68</f>
        <v>79.962999999999994</v>
      </c>
      <c r="X68" s="21">
        <f t="shared" ref="X68:X69" si="143">$D68*I68</f>
        <v>79.962999999999994</v>
      </c>
      <c r="Y68" s="21">
        <f t="shared" ref="Y68:Y69" si="144">$D68*J68</f>
        <v>79.962999999999994</v>
      </c>
      <c r="Z68" s="21">
        <f t="shared" ref="Z68:Z69" si="145">$D68*K68</f>
        <v>79.962999999999994</v>
      </c>
      <c r="AA68" s="21">
        <f t="shared" ref="AA68:AA69" si="146">$D68*L68</f>
        <v>79.962999999999994</v>
      </c>
      <c r="AB68" s="21">
        <f t="shared" ref="AB68:AB69" si="147">$D68*M68</f>
        <v>79.962999999999994</v>
      </c>
      <c r="AC68" s="21">
        <f t="shared" ref="AC68:AC69" si="148">$D68*N68</f>
        <v>79.962999999999994</v>
      </c>
      <c r="AD68" s="21">
        <f t="shared" ref="AD68:AD69" si="149">$D68*O68</f>
        <v>79.962999999999994</v>
      </c>
      <c r="AE68" s="21">
        <f t="shared" ref="AE68:AE69" si="150">$D68*P68</f>
        <v>79.962999999999994</v>
      </c>
      <c r="AF68" s="21">
        <f t="shared" ref="AF68:AF69" si="151">$D68*Q68</f>
        <v>79.962999999999994</v>
      </c>
      <c r="AG68" s="21">
        <f t="shared" ref="AG68:AG69" si="152">$D68*R68</f>
        <v>79.962999999999994</v>
      </c>
      <c r="AH68" s="21">
        <f t="shared" ref="AH68:AH69" si="153">$D68*S68</f>
        <v>79.962999999999994</v>
      </c>
      <c r="AI68" s="38">
        <f t="shared" ref="AI68:AI69" si="154">AJ68/$AI$2</f>
        <v>4.7244564361115474E-2</v>
      </c>
      <c r="AJ68" s="21">
        <f t="shared" ref="AJ68:AJ69" si="155">SUM(T68:AH68)</f>
        <v>1199.4449999999997</v>
      </c>
    </row>
    <row r="69" spans="1:36" ht="24.9" x14ac:dyDescent="0.4">
      <c r="A69" s="7">
        <v>5</v>
      </c>
      <c r="B69" s="142" t="s">
        <v>220</v>
      </c>
      <c r="C69" s="185" t="s">
        <v>221</v>
      </c>
      <c r="D69" s="9">
        <f>VLOOKUP(C69,'[1]PREÇO ATUAL'!$A:$D,4,0)</f>
        <v>79.468999999999994</v>
      </c>
      <c r="E69" s="10">
        <v>1</v>
      </c>
      <c r="F69" s="10">
        <v>1</v>
      </c>
      <c r="G69" s="10">
        <v>1</v>
      </c>
      <c r="H69" s="10">
        <v>1</v>
      </c>
      <c r="I69" s="10">
        <v>1</v>
      </c>
      <c r="J69" s="10">
        <v>1</v>
      </c>
      <c r="K69" s="10">
        <v>1</v>
      </c>
      <c r="L69" s="10">
        <v>1</v>
      </c>
      <c r="M69" s="11">
        <v>1</v>
      </c>
      <c r="N69" s="10">
        <v>1</v>
      </c>
      <c r="O69" s="10">
        <v>1</v>
      </c>
      <c r="P69" s="10">
        <v>1</v>
      </c>
      <c r="Q69" s="10">
        <v>1</v>
      </c>
      <c r="R69" s="10">
        <v>1</v>
      </c>
      <c r="S69" s="10">
        <v>1</v>
      </c>
      <c r="T69" s="13">
        <f t="shared" si="139"/>
        <v>79.468999999999994</v>
      </c>
      <c r="U69" s="13">
        <f t="shared" si="140"/>
        <v>79.468999999999994</v>
      </c>
      <c r="V69" s="13">
        <f t="shared" si="141"/>
        <v>79.468999999999994</v>
      </c>
      <c r="W69" s="13">
        <f t="shared" si="142"/>
        <v>79.468999999999994</v>
      </c>
      <c r="X69" s="13">
        <f t="shared" si="143"/>
        <v>79.468999999999994</v>
      </c>
      <c r="Y69" s="13">
        <f t="shared" si="144"/>
        <v>79.468999999999994</v>
      </c>
      <c r="Z69" s="13">
        <f t="shared" si="145"/>
        <v>79.468999999999994</v>
      </c>
      <c r="AA69" s="13">
        <f t="shared" si="146"/>
        <v>79.468999999999994</v>
      </c>
      <c r="AB69" s="13">
        <f t="shared" si="147"/>
        <v>79.468999999999994</v>
      </c>
      <c r="AC69" s="13">
        <f t="shared" si="148"/>
        <v>79.468999999999994</v>
      </c>
      <c r="AD69" s="13">
        <f t="shared" si="149"/>
        <v>79.468999999999994</v>
      </c>
      <c r="AE69" s="13">
        <f t="shared" si="150"/>
        <v>79.468999999999994</v>
      </c>
      <c r="AF69" s="13">
        <f t="shared" si="151"/>
        <v>79.468999999999994</v>
      </c>
      <c r="AG69" s="13">
        <f t="shared" si="152"/>
        <v>79.468999999999994</v>
      </c>
      <c r="AH69" s="13">
        <f t="shared" si="153"/>
        <v>79.468999999999994</v>
      </c>
      <c r="AI69" s="37">
        <f t="shared" si="154"/>
        <v>4.6952694186229729E-2</v>
      </c>
      <c r="AJ69" s="13">
        <f t="shared" si="155"/>
        <v>1192.0350000000003</v>
      </c>
    </row>
    <row r="70" spans="1:36" ht="33" x14ac:dyDescent="0.4">
      <c r="A70" s="15">
        <v>6</v>
      </c>
      <c r="B70" s="143" t="s">
        <v>320</v>
      </c>
      <c r="C70" s="186" t="s">
        <v>321</v>
      </c>
      <c r="D70" s="17">
        <f>VLOOKUP(C70,'[1]PREÇO ATUAL'!$A:$D,4,0)</f>
        <v>103.45</v>
      </c>
      <c r="E70" s="28">
        <v>2.2000000000000002</v>
      </c>
      <c r="F70" s="28"/>
      <c r="G70" s="28"/>
      <c r="H70" s="28"/>
      <c r="I70" s="28"/>
      <c r="J70" s="28"/>
      <c r="K70" s="28"/>
      <c r="L70" s="28"/>
      <c r="M70" s="29"/>
      <c r="N70" s="28"/>
      <c r="O70" s="28"/>
      <c r="P70" s="28"/>
      <c r="Q70" s="28"/>
      <c r="R70" s="28"/>
      <c r="S70" s="28"/>
      <c r="T70" s="21">
        <f t="shared" si="122"/>
        <v>227.59000000000003</v>
      </c>
      <c r="U70" s="21">
        <f t="shared" si="123"/>
        <v>0</v>
      </c>
      <c r="V70" s="21">
        <f t="shared" si="124"/>
        <v>0</v>
      </c>
      <c r="W70" s="21">
        <f>$D70*H70</f>
        <v>0</v>
      </c>
      <c r="X70" s="21">
        <f t="shared" si="126"/>
        <v>0</v>
      </c>
      <c r="Y70" s="21">
        <f t="shared" si="127"/>
        <v>0</v>
      </c>
      <c r="Z70" s="21">
        <f t="shared" si="128"/>
        <v>0</v>
      </c>
      <c r="AA70" s="21">
        <f t="shared" si="129"/>
        <v>0</v>
      </c>
      <c r="AB70" s="21">
        <f t="shared" si="130"/>
        <v>0</v>
      </c>
      <c r="AC70" s="21">
        <f t="shared" si="131"/>
        <v>0</v>
      </c>
      <c r="AD70" s="21">
        <f t="shared" si="132"/>
        <v>0</v>
      </c>
      <c r="AE70" s="21">
        <f t="shared" ref="AE70:AE77" si="156">$D70*P70</f>
        <v>0</v>
      </c>
      <c r="AF70" s="21">
        <f t="shared" si="134"/>
        <v>0</v>
      </c>
      <c r="AG70" s="21">
        <f t="shared" si="135"/>
        <v>0</v>
      </c>
      <c r="AH70" s="21">
        <f t="shared" si="136"/>
        <v>0</v>
      </c>
      <c r="AI70" s="38">
        <f t="shared" si="137"/>
        <v>8.9644714038128268E-3</v>
      </c>
      <c r="AJ70" s="21">
        <f t="shared" si="138"/>
        <v>227.59000000000003</v>
      </c>
    </row>
    <row r="71" spans="1:36" ht="24.9" x14ac:dyDescent="0.4">
      <c r="A71" s="7">
        <v>7</v>
      </c>
      <c r="B71" s="142" t="s">
        <v>322</v>
      </c>
      <c r="C71" s="185" t="s">
        <v>323</v>
      </c>
      <c r="D71" s="9">
        <f>VLOOKUP(C71,'[1]PREÇO ATUAL'!$A:$D,4,0)</f>
        <v>165.76</v>
      </c>
      <c r="E71" s="45"/>
      <c r="F71" s="45"/>
      <c r="G71" s="45"/>
      <c r="H71" s="45"/>
      <c r="I71" s="45"/>
      <c r="J71" s="45">
        <v>2.5</v>
      </c>
      <c r="K71" s="45"/>
      <c r="L71" s="45"/>
      <c r="M71" s="46"/>
      <c r="N71" s="45"/>
      <c r="O71" s="45"/>
      <c r="P71" s="45"/>
      <c r="Q71" s="45"/>
      <c r="R71" s="45"/>
      <c r="S71" s="45"/>
      <c r="T71" s="13">
        <f t="shared" si="122"/>
        <v>0</v>
      </c>
      <c r="U71" s="13">
        <f t="shared" si="123"/>
        <v>0</v>
      </c>
      <c r="V71" s="13">
        <f t="shared" si="124"/>
        <v>0</v>
      </c>
      <c r="W71" s="13">
        <f t="shared" si="125"/>
        <v>0</v>
      </c>
      <c r="X71" s="13">
        <f t="shared" si="126"/>
        <v>0</v>
      </c>
      <c r="Y71" s="13">
        <f>$D71*J71</f>
        <v>414.4</v>
      </c>
      <c r="Z71" s="13">
        <f t="shared" si="128"/>
        <v>0</v>
      </c>
      <c r="AA71" s="13">
        <f t="shared" si="129"/>
        <v>0</v>
      </c>
      <c r="AB71" s="13">
        <f t="shared" si="130"/>
        <v>0</v>
      </c>
      <c r="AC71" s="13">
        <f t="shared" si="131"/>
        <v>0</v>
      </c>
      <c r="AD71" s="13">
        <f t="shared" si="132"/>
        <v>0</v>
      </c>
      <c r="AE71" s="13">
        <f t="shared" si="156"/>
        <v>0</v>
      </c>
      <c r="AF71" s="13">
        <f t="shared" si="134"/>
        <v>0</v>
      </c>
      <c r="AG71" s="13">
        <f t="shared" si="135"/>
        <v>0</v>
      </c>
      <c r="AH71" s="13">
        <f t="shared" si="136"/>
        <v>0</v>
      </c>
      <c r="AI71" s="37">
        <f t="shared" si="137"/>
        <v>1.6322672128564676E-2</v>
      </c>
      <c r="AJ71" s="13">
        <f t="shared" si="138"/>
        <v>414.4</v>
      </c>
    </row>
    <row r="72" spans="1:36" ht="22.75" x14ac:dyDescent="0.4">
      <c r="A72" s="15">
        <v>8</v>
      </c>
      <c r="B72" s="143" t="s">
        <v>264</v>
      </c>
      <c r="C72" s="186" t="s">
        <v>324</v>
      </c>
      <c r="D72" s="17">
        <f>VLOOKUP(C72,'[1]PREÇO ATUAL'!$A:$D,4,0)</f>
        <v>283.39</v>
      </c>
      <c r="E72" s="18"/>
      <c r="F72" s="18"/>
      <c r="G72" s="18"/>
      <c r="H72" s="18"/>
      <c r="I72" s="18"/>
      <c r="J72" s="18"/>
      <c r="K72" s="18"/>
      <c r="L72" s="18"/>
      <c r="M72" s="19"/>
      <c r="N72" s="18"/>
      <c r="O72" s="18"/>
      <c r="P72" s="18"/>
      <c r="Q72" s="18"/>
      <c r="R72" s="18"/>
      <c r="S72" s="18"/>
      <c r="T72" s="21">
        <f t="shared" ref="T72:T73" si="157">$D72*E72</f>
        <v>0</v>
      </c>
      <c r="U72" s="21">
        <f t="shared" ref="U72:U73" si="158">$D72*F72</f>
        <v>0</v>
      </c>
      <c r="V72" s="21">
        <f t="shared" ref="V72:V73" si="159">$D72*G72</f>
        <v>0</v>
      </c>
      <c r="W72" s="21">
        <f t="shared" ref="W72:W73" si="160">$D72*H72</f>
        <v>0</v>
      </c>
      <c r="X72" s="21">
        <f t="shared" ref="X72:X73" si="161">$D72*I72</f>
        <v>0</v>
      </c>
      <c r="Y72" s="21">
        <f t="shared" ref="Y72:Y73" si="162">$D72*J72</f>
        <v>0</v>
      </c>
      <c r="Z72" s="21">
        <f t="shared" ref="Z72:Z73" si="163">$D72*K72</f>
        <v>0</v>
      </c>
      <c r="AA72" s="21">
        <f t="shared" ref="AA72:AA73" si="164">$D72*L72</f>
        <v>0</v>
      </c>
      <c r="AB72" s="21">
        <f t="shared" ref="AB72:AB73" si="165">$D72*M72</f>
        <v>0</v>
      </c>
      <c r="AC72" s="21">
        <f t="shared" ref="AC72:AC73" si="166">$D72*N72</f>
        <v>0</v>
      </c>
      <c r="AD72" s="21">
        <f t="shared" ref="AD72:AD73" si="167">$D72*O72</f>
        <v>0</v>
      </c>
      <c r="AE72" s="21">
        <f t="shared" ref="AE72:AE73" si="168">$D72*P72</f>
        <v>0</v>
      </c>
      <c r="AF72" s="21">
        <f t="shared" ref="AF72:AF73" si="169">$D72*Q72</f>
        <v>0</v>
      </c>
      <c r="AG72" s="21">
        <f t="shared" ref="AG72:AG73" si="170">$D72*R72</f>
        <v>0</v>
      </c>
      <c r="AH72" s="21">
        <f t="shared" ref="AH72:AH73" si="171">$D72*S72</f>
        <v>0</v>
      </c>
      <c r="AI72" s="38">
        <f t="shared" ref="AI72:AI73" si="172">AJ72/$AI$2</f>
        <v>0</v>
      </c>
      <c r="AJ72" s="21">
        <f t="shared" ref="AJ72:AJ73" si="173">SUM(T72:AH72)</f>
        <v>0</v>
      </c>
    </row>
    <row r="73" spans="1:36" ht="22.75" x14ac:dyDescent="0.4">
      <c r="A73" s="7">
        <v>9</v>
      </c>
      <c r="B73" s="142" t="s">
        <v>325</v>
      </c>
      <c r="C73" s="185" t="s">
        <v>213</v>
      </c>
      <c r="D73" s="9">
        <f>VLOOKUP(C73,'[1]PREÇO ATUAL'!$A:$D,4,0)</f>
        <v>567.54999999999995</v>
      </c>
      <c r="E73" s="10"/>
      <c r="F73" s="10"/>
      <c r="G73" s="10"/>
      <c r="H73" s="10"/>
      <c r="I73" s="10"/>
      <c r="J73" s="10"/>
      <c r="K73" s="10"/>
      <c r="L73" s="10"/>
      <c r="M73" s="11"/>
      <c r="N73" s="10"/>
      <c r="O73" s="10"/>
      <c r="P73" s="10"/>
      <c r="Q73" s="10"/>
      <c r="R73" s="10"/>
      <c r="S73" s="10"/>
      <c r="T73" s="13">
        <f t="shared" si="157"/>
        <v>0</v>
      </c>
      <c r="U73" s="13">
        <f t="shared" si="158"/>
        <v>0</v>
      </c>
      <c r="V73" s="13">
        <f t="shared" si="159"/>
        <v>0</v>
      </c>
      <c r="W73" s="13">
        <f t="shared" si="160"/>
        <v>0</v>
      </c>
      <c r="X73" s="13">
        <f t="shared" si="161"/>
        <v>0</v>
      </c>
      <c r="Y73" s="13">
        <f t="shared" si="162"/>
        <v>0</v>
      </c>
      <c r="Z73" s="13">
        <f t="shared" si="163"/>
        <v>0</v>
      </c>
      <c r="AA73" s="13">
        <f t="shared" si="164"/>
        <v>0</v>
      </c>
      <c r="AB73" s="13">
        <f t="shared" si="165"/>
        <v>0</v>
      </c>
      <c r="AC73" s="13">
        <f t="shared" si="166"/>
        <v>0</v>
      </c>
      <c r="AD73" s="13">
        <f t="shared" si="167"/>
        <v>0</v>
      </c>
      <c r="AE73" s="13">
        <f t="shared" si="168"/>
        <v>0</v>
      </c>
      <c r="AF73" s="13">
        <f t="shared" si="169"/>
        <v>0</v>
      </c>
      <c r="AG73" s="13">
        <f t="shared" si="170"/>
        <v>0</v>
      </c>
      <c r="AH73" s="13">
        <f t="shared" si="171"/>
        <v>0</v>
      </c>
      <c r="AI73" s="37">
        <f t="shared" si="172"/>
        <v>0</v>
      </c>
      <c r="AJ73" s="13">
        <f t="shared" si="173"/>
        <v>0</v>
      </c>
    </row>
    <row r="74" spans="1:36" ht="22.75" x14ac:dyDescent="0.4">
      <c r="A74" s="15">
        <v>10</v>
      </c>
      <c r="B74" s="143" t="s">
        <v>326</v>
      </c>
      <c r="C74" s="186" t="s">
        <v>327</v>
      </c>
      <c r="D74" s="17">
        <f>VLOOKUP(C74,'[1]PREÇO ATUAL'!$A:$D,4,0)</f>
        <v>97.748169473968517</v>
      </c>
      <c r="E74" s="28"/>
      <c r="F74" s="28"/>
      <c r="G74" s="28"/>
      <c r="H74" s="28"/>
      <c r="I74" s="28"/>
      <c r="J74" s="28"/>
      <c r="K74" s="28"/>
      <c r="L74" s="28"/>
      <c r="M74" s="29"/>
      <c r="N74" s="28"/>
      <c r="O74" s="28"/>
      <c r="P74" s="28"/>
      <c r="Q74" s="28"/>
      <c r="R74" s="28"/>
      <c r="S74" s="28"/>
      <c r="T74" s="21">
        <f t="shared" si="122"/>
        <v>0</v>
      </c>
      <c r="U74" s="21">
        <f t="shared" si="123"/>
        <v>0</v>
      </c>
      <c r="V74" s="21">
        <f t="shared" si="124"/>
        <v>0</v>
      </c>
      <c r="W74" s="21">
        <f t="shared" si="125"/>
        <v>0</v>
      </c>
      <c r="X74" s="21">
        <f t="shared" si="126"/>
        <v>0</v>
      </c>
      <c r="Y74" s="21">
        <f t="shared" ref="Y74:Y76" si="174">$D74*J74</f>
        <v>0</v>
      </c>
      <c r="Z74" s="21">
        <f t="shared" si="128"/>
        <v>0</v>
      </c>
      <c r="AA74" s="21">
        <f t="shared" si="129"/>
        <v>0</v>
      </c>
      <c r="AB74" s="21">
        <f t="shared" si="130"/>
        <v>0</v>
      </c>
      <c r="AC74" s="21">
        <f t="shared" si="131"/>
        <v>0</v>
      </c>
      <c r="AD74" s="21">
        <f t="shared" si="132"/>
        <v>0</v>
      </c>
      <c r="AE74" s="21">
        <f t="shared" si="156"/>
        <v>0</v>
      </c>
      <c r="AF74" s="21">
        <f t="shared" si="134"/>
        <v>0</v>
      </c>
      <c r="AG74" s="21">
        <f t="shared" si="135"/>
        <v>0</v>
      </c>
      <c r="AH74" s="21">
        <f t="shared" si="136"/>
        <v>0</v>
      </c>
      <c r="AI74" s="38">
        <f t="shared" si="137"/>
        <v>0</v>
      </c>
      <c r="AJ74" s="21">
        <f t="shared" si="138"/>
        <v>0</v>
      </c>
    </row>
    <row r="75" spans="1:36" ht="22.75" x14ac:dyDescent="0.4">
      <c r="A75" s="7">
        <v>11</v>
      </c>
      <c r="B75" s="142" t="s">
        <v>331</v>
      </c>
      <c r="C75" s="185" t="s">
        <v>268</v>
      </c>
      <c r="D75" s="9">
        <f>VLOOKUP(C75,'[1]PREÇO ATUAL'!$A:$D,4,0)</f>
        <v>32.700000000000003</v>
      </c>
      <c r="E75" s="45"/>
      <c r="F75" s="45"/>
      <c r="G75" s="45"/>
      <c r="H75" s="45"/>
      <c r="I75" s="45"/>
      <c r="J75" s="45"/>
      <c r="K75" s="45"/>
      <c r="L75" s="45"/>
      <c r="M75" s="46"/>
      <c r="N75" s="45"/>
      <c r="O75" s="45"/>
      <c r="P75" s="45"/>
      <c r="Q75" s="45"/>
      <c r="R75" s="45"/>
      <c r="S75" s="45"/>
      <c r="T75" s="13">
        <f t="shared" si="122"/>
        <v>0</v>
      </c>
      <c r="U75" s="13">
        <f t="shared" si="123"/>
        <v>0</v>
      </c>
      <c r="V75" s="13">
        <f t="shared" si="124"/>
        <v>0</v>
      </c>
      <c r="W75" s="13">
        <f t="shared" si="125"/>
        <v>0</v>
      </c>
      <c r="X75" s="13">
        <f t="shared" si="126"/>
        <v>0</v>
      </c>
      <c r="Y75" s="13">
        <f t="shared" si="174"/>
        <v>0</v>
      </c>
      <c r="Z75" s="13">
        <f t="shared" si="128"/>
        <v>0</v>
      </c>
      <c r="AA75" s="13">
        <f t="shared" si="129"/>
        <v>0</v>
      </c>
      <c r="AB75" s="13">
        <f t="shared" si="130"/>
        <v>0</v>
      </c>
      <c r="AC75" s="13">
        <f t="shared" si="131"/>
        <v>0</v>
      </c>
      <c r="AD75" s="13">
        <f t="shared" si="132"/>
        <v>0</v>
      </c>
      <c r="AE75" s="13">
        <f t="shared" si="156"/>
        <v>0</v>
      </c>
      <c r="AF75" s="13">
        <f t="shared" si="134"/>
        <v>0</v>
      </c>
      <c r="AG75" s="13">
        <f t="shared" si="135"/>
        <v>0</v>
      </c>
      <c r="AH75" s="13">
        <f t="shared" si="136"/>
        <v>0</v>
      </c>
      <c r="AI75" s="37">
        <f t="shared" si="137"/>
        <v>0</v>
      </c>
      <c r="AJ75" s="13">
        <f t="shared" si="138"/>
        <v>0</v>
      </c>
    </row>
    <row r="76" spans="1:36" ht="14.6" x14ac:dyDescent="0.4">
      <c r="A76" s="15">
        <v>12</v>
      </c>
      <c r="B76" s="143" t="s">
        <v>299</v>
      </c>
      <c r="C76" s="186" t="s">
        <v>204</v>
      </c>
      <c r="D76" s="17">
        <f>VLOOKUP(C76,'[1]PREÇO ATUAL'!$A:$D,4,0)</f>
        <v>110.2557468128982</v>
      </c>
      <c r="E76" s="28">
        <v>4.9000000000000004</v>
      </c>
      <c r="F76" s="28">
        <v>4.9000000000000004</v>
      </c>
      <c r="G76" s="28">
        <v>4.9000000000000004</v>
      </c>
      <c r="H76" s="28">
        <v>4.9000000000000004</v>
      </c>
      <c r="I76" s="28">
        <v>4.9000000000000004</v>
      </c>
      <c r="J76" s="28">
        <v>4.9000000000000004</v>
      </c>
      <c r="K76" s="28">
        <v>4.9000000000000004</v>
      </c>
      <c r="L76" s="28">
        <v>4.9000000000000004</v>
      </c>
      <c r="M76" s="29">
        <v>4.9000000000000004</v>
      </c>
      <c r="N76" s="28">
        <v>4.9000000000000004</v>
      </c>
      <c r="O76" s="28">
        <v>4.9000000000000004</v>
      </c>
      <c r="P76" s="28">
        <v>4.9000000000000004</v>
      </c>
      <c r="Q76" s="28">
        <v>4.9000000000000004</v>
      </c>
      <c r="R76" s="28">
        <v>4.9000000000000004</v>
      </c>
      <c r="S76" s="28">
        <v>4.9000000000000004</v>
      </c>
      <c r="T76" s="21">
        <f t="shared" si="122"/>
        <v>540.25315938320125</v>
      </c>
      <c r="U76" s="21">
        <f t="shared" si="123"/>
        <v>540.25315938320125</v>
      </c>
      <c r="V76" s="21">
        <f t="shared" si="124"/>
        <v>540.25315938320125</v>
      </c>
      <c r="W76" s="21">
        <f t="shared" si="125"/>
        <v>540.25315938320125</v>
      </c>
      <c r="X76" s="21">
        <f t="shared" si="126"/>
        <v>540.25315938320125</v>
      </c>
      <c r="Y76" s="21">
        <f t="shared" si="174"/>
        <v>540.25315938320125</v>
      </c>
      <c r="Z76" s="21">
        <f t="shared" si="128"/>
        <v>540.25315938320125</v>
      </c>
      <c r="AA76" s="21">
        <f t="shared" si="129"/>
        <v>540.25315938320125</v>
      </c>
      <c r="AB76" s="21">
        <f t="shared" si="130"/>
        <v>540.25315938320125</v>
      </c>
      <c r="AC76" s="21">
        <f t="shared" si="131"/>
        <v>540.25315938320125</v>
      </c>
      <c r="AD76" s="21">
        <f t="shared" si="132"/>
        <v>540.25315938320125</v>
      </c>
      <c r="AE76" s="21">
        <f t="shared" si="156"/>
        <v>540.25315938320125</v>
      </c>
      <c r="AF76" s="21">
        <f t="shared" si="134"/>
        <v>540.25315938320125</v>
      </c>
      <c r="AG76" s="21">
        <f t="shared" si="135"/>
        <v>540.25315938320125</v>
      </c>
      <c r="AH76" s="21">
        <f t="shared" si="136"/>
        <v>540.25315938320125</v>
      </c>
      <c r="AI76" s="38">
        <f t="shared" si="137"/>
        <v>0.31919794354608538</v>
      </c>
      <c r="AJ76" s="21">
        <f t="shared" si="138"/>
        <v>8103.7973907480164</v>
      </c>
    </row>
    <row r="77" spans="1:36" ht="14.6" x14ac:dyDescent="0.4">
      <c r="A77" s="7">
        <v>13</v>
      </c>
      <c r="B77" s="142" t="s">
        <v>38</v>
      </c>
      <c r="C77" s="185" t="s">
        <v>39</v>
      </c>
      <c r="D77" s="9">
        <f>VLOOKUP(C77,'[1]PREÇO ATUAL'!$A:$D,4,0)</f>
        <v>342</v>
      </c>
      <c r="E77" s="45">
        <v>1.75</v>
      </c>
      <c r="F77" s="45">
        <v>1.5</v>
      </c>
      <c r="G77" s="45">
        <v>1.45</v>
      </c>
      <c r="H77" s="45">
        <v>1.85</v>
      </c>
      <c r="I77" s="45">
        <v>2.1</v>
      </c>
      <c r="J77" s="45">
        <v>1.65</v>
      </c>
      <c r="K77" s="45">
        <v>1.45</v>
      </c>
      <c r="L77" s="45">
        <v>1.85</v>
      </c>
      <c r="M77" s="46">
        <v>1.75</v>
      </c>
      <c r="N77" s="45">
        <v>1.8</v>
      </c>
      <c r="O77" s="45">
        <v>1.5</v>
      </c>
      <c r="P77" s="45">
        <v>5.3</v>
      </c>
      <c r="Q77" s="45">
        <v>1.75</v>
      </c>
      <c r="R77" s="45">
        <v>1.5</v>
      </c>
      <c r="S77" s="45">
        <v>1.75</v>
      </c>
      <c r="T77" s="13">
        <f>D77*E77</f>
        <v>598.5</v>
      </c>
      <c r="U77" s="13">
        <f>$D77*F77</f>
        <v>513</v>
      </c>
      <c r="V77" s="13">
        <f>$D77*G77</f>
        <v>495.9</v>
      </c>
      <c r="W77" s="13">
        <f>$D77*H77</f>
        <v>632.70000000000005</v>
      </c>
      <c r="X77" s="13">
        <f>$D77*I77</f>
        <v>718.2</v>
      </c>
      <c r="Y77" s="13">
        <f>$D77*J77</f>
        <v>564.29999999999995</v>
      </c>
      <c r="Z77" s="13">
        <f t="shared" si="128"/>
        <v>495.9</v>
      </c>
      <c r="AA77" s="13">
        <f t="shared" si="129"/>
        <v>632.70000000000005</v>
      </c>
      <c r="AB77" s="13">
        <f t="shared" si="130"/>
        <v>598.5</v>
      </c>
      <c r="AC77" s="13">
        <f t="shared" si="131"/>
        <v>615.6</v>
      </c>
      <c r="AD77" s="13">
        <f t="shared" si="132"/>
        <v>513</v>
      </c>
      <c r="AE77" s="13">
        <f t="shared" si="156"/>
        <v>1812.6</v>
      </c>
      <c r="AF77" s="13">
        <f t="shared" si="134"/>
        <v>598.5</v>
      </c>
      <c r="AG77" s="13">
        <f t="shared" si="135"/>
        <v>513</v>
      </c>
      <c r="AH77" s="13">
        <f t="shared" si="136"/>
        <v>598.5</v>
      </c>
      <c r="AI77" s="37">
        <f t="shared" si="137"/>
        <v>0.38998345675122109</v>
      </c>
      <c r="AJ77" s="13">
        <f t="shared" si="138"/>
        <v>9900.9000000000015</v>
      </c>
    </row>
    <row r="78" spans="1:36" ht="15.75" customHeight="1" x14ac:dyDescent="0.4"/>
    <row r="79" spans="1:36" ht="15.75" customHeight="1" x14ac:dyDescent="0.4">
      <c r="A79" s="222" t="s">
        <v>333</v>
      </c>
      <c r="B79" s="223"/>
      <c r="C79" s="223"/>
      <c r="D79" s="234"/>
      <c r="E79" s="126" t="s">
        <v>3</v>
      </c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5" t="s">
        <v>4</v>
      </c>
      <c r="U79" s="125"/>
      <c r="V79" s="125"/>
      <c r="W79" s="125"/>
      <c r="X79" s="125"/>
      <c r="Y79" s="125"/>
      <c r="Z79" s="125"/>
      <c r="AA79" s="125"/>
      <c r="AB79" s="125"/>
      <c r="AC79" s="125"/>
      <c r="AD79" s="139"/>
      <c r="AE79" s="139"/>
      <c r="AF79" s="139"/>
      <c r="AG79" s="139"/>
      <c r="AH79" s="139"/>
      <c r="AI79" s="229" t="s">
        <v>5</v>
      </c>
      <c r="AJ79" s="229"/>
    </row>
    <row r="80" spans="1:36" ht="15.75" customHeight="1" x14ac:dyDescent="0.4">
      <c r="A80" s="224"/>
      <c r="B80" s="225"/>
      <c r="C80" s="225"/>
      <c r="D80" s="235"/>
      <c r="E80" s="141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2">
        <f t="shared" ref="T80:AH80" si="175">MROUND(SUM(T82:T93),1)</f>
        <v>2028</v>
      </c>
      <c r="U80" s="2">
        <f t="shared" si="175"/>
        <v>1928</v>
      </c>
      <c r="V80" s="2">
        <f t="shared" si="175"/>
        <v>1698</v>
      </c>
      <c r="W80" s="2">
        <f t="shared" si="175"/>
        <v>2047</v>
      </c>
      <c r="X80" s="2">
        <f t="shared" si="175"/>
        <v>1920</v>
      </c>
      <c r="Y80" s="2">
        <f t="shared" si="175"/>
        <v>1979</v>
      </c>
      <c r="Z80" s="2">
        <f t="shared" si="175"/>
        <v>1698</v>
      </c>
      <c r="AA80" s="2">
        <f t="shared" si="175"/>
        <v>2047</v>
      </c>
      <c r="AB80" s="2">
        <f t="shared" si="175"/>
        <v>1800</v>
      </c>
      <c r="AC80" s="2">
        <f t="shared" si="175"/>
        <v>2030</v>
      </c>
      <c r="AD80" s="2">
        <f t="shared" si="175"/>
        <v>1715</v>
      </c>
      <c r="AE80" s="2">
        <f t="shared" si="175"/>
        <v>3227</v>
      </c>
      <c r="AF80" s="2">
        <f t="shared" si="175"/>
        <v>1800</v>
      </c>
      <c r="AG80" s="2">
        <f t="shared" si="175"/>
        <v>1928</v>
      </c>
      <c r="AH80" s="2">
        <f t="shared" si="175"/>
        <v>1800</v>
      </c>
      <c r="AI80" s="221">
        <f>SUM(T80:AH80)</f>
        <v>29645</v>
      </c>
      <c r="AJ80" s="220"/>
    </row>
    <row r="81" spans="1:36" ht="15.75" customHeight="1" x14ac:dyDescent="0.4">
      <c r="A81" s="3" t="s">
        <v>6</v>
      </c>
      <c r="B81" s="3" t="s">
        <v>7</v>
      </c>
      <c r="C81" s="3" t="s">
        <v>8</v>
      </c>
      <c r="D81" s="4" t="s">
        <v>9</v>
      </c>
      <c r="E81" s="5" t="s">
        <v>10</v>
      </c>
      <c r="F81" s="5" t="s">
        <v>11</v>
      </c>
      <c r="G81" s="5" t="s">
        <v>12</v>
      </c>
      <c r="H81" s="5" t="s">
        <v>13</v>
      </c>
      <c r="I81" s="5" t="s">
        <v>14</v>
      </c>
      <c r="J81" s="5" t="s">
        <v>15</v>
      </c>
      <c r="K81" s="5" t="s">
        <v>16</v>
      </c>
      <c r="L81" s="5" t="s">
        <v>17</v>
      </c>
      <c r="M81" s="170" t="s">
        <v>18</v>
      </c>
      <c r="N81" s="5" t="s">
        <v>19</v>
      </c>
      <c r="O81" s="148" t="s">
        <v>257</v>
      </c>
      <c r="P81" s="5" t="s">
        <v>258</v>
      </c>
      <c r="Q81" s="5" t="s">
        <v>259</v>
      </c>
      <c r="R81" s="5" t="s">
        <v>260</v>
      </c>
      <c r="S81" s="5" t="s">
        <v>261</v>
      </c>
      <c r="T81" s="36">
        <v>10000</v>
      </c>
      <c r="U81" s="36">
        <v>20000</v>
      </c>
      <c r="V81" s="36">
        <v>30000</v>
      </c>
      <c r="W81" s="36">
        <v>40000</v>
      </c>
      <c r="X81" s="36">
        <v>50000</v>
      </c>
      <c r="Y81" s="36">
        <v>60000</v>
      </c>
      <c r="Z81" s="36">
        <v>70000</v>
      </c>
      <c r="AA81" s="36">
        <v>80000</v>
      </c>
      <c r="AB81" s="36">
        <v>90000</v>
      </c>
      <c r="AC81" s="36">
        <v>100000</v>
      </c>
      <c r="AD81" s="65">
        <f>AC81+10000</f>
        <v>110000</v>
      </c>
      <c r="AE81" s="65">
        <f t="shared" ref="AE81" si="176">AD81+10000</f>
        <v>120000</v>
      </c>
      <c r="AF81" s="65">
        <f t="shared" ref="AF81" si="177">AE81+10000</f>
        <v>130000</v>
      </c>
      <c r="AG81" s="65">
        <f t="shared" ref="AG81" si="178">AF81+10000</f>
        <v>140000</v>
      </c>
      <c r="AH81" s="65">
        <f t="shared" ref="AH81" si="179">AG81+10000</f>
        <v>150000</v>
      </c>
      <c r="AI81" s="6" t="s">
        <v>20</v>
      </c>
      <c r="AJ81" s="3" t="s">
        <v>21</v>
      </c>
    </row>
    <row r="82" spans="1:36" ht="14.6" x14ac:dyDescent="0.4">
      <c r="A82" s="7">
        <v>1</v>
      </c>
      <c r="B82" s="8" t="s">
        <v>216</v>
      </c>
      <c r="C82" s="185" t="s">
        <v>207</v>
      </c>
      <c r="D82" s="9">
        <f>VLOOKUP(C82,'[1]PREÇO ATUAL'!$A:$D,4,0)</f>
        <v>123</v>
      </c>
      <c r="E82" s="10">
        <v>1</v>
      </c>
      <c r="F82" s="10">
        <v>1</v>
      </c>
      <c r="G82" s="10">
        <v>1</v>
      </c>
      <c r="H82" s="10">
        <v>1</v>
      </c>
      <c r="I82" s="10">
        <v>1</v>
      </c>
      <c r="J82" s="10">
        <v>1</v>
      </c>
      <c r="K82" s="10">
        <v>1</v>
      </c>
      <c r="L82" s="10">
        <v>1</v>
      </c>
      <c r="M82" s="11">
        <v>1</v>
      </c>
      <c r="N82" s="10">
        <v>1</v>
      </c>
      <c r="O82" s="10">
        <v>1</v>
      </c>
      <c r="P82" s="10">
        <v>1</v>
      </c>
      <c r="Q82" s="10">
        <v>1</v>
      </c>
      <c r="R82" s="10">
        <v>1</v>
      </c>
      <c r="S82" s="10">
        <v>1</v>
      </c>
      <c r="T82" s="13">
        <f t="shared" ref="T82:T92" si="180">$D82*E82</f>
        <v>123</v>
      </c>
      <c r="U82" s="13">
        <f t="shared" ref="U82:U92" si="181">$D82*F82</f>
        <v>123</v>
      </c>
      <c r="V82" s="13">
        <f t="shared" ref="V82:V92" si="182">$D82*G82</f>
        <v>123</v>
      </c>
      <c r="W82" s="13">
        <f t="shared" ref="W82:W92" si="183">$D82*H82</f>
        <v>123</v>
      </c>
      <c r="X82" s="13">
        <f t="shared" ref="X82:X92" si="184">$D82*I82</f>
        <v>123</v>
      </c>
      <c r="Y82" s="13">
        <f t="shared" ref="Y82:Y92" si="185">$D82*J82</f>
        <v>123</v>
      </c>
      <c r="Z82" s="13">
        <f t="shared" ref="Z82:Z93" si="186">$D82*K82</f>
        <v>123</v>
      </c>
      <c r="AA82" s="13">
        <f t="shared" ref="AA82:AA93" si="187">$D82*L82</f>
        <v>123</v>
      </c>
      <c r="AB82" s="13">
        <f t="shared" ref="AB82:AB93" si="188">$D82*M82</f>
        <v>123</v>
      </c>
      <c r="AC82" s="13">
        <f t="shared" ref="AC82:AC93" si="189">$D82*N82</f>
        <v>123</v>
      </c>
      <c r="AD82" s="13">
        <f t="shared" ref="AD82:AD93" si="190">$D82*O82</f>
        <v>123</v>
      </c>
      <c r="AE82" s="13">
        <f t="shared" ref="AE82:AE83" si="191">$D82*P82</f>
        <v>123</v>
      </c>
      <c r="AF82" s="13">
        <f t="shared" ref="AF82:AF93" si="192">$D82*Q82</f>
        <v>123</v>
      </c>
      <c r="AG82" s="13">
        <f t="shared" ref="AG82:AG93" si="193">$D82*R82</f>
        <v>123</v>
      </c>
      <c r="AH82" s="13">
        <f t="shared" ref="AH82:AH93" si="194">$D82*S82</f>
        <v>123</v>
      </c>
      <c r="AI82" s="37">
        <f t="shared" ref="AI82:AI93" si="195">AJ82/$AI$2</f>
        <v>7.2672128564676225E-2</v>
      </c>
      <c r="AJ82" s="13">
        <f>SUM(T82:AH82)</f>
        <v>1845</v>
      </c>
    </row>
    <row r="83" spans="1:36" ht="14.6" x14ac:dyDescent="0.4">
      <c r="A83" s="15">
        <v>2</v>
      </c>
      <c r="B83" s="16" t="s">
        <v>217</v>
      </c>
      <c r="C83" s="186" t="s">
        <v>199</v>
      </c>
      <c r="D83" s="17">
        <f>VLOOKUP(C83,'[1]PREÇO ATUAL'!$A:$D,4,0)</f>
        <v>379</v>
      </c>
      <c r="E83" s="18">
        <v>1</v>
      </c>
      <c r="F83" s="18">
        <v>1</v>
      </c>
      <c r="G83" s="18">
        <v>1</v>
      </c>
      <c r="H83" s="18">
        <v>1</v>
      </c>
      <c r="I83" s="18">
        <v>1</v>
      </c>
      <c r="J83" s="18">
        <v>1</v>
      </c>
      <c r="K83" s="18">
        <v>1</v>
      </c>
      <c r="L83" s="18">
        <v>1</v>
      </c>
      <c r="M83" s="19">
        <v>1</v>
      </c>
      <c r="N83" s="18">
        <v>1</v>
      </c>
      <c r="O83" s="18">
        <v>1</v>
      </c>
      <c r="P83" s="18">
        <v>1</v>
      </c>
      <c r="Q83" s="18">
        <v>1</v>
      </c>
      <c r="R83" s="18">
        <v>1</v>
      </c>
      <c r="S83" s="18">
        <v>1</v>
      </c>
      <c r="T83" s="21">
        <f t="shared" si="180"/>
        <v>379</v>
      </c>
      <c r="U83" s="21">
        <f t="shared" si="181"/>
        <v>379</v>
      </c>
      <c r="V83" s="21">
        <f t="shared" si="182"/>
        <v>379</v>
      </c>
      <c r="W83" s="21">
        <f t="shared" si="183"/>
        <v>379</v>
      </c>
      <c r="X83" s="21">
        <f t="shared" si="184"/>
        <v>379</v>
      </c>
      <c r="Y83" s="21">
        <f t="shared" si="185"/>
        <v>379</v>
      </c>
      <c r="Z83" s="21">
        <f t="shared" si="186"/>
        <v>379</v>
      </c>
      <c r="AA83" s="21">
        <f t="shared" si="187"/>
        <v>379</v>
      </c>
      <c r="AB83" s="21">
        <f t="shared" si="188"/>
        <v>379</v>
      </c>
      <c r="AC83" s="21">
        <f t="shared" si="189"/>
        <v>379</v>
      </c>
      <c r="AD83" s="21">
        <f t="shared" si="190"/>
        <v>379</v>
      </c>
      <c r="AE83" s="21">
        <f t="shared" si="191"/>
        <v>379</v>
      </c>
      <c r="AF83" s="21">
        <f t="shared" si="192"/>
        <v>379</v>
      </c>
      <c r="AG83" s="21">
        <f t="shared" si="193"/>
        <v>379</v>
      </c>
      <c r="AH83" s="21">
        <f t="shared" si="194"/>
        <v>379</v>
      </c>
      <c r="AI83" s="38">
        <f t="shared" si="195"/>
        <v>0.2239246888293682</v>
      </c>
      <c r="AJ83" s="21">
        <f t="shared" ref="AJ83:AJ93" si="196">SUM(T83:AH83)</f>
        <v>5685</v>
      </c>
    </row>
    <row r="84" spans="1:36" ht="14.6" x14ac:dyDescent="0.4">
      <c r="A84" s="7">
        <v>3</v>
      </c>
      <c r="B84" s="8" t="s">
        <v>262</v>
      </c>
      <c r="C84" s="185" t="s">
        <v>319</v>
      </c>
      <c r="D84" s="9">
        <f>VLOOKUP(C84,'[1]PREÇO ATUAL'!$A:$D,4,0)</f>
        <v>212.95</v>
      </c>
      <c r="E84" s="10"/>
      <c r="F84" s="10">
        <v>1</v>
      </c>
      <c r="G84" s="10"/>
      <c r="H84" s="10">
        <v>1</v>
      </c>
      <c r="I84" s="10"/>
      <c r="J84" s="10">
        <v>1</v>
      </c>
      <c r="K84" s="10"/>
      <c r="L84" s="10">
        <v>1</v>
      </c>
      <c r="M84" s="11"/>
      <c r="N84" s="10">
        <v>1</v>
      </c>
      <c r="O84" s="67"/>
      <c r="P84" s="10">
        <v>1</v>
      </c>
      <c r="Q84" s="10"/>
      <c r="R84" s="10">
        <v>1</v>
      </c>
      <c r="S84" s="10"/>
      <c r="T84" s="13">
        <f t="shared" si="180"/>
        <v>0</v>
      </c>
      <c r="U84" s="13">
        <f t="shared" si="181"/>
        <v>212.95</v>
      </c>
      <c r="V84" s="13">
        <f t="shared" si="182"/>
        <v>0</v>
      </c>
      <c r="W84" s="13">
        <f t="shared" si="183"/>
        <v>212.95</v>
      </c>
      <c r="X84" s="13">
        <f t="shared" si="184"/>
        <v>0</v>
      </c>
      <c r="Y84" s="13">
        <f t="shared" si="185"/>
        <v>212.95</v>
      </c>
      <c r="Z84" s="13">
        <f t="shared" si="186"/>
        <v>0</v>
      </c>
      <c r="AA84" s="13">
        <f t="shared" si="187"/>
        <v>212.95</v>
      </c>
      <c r="AB84" s="13">
        <f t="shared" si="188"/>
        <v>0</v>
      </c>
      <c r="AC84" s="13">
        <f t="shared" si="189"/>
        <v>212.95</v>
      </c>
      <c r="AD84" s="13">
        <f t="shared" si="190"/>
        <v>0</v>
      </c>
      <c r="AE84" s="13">
        <f>$D84*P84</f>
        <v>212.95</v>
      </c>
      <c r="AF84" s="13">
        <f t="shared" si="192"/>
        <v>0</v>
      </c>
      <c r="AG84" s="13">
        <f t="shared" si="193"/>
        <v>212.95</v>
      </c>
      <c r="AH84" s="13">
        <f t="shared" si="194"/>
        <v>0</v>
      </c>
      <c r="AI84" s="37">
        <f t="shared" si="195"/>
        <v>5.8714747124625814E-2</v>
      </c>
      <c r="AJ84" s="13">
        <f t="shared" si="196"/>
        <v>1490.65</v>
      </c>
    </row>
    <row r="85" spans="1:36" ht="24.9" x14ac:dyDescent="0.4">
      <c r="A85" s="15">
        <v>4</v>
      </c>
      <c r="B85" s="143" t="s">
        <v>218</v>
      </c>
      <c r="C85" s="186" t="s">
        <v>219</v>
      </c>
      <c r="D85" s="17">
        <f>VLOOKUP(C85,'[1]PREÇO ATUAL'!$A:$D,4,0)</f>
        <v>79.962999999999994</v>
      </c>
      <c r="E85" s="18">
        <v>1</v>
      </c>
      <c r="F85" s="18">
        <v>1</v>
      </c>
      <c r="G85" s="18">
        <v>1</v>
      </c>
      <c r="H85" s="18">
        <v>1</v>
      </c>
      <c r="I85" s="18">
        <v>1</v>
      </c>
      <c r="J85" s="18">
        <v>1</v>
      </c>
      <c r="K85" s="18">
        <v>1</v>
      </c>
      <c r="L85" s="18">
        <v>1</v>
      </c>
      <c r="M85" s="19">
        <v>1</v>
      </c>
      <c r="N85" s="18">
        <v>1</v>
      </c>
      <c r="O85" s="18">
        <v>1</v>
      </c>
      <c r="P85" s="18">
        <v>1</v>
      </c>
      <c r="Q85" s="18">
        <v>1</v>
      </c>
      <c r="R85" s="18">
        <v>1</v>
      </c>
      <c r="S85" s="18">
        <v>1</v>
      </c>
      <c r="T85" s="21">
        <f t="shared" si="180"/>
        <v>79.962999999999994</v>
      </c>
      <c r="U85" s="21">
        <f t="shared" si="181"/>
        <v>79.962999999999994</v>
      </c>
      <c r="V85" s="21">
        <f t="shared" si="182"/>
        <v>79.962999999999994</v>
      </c>
      <c r="W85" s="21">
        <f t="shared" si="183"/>
        <v>79.962999999999994</v>
      </c>
      <c r="X85" s="21">
        <f t="shared" si="184"/>
        <v>79.962999999999994</v>
      </c>
      <c r="Y85" s="21">
        <f t="shared" si="185"/>
        <v>79.962999999999994</v>
      </c>
      <c r="Z85" s="21">
        <f t="shared" si="186"/>
        <v>79.962999999999994</v>
      </c>
      <c r="AA85" s="21">
        <f t="shared" si="187"/>
        <v>79.962999999999994</v>
      </c>
      <c r="AB85" s="21">
        <f t="shared" si="188"/>
        <v>79.962999999999994</v>
      </c>
      <c r="AC85" s="21">
        <f t="shared" si="189"/>
        <v>79.962999999999994</v>
      </c>
      <c r="AD85" s="21">
        <f t="shared" si="190"/>
        <v>79.962999999999994</v>
      </c>
      <c r="AE85" s="21">
        <f t="shared" ref="AE85:AE93" si="197">$D85*P85</f>
        <v>79.962999999999994</v>
      </c>
      <c r="AF85" s="21">
        <f t="shared" si="192"/>
        <v>79.962999999999994</v>
      </c>
      <c r="AG85" s="21">
        <f t="shared" si="193"/>
        <v>79.962999999999994</v>
      </c>
      <c r="AH85" s="21">
        <f t="shared" si="194"/>
        <v>79.962999999999994</v>
      </c>
      <c r="AI85" s="38">
        <f t="shared" si="195"/>
        <v>4.7244564361115474E-2</v>
      </c>
      <c r="AJ85" s="21">
        <f t="shared" si="196"/>
        <v>1199.4449999999997</v>
      </c>
    </row>
    <row r="86" spans="1:36" ht="24.9" x14ac:dyDescent="0.4">
      <c r="A86" s="7">
        <v>5</v>
      </c>
      <c r="B86" s="142" t="s">
        <v>220</v>
      </c>
      <c r="C86" s="185" t="s">
        <v>221</v>
      </c>
      <c r="D86" s="9">
        <f>VLOOKUP(C86,'[1]PREÇO ATUAL'!$A:$D,4,0)</f>
        <v>79.468999999999994</v>
      </c>
      <c r="E86" s="10">
        <v>1</v>
      </c>
      <c r="F86" s="10">
        <v>1</v>
      </c>
      <c r="G86" s="10">
        <v>1</v>
      </c>
      <c r="H86" s="10">
        <v>1</v>
      </c>
      <c r="I86" s="10">
        <v>1</v>
      </c>
      <c r="J86" s="10">
        <v>1</v>
      </c>
      <c r="K86" s="10">
        <v>1</v>
      </c>
      <c r="L86" s="10">
        <v>1</v>
      </c>
      <c r="M86" s="11">
        <v>1</v>
      </c>
      <c r="N86" s="10">
        <v>1</v>
      </c>
      <c r="O86" s="10">
        <v>1</v>
      </c>
      <c r="P86" s="10">
        <v>1</v>
      </c>
      <c r="Q86" s="10">
        <v>1</v>
      </c>
      <c r="R86" s="10">
        <v>1</v>
      </c>
      <c r="S86" s="10">
        <v>1</v>
      </c>
      <c r="T86" s="13">
        <f t="shared" si="180"/>
        <v>79.468999999999994</v>
      </c>
      <c r="U86" s="13">
        <f t="shared" si="181"/>
        <v>79.468999999999994</v>
      </c>
      <c r="V86" s="13">
        <f t="shared" si="182"/>
        <v>79.468999999999994</v>
      </c>
      <c r="W86" s="13">
        <f t="shared" si="183"/>
        <v>79.468999999999994</v>
      </c>
      <c r="X86" s="13">
        <f t="shared" si="184"/>
        <v>79.468999999999994</v>
      </c>
      <c r="Y86" s="13">
        <f t="shared" si="185"/>
        <v>79.468999999999994</v>
      </c>
      <c r="Z86" s="13">
        <f t="shared" si="186"/>
        <v>79.468999999999994</v>
      </c>
      <c r="AA86" s="13">
        <f t="shared" si="187"/>
        <v>79.468999999999994</v>
      </c>
      <c r="AB86" s="13">
        <f t="shared" si="188"/>
        <v>79.468999999999994</v>
      </c>
      <c r="AC86" s="13">
        <f t="shared" si="189"/>
        <v>79.468999999999994</v>
      </c>
      <c r="AD86" s="13">
        <f t="shared" si="190"/>
        <v>79.468999999999994</v>
      </c>
      <c r="AE86" s="13">
        <f t="shared" si="197"/>
        <v>79.468999999999994</v>
      </c>
      <c r="AF86" s="13">
        <f t="shared" si="192"/>
        <v>79.468999999999994</v>
      </c>
      <c r="AG86" s="13">
        <f t="shared" si="193"/>
        <v>79.468999999999994</v>
      </c>
      <c r="AH86" s="13">
        <f t="shared" si="194"/>
        <v>79.468999999999994</v>
      </c>
      <c r="AI86" s="37">
        <f t="shared" si="195"/>
        <v>4.6952694186229729E-2</v>
      </c>
      <c r="AJ86" s="13">
        <f t="shared" si="196"/>
        <v>1192.0350000000003</v>
      </c>
    </row>
    <row r="87" spans="1:36" ht="33" x14ac:dyDescent="0.4">
      <c r="A87" s="15">
        <v>6</v>
      </c>
      <c r="B87" s="143" t="s">
        <v>320</v>
      </c>
      <c r="C87" s="186" t="s">
        <v>321</v>
      </c>
      <c r="D87" s="17">
        <f>VLOOKUP(C87,'[1]PREÇO ATUAL'!$A:$D,4,0)</f>
        <v>103.45</v>
      </c>
      <c r="E87" s="28">
        <v>2.2000000000000002</v>
      </c>
      <c r="F87" s="28"/>
      <c r="G87" s="28"/>
      <c r="H87" s="28"/>
      <c r="I87" s="28"/>
      <c r="J87" s="28"/>
      <c r="K87" s="28"/>
      <c r="L87" s="28"/>
      <c r="M87" s="29"/>
      <c r="N87" s="28"/>
      <c r="O87" s="28"/>
      <c r="P87" s="28"/>
      <c r="Q87" s="28"/>
      <c r="R87" s="28"/>
      <c r="S87" s="28"/>
      <c r="T87" s="21">
        <f t="shared" si="180"/>
        <v>227.59000000000003</v>
      </c>
      <c r="U87" s="21">
        <f t="shared" si="181"/>
        <v>0</v>
      </c>
      <c r="V87" s="21">
        <f t="shared" si="182"/>
        <v>0</v>
      </c>
      <c r="W87" s="21">
        <f t="shared" si="183"/>
        <v>0</v>
      </c>
      <c r="X87" s="21">
        <f t="shared" si="184"/>
        <v>0</v>
      </c>
      <c r="Y87" s="21">
        <f t="shared" si="185"/>
        <v>0</v>
      </c>
      <c r="Z87" s="21">
        <f t="shared" si="186"/>
        <v>0</v>
      </c>
      <c r="AA87" s="21">
        <f t="shared" si="187"/>
        <v>0</v>
      </c>
      <c r="AB87" s="21">
        <f t="shared" si="188"/>
        <v>0</v>
      </c>
      <c r="AC87" s="21">
        <f t="shared" si="189"/>
        <v>0</v>
      </c>
      <c r="AD87" s="21">
        <f t="shared" si="190"/>
        <v>0</v>
      </c>
      <c r="AE87" s="21">
        <f t="shared" si="197"/>
        <v>0</v>
      </c>
      <c r="AF87" s="21">
        <f t="shared" si="192"/>
        <v>0</v>
      </c>
      <c r="AG87" s="21">
        <f t="shared" si="193"/>
        <v>0</v>
      </c>
      <c r="AH87" s="21">
        <f t="shared" si="194"/>
        <v>0</v>
      </c>
      <c r="AI87" s="38">
        <f t="shared" si="195"/>
        <v>8.9644714038128268E-3</v>
      </c>
      <c r="AJ87" s="21">
        <f t="shared" si="196"/>
        <v>227.59000000000003</v>
      </c>
    </row>
    <row r="88" spans="1:36" ht="22.75" x14ac:dyDescent="0.4">
      <c r="A88" s="7">
        <v>8</v>
      </c>
      <c r="B88" s="142" t="s">
        <v>264</v>
      </c>
      <c r="C88" s="185" t="s">
        <v>324</v>
      </c>
      <c r="D88" s="9">
        <f>VLOOKUP(C88,'[1]PREÇO ATUAL'!$A:$D,4,0)</f>
        <v>283.39</v>
      </c>
      <c r="E88" s="45"/>
      <c r="F88" s="45"/>
      <c r="G88" s="45"/>
      <c r="H88" s="45"/>
      <c r="I88" s="45"/>
      <c r="J88" s="45"/>
      <c r="K88" s="45"/>
      <c r="L88" s="45"/>
      <c r="M88" s="46"/>
      <c r="N88" s="45"/>
      <c r="O88" s="45"/>
      <c r="P88" s="45"/>
      <c r="Q88" s="45"/>
      <c r="R88" s="45"/>
      <c r="S88" s="45"/>
      <c r="T88" s="13">
        <f t="shared" ref="T88:T89" si="198">$D88*E88</f>
        <v>0</v>
      </c>
      <c r="U88" s="13">
        <f t="shared" ref="U88:U89" si="199">$D88*F88</f>
        <v>0</v>
      </c>
      <c r="V88" s="13">
        <f t="shared" ref="V88:V89" si="200">$D88*G88</f>
        <v>0</v>
      </c>
      <c r="W88" s="13">
        <f t="shared" ref="W88:W89" si="201">$D88*H88</f>
        <v>0</v>
      </c>
      <c r="X88" s="13">
        <f t="shared" ref="X88:X89" si="202">$D88*I88</f>
        <v>0</v>
      </c>
      <c r="Y88" s="13">
        <f t="shared" ref="Y88:Y89" si="203">$D88*J88</f>
        <v>0</v>
      </c>
      <c r="Z88" s="13">
        <f t="shared" ref="Z88:Z89" si="204">$D88*K88</f>
        <v>0</v>
      </c>
      <c r="AA88" s="13">
        <f t="shared" ref="AA88:AA89" si="205">$D88*L88</f>
        <v>0</v>
      </c>
      <c r="AB88" s="13">
        <f t="shared" ref="AB88:AB89" si="206">$D88*M88</f>
        <v>0</v>
      </c>
      <c r="AC88" s="13">
        <f t="shared" ref="AC88:AC89" si="207">$D88*N88</f>
        <v>0</v>
      </c>
      <c r="AD88" s="13">
        <f t="shared" ref="AD88:AD89" si="208">$D88*O88</f>
        <v>0</v>
      </c>
      <c r="AE88" s="13">
        <f t="shared" ref="AE88:AE89" si="209">$D88*P88</f>
        <v>0</v>
      </c>
      <c r="AF88" s="13">
        <f t="shared" ref="AF88:AF89" si="210">$D88*Q88</f>
        <v>0</v>
      </c>
      <c r="AG88" s="13">
        <f t="shared" ref="AG88:AG89" si="211">$D88*R88</f>
        <v>0</v>
      </c>
      <c r="AH88" s="13">
        <f t="shared" ref="AH88:AH89" si="212">$D88*S88</f>
        <v>0</v>
      </c>
      <c r="AI88" s="37">
        <f t="shared" ref="AI88:AI89" si="213">AJ88/$AI$2</f>
        <v>0</v>
      </c>
      <c r="AJ88" s="13">
        <f t="shared" ref="AJ88:AJ89" si="214">SUM(T88:AH88)</f>
        <v>0</v>
      </c>
    </row>
    <row r="89" spans="1:36" ht="22.75" x14ac:dyDescent="0.4">
      <c r="A89" s="15">
        <v>9</v>
      </c>
      <c r="B89" s="143" t="s">
        <v>325</v>
      </c>
      <c r="C89" s="186" t="s">
        <v>213</v>
      </c>
      <c r="D89" s="17">
        <f>VLOOKUP(C89,'[1]PREÇO ATUAL'!$A:$D,4,0)</f>
        <v>567.54999999999995</v>
      </c>
      <c r="E89" s="28"/>
      <c r="F89" s="28"/>
      <c r="G89" s="28"/>
      <c r="H89" s="28"/>
      <c r="I89" s="28"/>
      <c r="J89" s="28"/>
      <c r="K89" s="28"/>
      <c r="L89" s="28"/>
      <c r="M89" s="29"/>
      <c r="N89" s="28"/>
      <c r="O89" s="28"/>
      <c r="P89" s="28"/>
      <c r="Q89" s="28"/>
      <c r="R89" s="28"/>
      <c r="S89" s="28"/>
      <c r="T89" s="21">
        <f t="shared" si="198"/>
        <v>0</v>
      </c>
      <c r="U89" s="21">
        <f t="shared" si="199"/>
        <v>0</v>
      </c>
      <c r="V89" s="21">
        <f t="shared" si="200"/>
        <v>0</v>
      </c>
      <c r="W89" s="21">
        <f t="shared" si="201"/>
        <v>0</v>
      </c>
      <c r="X89" s="21">
        <f t="shared" si="202"/>
        <v>0</v>
      </c>
      <c r="Y89" s="21">
        <f t="shared" si="203"/>
        <v>0</v>
      </c>
      <c r="Z89" s="21">
        <f t="shared" si="204"/>
        <v>0</v>
      </c>
      <c r="AA89" s="21">
        <f t="shared" si="205"/>
        <v>0</v>
      </c>
      <c r="AB89" s="21">
        <f t="shared" si="206"/>
        <v>0</v>
      </c>
      <c r="AC89" s="21">
        <f t="shared" si="207"/>
        <v>0</v>
      </c>
      <c r="AD89" s="21">
        <f t="shared" si="208"/>
        <v>0</v>
      </c>
      <c r="AE89" s="21">
        <f t="shared" si="209"/>
        <v>0</v>
      </c>
      <c r="AF89" s="21">
        <f t="shared" si="210"/>
        <v>0</v>
      </c>
      <c r="AG89" s="21">
        <f t="shared" si="211"/>
        <v>0</v>
      </c>
      <c r="AH89" s="21">
        <f t="shared" si="212"/>
        <v>0</v>
      </c>
      <c r="AI89" s="38">
        <f t="shared" si="213"/>
        <v>0</v>
      </c>
      <c r="AJ89" s="21">
        <f t="shared" si="214"/>
        <v>0</v>
      </c>
    </row>
    <row r="90" spans="1:36" ht="22.75" x14ac:dyDescent="0.4">
      <c r="A90" s="7">
        <v>10</v>
      </c>
      <c r="B90" s="142" t="s">
        <v>326</v>
      </c>
      <c r="C90" s="185" t="s">
        <v>327</v>
      </c>
      <c r="D90" s="9">
        <f>VLOOKUP(C90,'[1]PREÇO ATUAL'!$A:$D,4,0)</f>
        <v>97.748169473968517</v>
      </c>
      <c r="E90" s="45"/>
      <c r="F90" s="45"/>
      <c r="G90" s="45"/>
      <c r="H90" s="45"/>
      <c r="I90" s="45"/>
      <c r="J90" s="45"/>
      <c r="K90" s="45"/>
      <c r="L90" s="45"/>
      <c r="M90" s="46"/>
      <c r="N90" s="45"/>
      <c r="O90" s="45"/>
      <c r="P90" s="45"/>
      <c r="Q90" s="45"/>
      <c r="R90" s="45"/>
      <c r="S90" s="45"/>
      <c r="T90" s="13">
        <f t="shared" si="180"/>
        <v>0</v>
      </c>
      <c r="U90" s="13">
        <f t="shared" si="181"/>
        <v>0</v>
      </c>
      <c r="V90" s="13">
        <f t="shared" si="182"/>
        <v>0</v>
      </c>
      <c r="W90" s="13">
        <f t="shared" si="183"/>
        <v>0</v>
      </c>
      <c r="X90" s="13">
        <f t="shared" si="184"/>
        <v>0</v>
      </c>
      <c r="Y90" s="13">
        <f t="shared" si="185"/>
        <v>0</v>
      </c>
      <c r="Z90" s="13">
        <f t="shared" si="186"/>
        <v>0</v>
      </c>
      <c r="AA90" s="13">
        <f t="shared" si="187"/>
        <v>0</v>
      </c>
      <c r="AB90" s="13">
        <f t="shared" si="188"/>
        <v>0</v>
      </c>
      <c r="AC90" s="13">
        <f t="shared" si="189"/>
        <v>0</v>
      </c>
      <c r="AD90" s="13">
        <f t="shared" si="190"/>
        <v>0</v>
      </c>
      <c r="AE90" s="13">
        <f t="shared" si="197"/>
        <v>0</v>
      </c>
      <c r="AF90" s="13">
        <f t="shared" si="192"/>
        <v>0</v>
      </c>
      <c r="AG90" s="13">
        <f t="shared" si="193"/>
        <v>0</v>
      </c>
      <c r="AH90" s="13">
        <f t="shared" si="194"/>
        <v>0</v>
      </c>
      <c r="AI90" s="37">
        <f t="shared" si="195"/>
        <v>0</v>
      </c>
      <c r="AJ90" s="13">
        <f t="shared" si="196"/>
        <v>0</v>
      </c>
    </row>
    <row r="91" spans="1:36" ht="22.75" x14ac:dyDescent="0.4">
      <c r="A91" s="15">
        <v>11</v>
      </c>
      <c r="B91" s="143" t="s">
        <v>331</v>
      </c>
      <c r="C91" s="186" t="s">
        <v>268</v>
      </c>
      <c r="D91" s="17">
        <f>VLOOKUP(C91,'[1]PREÇO ATUAL'!$A:$D,4,0)</f>
        <v>32.700000000000003</v>
      </c>
      <c r="E91" s="28"/>
      <c r="F91" s="28"/>
      <c r="G91" s="28"/>
      <c r="H91" s="28"/>
      <c r="I91" s="28"/>
      <c r="J91" s="28"/>
      <c r="K91" s="28"/>
      <c r="L91" s="28"/>
      <c r="M91" s="29"/>
      <c r="N91" s="28"/>
      <c r="O91" s="28"/>
      <c r="P91" s="28"/>
      <c r="Q91" s="28"/>
      <c r="R91" s="28"/>
      <c r="S91" s="28"/>
      <c r="T91" s="21">
        <f t="shared" si="180"/>
        <v>0</v>
      </c>
      <c r="U91" s="21">
        <f t="shared" si="181"/>
        <v>0</v>
      </c>
      <c r="V91" s="21">
        <f t="shared" si="182"/>
        <v>0</v>
      </c>
      <c r="W91" s="21">
        <f t="shared" si="183"/>
        <v>0</v>
      </c>
      <c r="X91" s="21">
        <f t="shared" si="184"/>
        <v>0</v>
      </c>
      <c r="Y91" s="21">
        <f t="shared" si="185"/>
        <v>0</v>
      </c>
      <c r="Z91" s="21">
        <f t="shared" si="186"/>
        <v>0</v>
      </c>
      <c r="AA91" s="21">
        <f t="shared" si="187"/>
        <v>0</v>
      </c>
      <c r="AB91" s="21">
        <f t="shared" si="188"/>
        <v>0</v>
      </c>
      <c r="AC91" s="21">
        <f t="shared" si="189"/>
        <v>0</v>
      </c>
      <c r="AD91" s="21">
        <f t="shared" si="190"/>
        <v>0</v>
      </c>
      <c r="AE91" s="21">
        <f t="shared" si="197"/>
        <v>0</v>
      </c>
      <c r="AF91" s="21">
        <f t="shared" si="192"/>
        <v>0</v>
      </c>
      <c r="AG91" s="21">
        <f t="shared" si="193"/>
        <v>0</v>
      </c>
      <c r="AH91" s="21">
        <f t="shared" si="194"/>
        <v>0</v>
      </c>
      <c r="AI91" s="38">
        <f t="shared" si="195"/>
        <v>0</v>
      </c>
      <c r="AJ91" s="21">
        <f t="shared" si="196"/>
        <v>0</v>
      </c>
    </row>
    <row r="92" spans="1:36" ht="14.6" x14ac:dyDescent="0.4">
      <c r="A92" s="7">
        <v>12</v>
      </c>
      <c r="B92" s="142" t="s">
        <v>299</v>
      </c>
      <c r="C92" s="185" t="s">
        <v>204</v>
      </c>
      <c r="D92" s="9">
        <f>VLOOKUP(C92,'[1]PREÇO ATUAL'!$A:$D,4,0)</f>
        <v>110.2557468128982</v>
      </c>
      <c r="E92" s="45">
        <v>4.9000000000000004</v>
      </c>
      <c r="F92" s="45">
        <v>4.9000000000000004</v>
      </c>
      <c r="G92" s="45">
        <v>4.9000000000000004</v>
      </c>
      <c r="H92" s="45">
        <v>4.9000000000000004</v>
      </c>
      <c r="I92" s="45">
        <v>4.9000000000000004</v>
      </c>
      <c r="J92" s="45">
        <v>4.9000000000000004</v>
      </c>
      <c r="K92" s="45">
        <v>4.9000000000000004</v>
      </c>
      <c r="L92" s="45">
        <v>4.9000000000000004</v>
      </c>
      <c r="M92" s="46">
        <v>4.9000000000000004</v>
      </c>
      <c r="N92" s="45">
        <v>4.9000000000000004</v>
      </c>
      <c r="O92" s="45">
        <v>4.9000000000000004</v>
      </c>
      <c r="P92" s="45">
        <v>4.9000000000000004</v>
      </c>
      <c r="Q92" s="45">
        <v>4.9000000000000004</v>
      </c>
      <c r="R92" s="45">
        <v>4.9000000000000004</v>
      </c>
      <c r="S92" s="45">
        <v>4.9000000000000004</v>
      </c>
      <c r="T92" s="13">
        <f t="shared" si="180"/>
        <v>540.25315938320125</v>
      </c>
      <c r="U92" s="13">
        <f t="shared" si="181"/>
        <v>540.25315938320125</v>
      </c>
      <c r="V92" s="13">
        <f t="shared" si="182"/>
        <v>540.25315938320125</v>
      </c>
      <c r="W92" s="13">
        <f t="shared" si="183"/>
        <v>540.25315938320125</v>
      </c>
      <c r="X92" s="13">
        <f t="shared" si="184"/>
        <v>540.25315938320125</v>
      </c>
      <c r="Y92" s="13">
        <f t="shared" si="185"/>
        <v>540.25315938320125</v>
      </c>
      <c r="Z92" s="13">
        <f t="shared" si="186"/>
        <v>540.25315938320125</v>
      </c>
      <c r="AA92" s="13">
        <f t="shared" si="187"/>
        <v>540.25315938320125</v>
      </c>
      <c r="AB92" s="13">
        <f t="shared" si="188"/>
        <v>540.25315938320125</v>
      </c>
      <c r="AC92" s="13">
        <f t="shared" si="189"/>
        <v>540.25315938320125</v>
      </c>
      <c r="AD92" s="13">
        <f t="shared" si="190"/>
        <v>540.25315938320125</v>
      </c>
      <c r="AE92" s="13">
        <f t="shared" si="197"/>
        <v>540.25315938320125</v>
      </c>
      <c r="AF92" s="13">
        <f t="shared" si="192"/>
        <v>540.25315938320125</v>
      </c>
      <c r="AG92" s="13">
        <f t="shared" si="193"/>
        <v>540.25315938320125</v>
      </c>
      <c r="AH92" s="13">
        <f t="shared" si="194"/>
        <v>540.25315938320125</v>
      </c>
      <c r="AI92" s="37">
        <f t="shared" si="195"/>
        <v>0.31919794354608538</v>
      </c>
      <c r="AJ92" s="13">
        <f t="shared" si="196"/>
        <v>8103.7973907480164</v>
      </c>
    </row>
    <row r="93" spans="1:36" ht="14.6" x14ac:dyDescent="0.4">
      <c r="A93" s="15">
        <v>13</v>
      </c>
      <c r="B93" s="143" t="s">
        <v>38</v>
      </c>
      <c r="C93" s="186" t="s">
        <v>39</v>
      </c>
      <c r="D93" s="17">
        <f>VLOOKUP(C93,'[1]PREÇO ATUAL'!$A:$D,4,0)</f>
        <v>342</v>
      </c>
      <c r="E93" s="28">
        <v>1.75</v>
      </c>
      <c r="F93" s="28">
        <v>1.5</v>
      </c>
      <c r="G93" s="28">
        <v>1.45</v>
      </c>
      <c r="H93" s="28">
        <v>1.85</v>
      </c>
      <c r="I93" s="28">
        <v>2.1</v>
      </c>
      <c r="J93" s="28">
        <v>1.65</v>
      </c>
      <c r="K93" s="28">
        <v>1.45</v>
      </c>
      <c r="L93" s="28">
        <v>1.85</v>
      </c>
      <c r="M93" s="29">
        <v>1.75</v>
      </c>
      <c r="N93" s="28">
        <v>1.8</v>
      </c>
      <c r="O93" s="28">
        <v>1.5</v>
      </c>
      <c r="P93" s="28">
        <v>5.3</v>
      </c>
      <c r="Q93" s="28">
        <v>1.75</v>
      </c>
      <c r="R93" s="28">
        <v>1.5</v>
      </c>
      <c r="S93" s="28">
        <v>1.75</v>
      </c>
      <c r="T93" s="21">
        <f>D93*E93</f>
        <v>598.5</v>
      </c>
      <c r="U93" s="21">
        <f>$D93*F93</f>
        <v>513</v>
      </c>
      <c r="V93" s="21">
        <f>$D93*G93</f>
        <v>495.9</v>
      </c>
      <c r="W93" s="21">
        <f>$D93*H93</f>
        <v>632.70000000000005</v>
      </c>
      <c r="X93" s="21">
        <f>$D93*I93</f>
        <v>718.2</v>
      </c>
      <c r="Y93" s="21">
        <f>$D93*J93</f>
        <v>564.29999999999995</v>
      </c>
      <c r="Z93" s="21">
        <f t="shared" si="186"/>
        <v>495.9</v>
      </c>
      <c r="AA93" s="21">
        <f t="shared" si="187"/>
        <v>632.70000000000005</v>
      </c>
      <c r="AB93" s="21">
        <f t="shared" si="188"/>
        <v>598.5</v>
      </c>
      <c r="AC93" s="21">
        <f t="shared" si="189"/>
        <v>615.6</v>
      </c>
      <c r="AD93" s="21">
        <f t="shared" si="190"/>
        <v>513</v>
      </c>
      <c r="AE93" s="21">
        <f t="shared" si="197"/>
        <v>1812.6</v>
      </c>
      <c r="AF93" s="21">
        <f t="shared" si="192"/>
        <v>598.5</v>
      </c>
      <c r="AG93" s="21">
        <f t="shared" si="193"/>
        <v>513</v>
      </c>
      <c r="AH93" s="21">
        <f t="shared" si="194"/>
        <v>598.5</v>
      </c>
      <c r="AI93" s="38">
        <f t="shared" si="195"/>
        <v>0.38998345675122109</v>
      </c>
      <c r="AJ93" s="21">
        <f t="shared" si="196"/>
        <v>9900.9000000000015</v>
      </c>
    </row>
    <row r="94" spans="1:36" ht="15.75" customHeight="1" x14ac:dyDescent="0.4"/>
    <row r="95" spans="1:36" ht="15.75" customHeight="1" x14ac:dyDescent="0.4"/>
    <row r="96" spans="1:36" ht="15.75" customHeight="1" x14ac:dyDescent="0.4"/>
    <row r="97" spans="6:6" ht="15.75" customHeight="1" x14ac:dyDescent="0.4">
      <c r="F97" s="218"/>
    </row>
    <row r="98" spans="6:6" ht="15.75" customHeight="1" x14ac:dyDescent="0.4"/>
    <row r="99" spans="6:6" ht="15.75" customHeight="1" x14ac:dyDescent="0.4"/>
    <row r="100" spans="6:6" ht="15.75" customHeight="1" x14ac:dyDescent="0.4"/>
    <row r="101" spans="6:6" ht="15.75" customHeight="1" x14ac:dyDescent="0.4"/>
    <row r="102" spans="6:6" ht="15.75" customHeight="1" x14ac:dyDescent="0.4"/>
    <row r="103" spans="6:6" ht="15.75" customHeight="1" x14ac:dyDescent="0.4"/>
    <row r="104" spans="6:6" ht="15.75" customHeight="1" x14ac:dyDescent="0.4"/>
    <row r="105" spans="6:6" ht="15.75" customHeight="1" x14ac:dyDescent="0.4"/>
    <row r="106" spans="6:6" ht="15.75" customHeight="1" x14ac:dyDescent="0.4"/>
    <row r="107" spans="6:6" ht="15.75" customHeight="1" x14ac:dyDescent="0.4"/>
    <row r="108" spans="6:6" ht="15.75" customHeight="1" x14ac:dyDescent="0.4"/>
    <row r="109" spans="6:6" ht="15.75" customHeight="1" x14ac:dyDescent="0.4"/>
    <row r="110" spans="6:6" ht="15.75" customHeight="1" x14ac:dyDescent="0.4"/>
    <row r="111" spans="6:6" ht="15.75" customHeight="1" x14ac:dyDescent="0.4"/>
    <row r="112" spans="6:6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</sheetData>
  <mergeCells count="18">
    <mergeCell ref="AI62:AJ62"/>
    <mergeCell ref="AI63:AJ63"/>
    <mergeCell ref="A79:D80"/>
    <mergeCell ref="AI79:AJ79"/>
    <mergeCell ref="AI80:AJ80"/>
    <mergeCell ref="AI48:AJ48"/>
    <mergeCell ref="AI49:AJ49"/>
    <mergeCell ref="A33:D34"/>
    <mergeCell ref="A1:D2"/>
    <mergeCell ref="AI1:AJ1"/>
    <mergeCell ref="AI2:AJ2"/>
    <mergeCell ref="A17:D18"/>
    <mergeCell ref="E17:N18"/>
    <mergeCell ref="T17:AC17"/>
    <mergeCell ref="AI17:AJ17"/>
    <mergeCell ref="AI18:AJ18"/>
    <mergeCell ref="AI33:AJ33"/>
    <mergeCell ref="AI34:AJ34"/>
  </mergeCells>
  <pageMargins left="0.511811024" right="0.511811024" top="0.78740157499999996" bottom="0.78740157499999996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4DB60800ACA4C9F881E3192D45602" ma:contentTypeVersion="6" ma:contentTypeDescription="Create a new document." ma:contentTypeScope="" ma:versionID="05b22ccee4d80f4d5bed7f2d3523d6c9">
  <xsd:schema xmlns:xsd="http://www.w3.org/2001/XMLSchema" xmlns:xs="http://www.w3.org/2001/XMLSchema" xmlns:p="http://schemas.microsoft.com/office/2006/metadata/properties" xmlns:ns2="acc937fd-0597-4e9b-834f-48b21c50ffbf" xmlns:ns3="bfe071b7-31a7-4db9-adea-60dbc255492c" targetNamespace="http://schemas.microsoft.com/office/2006/metadata/properties" ma:root="true" ma:fieldsID="66296a9dd28842bf490c87121060a606" ns2:_="" ns3:_="">
    <xsd:import namespace="acc937fd-0597-4e9b-834f-48b21c50ffbf"/>
    <xsd:import namespace="bfe071b7-31a7-4db9-adea-60dbc25549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c937fd-0597-4e9b-834f-48b21c50ff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e071b7-31a7-4db9-adea-60dbc255492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fe071b7-31a7-4db9-adea-60dbc255492c">
      <UserInfo>
        <DisplayName>GUILHERME CARVALHO</DisplayName>
        <AccountId>357</AccountId>
        <AccountType/>
      </UserInfo>
      <UserInfo>
        <DisplayName>POLLYANNA MATTA</DisplayName>
        <AccountId>409</AccountId>
        <AccountType/>
      </UserInfo>
      <UserInfo>
        <DisplayName>RODRIGO TOMAZZONI</DisplayName>
        <AccountId>188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F3DE56-0BC9-4F62-8B31-2AA395E425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c937fd-0597-4e9b-834f-48b21c50ffbf"/>
    <ds:schemaRef ds:uri="bfe071b7-31a7-4db9-adea-60dbc25549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60A134-BCF6-4A21-88A3-AB7C68CBCBB6}">
  <ds:schemaRefs>
    <ds:schemaRef ds:uri="http://schemas.microsoft.com/office/2006/metadata/properties"/>
    <ds:schemaRef ds:uri="http://schemas.microsoft.com/office/infopath/2007/PartnerControls"/>
    <ds:schemaRef ds:uri="bfe071b7-31a7-4db9-adea-60dbc255492c"/>
  </ds:schemaRefs>
</ds:datastoreItem>
</file>

<file path=customXml/itemProps3.xml><?xml version="1.0" encoding="utf-8"?>
<ds:datastoreItem xmlns:ds="http://schemas.openxmlformats.org/officeDocument/2006/customXml" ds:itemID="{B71E25A9-7A15-4A0D-921E-4452BC3CD70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fd53d93-3f4c-4b90-b511-bd6bdbb4fba9}" enabled="1" method="Standard" siteId="{d852d5cd-724c-4128-8812-ffa5db3f850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32</vt:i4>
      </vt:variant>
    </vt:vector>
  </HeadingPairs>
  <TitlesOfParts>
    <vt:vector size="32" baseType="lpstr">
      <vt:lpstr>CRONOS 1.0</vt:lpstr>
      <vt:lpstr>CRONOS 1.3</vt:lpstr>
      <vt:lpstr>CRONOS 1.8</vt:lpstr>
      <vt:lpstr>NOVO UNO 1.0 FIRE</vt:lpstr>
      <vt:lpstr>NOVO UNO 1.0 FIREFLY</vt:lpstr>
      <vt:lpstr>NOVO UNO 1.3 FIREFLY</vt:lpstr>
      <vt:lpstr>PALIO WEEKEND 1.4</vt:lpstr>
      <vt:lpstr>PALIO WEEKEND 1.8</vt:lpstr>
      <vt:lpstr>GRAND SIENA 1.0</vt:lpstr>
      <vt:lpstr>GRAND SIENA 1.4</vt:lpstr>
      <vt:lpstr>NOVA STRADA 1.0T</vt:lpstr>
      <vt:lpstr>NOVA STRADA 1.3</vt:lpstr>
      <vt:lpstr>NOVA STRADA 1.4</vt:lpstr>
      <vt:lpstr>ARGO 1.0</vt:lpstr>
      <vt:lpstr>ARGO 1.3</vt:lpstr>
      <vt:lpstr>ARGO 1.8</vt:lpstr>
      <vt:lpstr>FIORINO</vt:lpstr>
      <vt:lpstr>PULSE 1.0T</vt:lpstr>
      <vt:lpstr>PULSE 1.3</vt:lpstr>
      <vt:lpstr>PULSE ABARTH</vt:lpstr>
      <vt:lpstr>FASTBACK 1.0T</vt:lpstr>
      <vt:lpstr>FASTBACK 1.3T</vt:lpstr>
      <vt:lpstr>MOBI FIRE</vt:lpstr>
      <vt:lpstr>MOBI FIREFLY</vt:lpstr>
      <vt:lpstr>DOBLO</vt:lpstr>
      <vt:lpstr>TORO 1.8</vt:lpstr>
      <vt:lpstr>TORO 2.4</vt:lpstr>
      <vt:lpstr>TORO 1.3T</vt:lpstr>
      <vt:lpstr>TORO DIESEL</vt:lpstr>
      <vt:lpstr>DUCATO</vt:lpstr>
      <vt:lpstr>SCUDO</vt:lpstr>
      <vt:lpstr>TITANO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Alberto Mateus San Marino</cp:lastModifiedBy>
  <cp:revision/>
  <dcterms:created xsi:type="dcterms:W3CDTF">2022-06-08T18:49:28Z</dcterms:created>
  <dcterms:modified xsi:type="dcterms:W3CDTF">2026-06-24T15:51:14Z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0x0101002184DB60800ACA4C9F881E3192D45602</vt:lpwstr>
  </property>
  <property fmtid="{D5CDD505-2E9C-101B-9397-08002B2CF9AE}" pid="3" name="MSIP_Label_2fd53d93-3f4c-4b90-b511-bd6bdbb4fba9_Enabled">
    <vt:lpwstr>true</vt:lpwstr>
  </property>
  <property fmtid="{D5CDD505-2E9C-101B-9397-08002B2CF9AE}" pid="4" name="MSIP_Label_2fd53d93-3f4c-4b90-b511-bd6bdbb4fba9_SetDate">
    <vt:lpwstr>2022-12-23T12:55:13Z</vt:lpwstr>
  </property>
  <property fmtid="{D5CDD505-2E9C-101B-9397-08002B2CF9AE}" pid="5" name="MSIP_Label_2fd53d93-3f4c-4b90-b511-bd6bdbb4fba9_Method">
    <vt:lpwstr>Standard</vt:lpwstr>
  </property>
  <property fmtid="{D5CDD505-2E9C-101B-9397-08002B2CF9AE}" pid="6" name="MSIP_Label_2fd53d93-3f4c-4b90-b511-bd6bdbb4fba9_Name">
    <vt:lpwstr>2fd53d93-3f4c-4b90-b511-bd6bdbb4fba9</vt:lpwstr>
  </property>
  <property fmtid="{D5CDD505-2E9C-101B-9397-08002B2CF9AE}" pid="7" name="MSIP_Label_2fd53d93-3f4c-4b90-b511-bd6bdbb4fba9_SiteId">
    <vt:lpwstr>d852d5cd-724c-4128-8812-ffa5db3f8507</vt:lpwstr>
  </property>
  <property fmtid="{D5CDD505-2E9C-101B-9397-08002B2CF9AE}" pid="8" name="MSIP_Label_2fd53d93-3f4c-4b90-b511-bd6bdbb4fba9_ActionId">
    <vt:lpwstr>77e0886c-ae51-44f3-a18e-1323a0dd9afa</vt:lpwstr>
  </property>
  <property fmtid="{D5CDD505-2E9C-101B-9397-08002B2CF9AE}" pid="9" name="MSIP_Label_2fd53d93-3f4c-4b90-b511-bd6bdbb4fba9_ContentBits">
    <vt:lpwstr>0</vt:lpwstr>
  </property>
</Properties>
</file>